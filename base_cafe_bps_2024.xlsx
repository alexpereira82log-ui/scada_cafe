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Notas" sheetId="2" r:id="rId5"/>
  </sheets>
  <definedNames/>
  <calcPr/>
</workbook>
</file>

<file path=xl/sharedStrings.xml><?xml version="1.0" encoding="utf-8"?>
<sst xmlns="http://schemas.openxmlformats.org/spreadsheetml/2006/main" count="56" uniqueCount="29">
  <si>
    <t>Cód. Item</t>
  </si>
  <si>
    <t>Item</t>
  </si>
  <si>
    <t>Unidade</t>
  </si>
  <si>
    <t>Qtde.</t>
  </si>
  <si>
    <t>Custo 2024</t>
  </si>
  <si>
    <t>CAIXA DRIP COFFEE SCADA COM 10 SACHES</t>
  </si>
  <si>
    <t>CX</t>
  </si>
  <si>
    <t>CAPPUCCINO DIET</t>
  </si>
  <si>
    <t>KG</t>
  </si>
  <si>
    <t>CAPPUCCINO SCADA - 1KG</t>
  </si>
  <si>
    <t>CHA MATE SOLUVEL</t>
  </si>
  <si>
    <t>CHA MATE TOSTADO</t>
  </si>
  <si>
    <t>CHA QUENTE NACIONAL SACHE</t>
  </si>
  <si>
    <t>UN</t>
  </si>
  <si>
    <t>CHOCOLATE CREMOSO- 1,05KG</t>
  </si>
  <si>
    <t>OVOMALTINE</t>
  </si>
  <si>
    <t>SACHE AVULSO DRIP COFFEE</t>
  </si>
  <si>
    <t>SCADA B.AMARELO=CITRIC0 GRAO 250GR</t>
  </si>
  <si>
    <t>SCADA B.VERMELHO=FRUTADO GRAO 250GR</t>
  </si>
  <si>
    <t>SCADA BLEND GRAO 1 KG</t>
  </si>
  <si>
    <t>SCADA BLEND GRAO 250G</t>
  </si>
  <si>
    <t>SCADA DESCAFEINADO GRAO 250G</t>
  </si>
  <si>
    <t>SCADA EDICAO ESPECIAL GRAO 250G</t>
  </si>
  <si>
    <t>SCADA ORGANICO GRAO 250G</t>
  </si>
  <si>
    <t>UNIQUE EDICAO ESPECIAL GRAO 250G</t>
  </si>
  <si>
    <t>UNIQUE EDICAO RARIDADE GRAO 150G</t>
  </si>
  <si>
    <t>Total</t>
  </si>
  <si>
    <t>GARRAFA 20 ANOS SCADA</t>
  </si>
  <si>
    <t>SCADA ED. 20 ANOS - RARIDADE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</si>
</sst>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AE3"/>
        <bgColor rgb="FFD9DAE3"/>
      </patternFill>
    </fill>
    <fill>
      <patternFill patternType="solid">
        <fgColor rgb="FFFAFAFD"/>
        <bgColor rgb="FFFAFAF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3" fontId="2" numFmtId="0" xfId="0" applyAlignment="1" applyFill="1" applyFont="1">
      <alignment horizontal="right" readingOrder="0" vertical="bottom"/>
    </xf>
    <xf borderId="0" fillId="3" fontId="2" numFmtId="0" xfId="0" applyAlignment="1" applyFont="1">
      <alignment horizontal="left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0" fillId="0" fontId="4" numFmtId="4" xfId="0" applyAlignment="1" applyFont="1" applyNumberFormat="1">
      <alignment horizontal="center" vertical="bottom"/>
    </xf>
    <xf borderId="0" fillId="0" fontId="3" numFmtId="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1130.0</v>
      </c>
      <c r="B2" s="4" t="s">
        <v>5</v>
      </c>
      <c r="C2" s="4" t="s">
        <v>6</v>
      </c>
      <c r="D2" s="3">
        <v>3.0</v>
      </c>
      <c r="E2" s="5">
        <f t="array" ref="E2">iferror(XLOOKUP(B2,Notas!A:A,Notas!N:N),"")</f>
        <v>88.5</v>
      </c>
    </row>
    <row r="3">
      <c r="A3" s="6">
        <v>6.0</v>
      </c>
      <c r="B3" s="7" t="s">
        <v>7</v>
      </c>
      <c r="C3" s="7" t="s">
        <v>8</v>
      </c>
      <c r="D3" s="6">
        <v>4.13</v>
      </c>
      <c r="E3" s="5" t="str">
        <f t="array" ref="E3">iferror(XLOOKUP(B3,Notas!A:A,Notas!N:N),"")</f>
        <v/>
      </c>
    </row>
    <row r="4">
      <c r="A4" s="3">
        <v>2.0</v>
      </c>
      <c r="B4" s="4" t="s">
        <v>9</v>
      </c>
      <c r="C4" s="4" t="s">
        <v>8</v>
      </c>
      <c r="D4" s="3">
        <v>189.027</v>
      </c>
      <c r="E4" s="5" t="str">
        <f t="array" ref="E4">iferror(XLOOKUP(B4,Notas!A:A,Notas!N:N),"")</f>
        <v/>
      </c>
    </row>
    <row r="5">
      <c r="A5" s="6">
        <v>436.0</v>
      </c>
      <c r="B5" s="7" t="s">
        <v>10</v>
      </c>
      <c r="C5" s="7" t="s">
        <v>8</v>
      </c>
      <c r="D5" s="6">
        <v>0.071</v>
      </c>
      <c r="E5" s="5" t="str">
        <f t="array" ref="E5">iferror(XLOOKUP(B5,Notas!A:A,Notas!N:N),"")</f>
        <v/>
      </c>
    </row>
    <row r="6">
      <c r="A6" s="3">
        <v>1059.0</v>
      </c>
      <c r="B6" s="4" t="s">
        <v>11</v>
      </c>
      <c r="C6" s="4" t="s">
        <v>8</v>
      </c>
      <c r="D6" s="3">
        <v>27.9822</v>
      </c>
      <c r="E6" s="5" t="str">
        <f t="array" ref="E6">iferror(XLOOKUP(B6,Notas!A:A,Notas!N:N),"")</f>
        <v/>
      </c>
    </row>
    <row r="7">
      <c r="A7" s="6">
        <v>107.0</v>
      </c>
      <c r="B7" s="7" t="s">
        <v>12</v>
      </c>
      <c r="C7" s="7" t="s">
        <v>13</v>
      </c>
      <c r="D7" s="6">
        <v>920.0</v>
      </c>
      <c r="E7" s="5" t="str">
        <f t="array" ref="E7">iferror(XLOOKUP(B7,Notas!A:A,Notas!N:N),"")</f>
        <v/>
      </c>
    </row>
    <row r="8">
      <c r="A8" s="3">
        <v>441.0</v>
      </c>
      <c r="B8" s="4" t="s">
        <v>14</v>
      </c>
      <c r="C8" s="4" t="s">
        <v>8</v>
      </c>
      <c r="D8" s="3">
        <v>78.1635</v>
      </c>
      <c r="E8" s="5" t="str">
        <f t="array" ref="E8">iferror(XLOOKUP(B8,Notas!A:A,Notas!N:N),"")</f>
        <v/>
      </c>
    </row>
    <row r="9">
      <c r="A9" s="6">
        <v>12.0</v>
      </c>
      <c r="B9" s="7" t="s">
        <v>15</v>
      </c>
      <c r="C9" s="7" t="s">
        <v>8</v>
      </c>
      <c r="D9" s="6">
        <v>3.185</v>
      </c>
      <c r="E9" s="5" t="str">
        <f t="array" ref="E9">iferror(XLOOKUP(B9,Notas!A:A,Notas!N:N),"")</f>
        <v/>
      </c>
    </row>
    <row r="10">
      <c r="A10" s="3">
        <v>1166.0</v>
      </c>
      <c r="B10" s="4" t="s">
        <v>16</v>
      </c>
      <c r="C10" s="4" t="s">
        <v>13</v>
      </c>
      <c r="D10" s="3">
        <v>6.0</v>
      </c>
      <c r="E10" s="5">
        <f t="array" ref="E10">iferror(XLOOKUP(B10,Notas!A:A,Notas!N:N),"")</f>
        <v>0</v>
      </c>
    </row>
    <row r="11">
      <c r="A11" s="6">
        <v>725.0</v>
      </c>
      <c r="B11" s="7" t="s">
        <v>17</v>
      </c>
      <c r="C11" s="7" t="s">
        <v>8</v>
      </c>
      <c r="D11" s="6">
        <v>26.14</v>
      </c>
      <c r="E11" s="5">
        <f t="array" ref="E11">iferror(XLOOKUP(B11,Notas!A:A,Notas!N:N),"")</f>
        <v>2073.6</v>
      </c>
    </row>
    <row r="12">
      <c r="A12" s="3">
        <v>723.0</v>
      </c>
      <c r="B12" s="4" t="s">
        <v>18</v>
      </c>
      <c r="C12" s="4" t="s">
        <v>8</v>
      </c>
      <c r="D12" s="3">
        <v>62.26</v>
      </c>
      <c r="E12" s="5">
        <f t="array" ref="E12">iferror(XLOOKUP(B12,Notas!A:A,Notas!N:N),"")</f>
        <v>6640</v>
      </c>
    </row>
    <row r="13">
      <c r="A13" s="6">
        <v>1149.0</v>
      </c>
      <c r="B13" s="7" t="s">
        <v>19</v>
      </c>
      <c r="C13" s="7" t="s">
        <v>8</v>
      </c>
      <c r="D13" s="6">
        <v>460.6658</v>
      </c>
      <c r="E13" s="5">
        <f t="array" ref="E13">iferror(XLOOKUP(B13,Notas!A:A,Notas!N:N),"")</f>
        <v>39416.3</v>
      </c>
    </row>
    <row r="14">
      <c r="A14" s="3">
        <v>662.0</v>
      </c>
      <c r="B14" s="4" t="s">
        <v>20</v>
      </c>
      <c r="C14" s="4" t="s">
        <v>8</v>
      </c>
      <c r="D14" s="3">
        <v>36.035</v>
      </c>
      <c r="E14" s="5">
        <f t="array" ref="E14">iferror(XLOOKUP(B14,Notas!A:A,Notas!N:N),"")</f>
        <v>4933.333333</v>
      </c>
    </row>
    <row r="15">
      <c r="A15" s="6">
        <v>722.0</v>
      </c>
      <c r="B15" s="7" t="s">
        <v>21</v>
      </c>
      <c r="C15" s="7" t="s">
        <v>8</v>
      </c>
      <c r="D15" s="6">
        <v>10.495</v>
      </c>
      <c r="E15" s="5">
        <f t="array" ref="E15">iferror(XLOOKUP(B15,Notas!A:A,Notas!N:N),"")</f>
        <v>2064</v>
      </c>
    </row>
    <row r="16">
      <c r="A16" s="3">
        <v>930.0</v>
      </c>
      <c r="B16" s="4" t="s">
        <v>22</v>
      </c>
      <c r="C16" s="4" t="s">
        <v>8</v>
      </c>
      <c r="D16" s="3">
        <v>7.25</v>
      </c>
      <c r="E16" s="5">
        <f t="array" ref="E16">iferror(XLOOKUP(B16,Notas!A:A,Notas!N:N),"")</f>
        <v>2268</v>
      </c>
    </row>
    <row r="17">
      <c r="A17" s="6">
        <v>724.0</v>
      </c>
      <c r="B17" s="7" t="s">
        <v>23</v>
      </c>
      <c r="C17" s="7" t="s">
        <v>8</v>
      </c>
      <c r="D17" s="6">
        <v>4.77</v>
      </c>
      <c r="E17" s="5">
        <f t="array" ref="E17">iferror(XLOOKUP(B17,Notas!A:A,Notas!N:N),"")</f>
        <v>883.2</v>
      </c>
    </row>
    <row r="18">
      <c r="A18" s="3">
        <v>546.0</v>
      </c>
      <c r="B18" s="4" t="s">
        <v>24</v>
      </c>
      <c r="C18" s="4" t="s">
        <v>8</v>
      </c>
      <c r="D18" s="3">
        <v>13.375</v>
      </c>
      <c r="E18" s="5">
        <f t="array" ref="E18">iferror(XLOOKUP(B18,Notas!A:A,Notas!N:N),"")</f>
        <v>2597</v>
      </c>
    </row>
    <row r="19">
      <c r="A19" s="6">
        <v>545.0</v>
      </c>
      <c r="B19" s="7" t="s">
        <v>25</v>
      </c>
      <c r="C19" s="7" t="s">
        <v>8</v>
      </c>
      <c r="D19" s="6">
        <v>4.335</v>
      </c>
      <c r="E19" s="5">
        <f t="array" ref="E19">iferror(XLOOKUP(B19,Notas!A:A,Notas!N:N),"")</f>
        <v>3460.8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14" width="8.0"/>
  </cols>
  <sheetData>
    <row r="1">
      <c r="A1" s="8">
        <v>2024.0</v>
      </c>
      <c r="B1" s="8">
        <v>1.0</v>
      </c>
      <c r="C1" s="8">
        <f t="shared" ref="C1:M1" si="1">B1+1</f>
        <v>2</v>
      </c>
      <c r="D1" s="8">
        <f t="shared" si="1"/>
        <v>3</v>
      </c>
      <c r="E1" s="8">
        <f t="shared" si="1"/>
        <v>4</v>
      </c>
      <c r="F1" s="8">
        <f t="shared" si="1"/>
        <v>5</v>
      </c>
      <c r="G1" s="8">
        <f t="shared" si="1"/>
        <v>6</v>
      </c>
      <c r="H1" s="8">
        <f t="shared" si="1"/>
        <v>7</v>
      </c>
      <c r="I1" s="8">
        <f t="shared" si="1"/>
        <v>8</v>
      </c>
      <c r="J1" s="8">
        <f t="shared" si="1"/>
        <v>9</v>
      </c>
      <c r="K1" s="8">
        <f t="shared" si="1"/>
        <v>10</v>
      </c>
      <c r="L1" s="8">
        <f t="shared" si="1"/>
        <v>11</v>
      </c>
      <c r="M1" s="8">
        <f t="shared" si="1"/>
        <v>12</v>
      </c>
      <c r="N1" s="8" t="s">
        <v>26</v>
      </c>
    </row>
    <row r="2">
      <c r="A2" s="9" t="s">
        <v>5</v>
      </c>
      <c r="B2" s="10"/>
      <c r="C2" s="10"/>
      <c r="D2" s="10"/>
      <c r="E2" s="10"/>
      <c r="F2" s="10"/>
      <c r="G2" s="10"/>
      <c r="H2" s="10"/>
      <c r="I2" s="11">
        <v>59.0</v>
      </c>
      <c r="J2" s="11">
        <v>29.5</v>
      </c>
      <c r="K2" s="10"/>
      <c r="L2" s="10"/>
      <c r="M2" s="10"/>
      <c r="N2" s="12">
        <f t="shared" ref="N2:N15" si="2">SUM(B2:M2)</f>
        <v>88.5</v>
      </c>
    </row>
    <row r="3">
      <c r="A3" s="9" t="s">
        <v>27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2">
        <f t="shared" si="2"/>
        <v>0</v>
      </c>
    </row>
    <row r="4">
      <c r="A4" s="9" t="s">
        <v>16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2">
        <f t="shared" si="2"/>
        <v>0</v>
      </c>
    </row>
    <row r="5">
      <c r="A5" s="9" t="s">
        <v>17</v>
      </c>
      <c r="B5" s="10"/>
      <c r="C5" s="10"/>
      <c r="D5" s="10"/>
      <c r="E5" s="11">
        <v>240.0</v>
      </c>
      <c r="F5" s="10"/>
      <c r="G5" s="11">
        <v>360.0</v>
      </c>
      <c r="H5" s="10">
        <v>345.6</v>
      </c>
      <c r="I5" s="10"/>
      <c r="J5" s="11">
        <v>408.0</v>
      </c>
      <c r="K5" s="11">
        <v>360.0</v>
      </c>
      <c r="L5" s="11">
        <v>360.0</v>
      </c>
      <c r="M5" s="10"/>
      <c r="N5" s="12">
        <f t="shared" si="2"/>
        <v>2073.6</v>
      </c>
    </row>
    <row r="6">
      <c r="A6" s="9" t="s">
        <v>18</v>
      </c>
      <c r="B6" s="11">
        <v>720.0</v>
      </c>
      <c r="C6" s="10"/>
      <c r="D6" s="11">
        <v>720.0</v>
      </c>
      <c r="E6" s="11">
        <v>600.0</v>
      </c>
      <c r="F6" s="11">
        <v>600.0</v>
      </c>
      <c r="G6" s="11">
        <v>480.0</v>
      </c>
      <c r="H6" s="10">
        <v>664.0</v>
      </c>
      <c r="I6" s="11">
        <v>480.0</v>
      </c>
      <c r="J6" s="11">
        <v>600.0</v>
      </c>
      <c r="K6" s="11">
        <v>1200.0</v>
      </c>
      <c r="L6" s="11">
        <v>576.0</v>
      </c>
      <c r="M6" s="10"/>
      <c r="N6" s="12">
        <f t="shared" si="2"/>
        <v>6640</v>
      </c>
    </row>
    <row r="7">
      <c r="A7" s="9" t="s">
        <v>19</v>
      </c>
      <c r="B7" s="11">
        <v>2624.0</v>
      </c>
      <c r="C7" s="11">
        <v>3280.0</v>
      </c>
      <c r="D7" s="11">
        <v>3936.0</v>
      </c>
      <c r="E7" s="11">
        <v>3936.0</v>
      </c>
      <c r="F7" s="11">
        <v>2624.0</v>
      </c>
      <c r="G7" s="11">
        <v>3936.0</v>
      </c>
      <c r="H7" s="10">
        <v>3583.3</v>
      </c>
      <c r="I7" s="11">
        <v>2624.0</v>
      </c>
      <c r="J7" s="11">
        <v>4345.0</v>
      </c>
      <c r="K7" s="11">
        <v>3936.0</v>
      </c>
      <c r="L7" s="11">
        <v>4592.0</v>
      </c>
      <c r="M7" s="10"/>
      <c r="N7" s="12">
        <f t="shared" si="2"/>
        <v>39416.3</v>
      </c>
    </row>
    <row r="8">
      <c r="A8" s="9" t="s">
        <v>20</v>
      </c>
      <c r="B8" s="11">
        <v>720.0</v>
      </c>
      <c r="C8" s="10"/>
      <c r="D8" s="11">
        <v>360.0</v>
      </c>
      <c r="E8" s="11">
        <v>480.0</v>
      </c>
      <c r="F8" s="11">
        <v>480.0</v>
      </c>
      <c r="G8" s="11">
        <v>288.0</v>
      </c>
      <c r="H8" s="10">
        <v>493.3333333333333</v>
      </c>
      <c r="I8" s="11">
        <v>480.0</v>
      </c>
      <c r="J8" s="11">
        <v>480.0</v>
      </c>
      <c r="K8" s="11">
        <v>720.0</v>
      </c>
      <c r="L8" s="11">
        <v>432.0</v>
      </c>
      <c r="M8" s="10"/>
      <c r="N8" s="12">
        <f t="shared" si="2"/>
        <v>4933.333333</v>
      </c>
    </row>
    <row r="9">
      <c r="A9" s="9" t="s">
        <v>21</v>
      </c>
      <c r="B9" s="10"/>
      <c r="C9" s="11">
        <v>215.0</v>
      </c>
      <c r="D9" s="11">
        <v>215.0</v>
      </c>
      <c r="E9" s="11">
        <v>215.0</v>
      </c>
      <c r="F9" s="10"/>
      <c r="G9" s="11">
        <v>645.0</v>
      </c>
      <c r="H9" s="10">
        <v>344.0</v>
      </c>
      <c r="I9" s="10"/>
      <c r="J9" s="10"/>
      <c r="K9" s="11">
        <v>430.0</v>
      </c>
      <c r="L9" s="10"/>
      <c r="M9" s="10"/>
      <c r="N9" s="12">
        <f t="shared" si="2"/>
        <v>2064</v>
      </c>
    </row>
    <row r="10">
      <c r="A10" s="9" t="s">
        <v>28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2">
        <f t="shared" si="2"/>
        <v>0</v>
      </c>
    </row>
    <row r="11">
      <c r="A11" s="9" t="s">
        <v>22</v>
      </c>
      <c r="B11" s="10"/>
      <c r="C11" s="11">
        <v>504.0</v>
      </c>
      <c r="D11" s="10"/>
      <c r="E11" s="10"/>
      <c r="F11" s="11">
        <v>1008.0</v>
      </c>
      <c r="G11" s="10"/>
      <c r="H11" s="10">
        <v>756.0</v>
      </c>
      <c r="I11" s="10"/>
      <c r="J11" s="10"/>
      <c r="K11" s="10"/>
      <c r="L11" s="10"/>
      <c r="M11" s="10"/>
      <c r="N11" s="12">
        <f t="shared" si="2"/>
        <v>2268</v>
      </c>
    </row>
    <row r="12">
      <c r="A12" s="9" t="s">
        <v>23</v>
      </c>
      <c r="B12" s="10"/>
      <c r="C12" s="11">
        <v>160.0</v>
      </c>
      <c r="D12" s="11">
        <v>128.0</v>
      </c>
      <c r="E12" s="11">
        <v>160.0</v>
      </c>
      <c r="F12" s="10"/>
      <c r="G12" s="10"/>
      <c r="H12" s="10">
        <v>147.2</v>
      </c>
      <c r="I12" s="10"/>
      <c r="J12" s="10"/>
      <c r="K12" s="11">
        <v>128.0</v>
      </c>
      <c r="L12" s="11">
        <v>160.0</v>
      </c>
      <c r="M12" s="10"/>
      <c r="N12" s="12">
        <f t="shared" si="2"/>
        <v>883.2</v>
      </c>
    </row>
    <row r="13">
      <c r="A13" s="9" t="s">
        <v>24</v>
      </c>
      <c r="B13" s="11">
        <v>42.0</v>
      </c>
      <c r="C13" s="10"/>
      <c r="D13" s="11">
        <v>294.0</v>
      </c>
      <c r="E13" s="10"/>
      <c r="F13" s="11">
        <v>420.0</v>
      </c>
      <c r="G13" s="11">
        <v>420.0</v>
      </c>
      <c r="H13" s="10">
        <v>371.0</v>
      </c>
      <c r="I13" s="10"/>
      <c r="J13" s="11">
        <f>420+210</f>
        <v>630</v>
      </c>
      <c r="K13" s="10"/>
      <c r="L13" s="11">
        <v>420.0</v>
      </c>
      <c r="M13" s="10"/>
      <c r="N13" s="12">
        <f t="shared" si="2"/>
        <v>2597</v>
      </c>
    </row>
    <row r="14">
      <c r="A14" s="9" t="s">
        <v>25</v>
      </c>
      <c r="B14" s="10"/>
      <c r="C14" s="10"/>
      <c r="D14" s="10"/>
      <c r="E14" s="10"/>
      <c r="F14" s="11">
        <v>416.0</v>
      </c>
      <c r="G14" s="11">
        <v>520.0</v>
      </c>
      <c r="H14" s="10">
        <v>576.8</v>
      </c>
      <c r="I14" s="11">
        <f>520+260</f>
        <v>780</v>
      </c>
      <c r="J14" s="10"/>
      <c r="K14" s="11">
        <v>520.0</v>
      </c>
      <c r="L14" s="11">
        <f>336+312</f>
        <v>648</v>
      </c>
      <c r="M14" s="10"/>
      <c r="N14" s="12">
        <f t="shared" si="2"/>
        <v>3460.8</v>
      </c>
    </row>
    <row r="15">
      <c r="A15" s="13" t="s">
        <v>26</v>
      </c>
      <c r="B15" s="12">
        <f t="shared" ref="B15:M15" si="3">SUM(B2:B14)</f>
        <v>4106</v>
      </c>
      <c r="C15" s="12">
        <f t="shared" si="3"/>
        <v>4159</v>
      </c>
      <c r="D15" s="12">
        <f t="shared" si="3"/>
        <v>5653</v>
      </c>
      <c r="E15" s="12">
        <f t="shared" si="3"/>
        <v>5631</v>
      </c>
      <c r="F15" s="12">
        <f t="shared" si="3"/>
        <v>5548</v>
      </c>
      <c r="G15" s="12">
        <f t="shared" si="3"/>
        <v>6649</v>
      </c>
      <c r="H15" s="12">
        <f t="shared" si="3"/>
        <v>7281.233333</v>
      </c>
      <c r="I15" s="12">
        <f t="shared" si="3"/>
        <v>4423</v>
      </c>
      <c r="J15" s="12">
        <f t="shared" si="3"/>
        <v>6492.5</v>
      </c>
      <c r="K15" s="12">
        <f t="shared" si="3"/>
        <v>7294</v>
      </c>
      <c r="L15" s="12">
        <f t="shared" si="3"/>
        <v>7188</v>
      </c>
      <c r="M15" s="12">
        <f t="shared" si="3"/>
        <v>0</v>
      </c>
      <c r="N15" s="12">
        <f t="shared" si="2"/>
        <v>64424.73333</v>
      </c>
    </row>
  </sheetData>
  <drawing r:id="rId1"/>
</worksheet>
</file>