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IFERROR(__xludf.DUMMYFUNCTION("IMPORTRANGE(""https://docs.google.com/spreadsheets/d/15-t0ohJM1pWQpK6y9PcraAhFg4D9ywS-v_JG9CNmywA/edit?gid=935531823#gid=935531823"",""Relatório Degust!A5:D"")"),"BEBIDAS")</f>
        <v>BEBIDAS</v>
      </c>
      <c r="B1" s="1"/>
      <c r="C1" s="1"/>
      <c r="D1" s="1"/>
    </row>
    <row r="2">
      <c r="A2" s="1">
        <f>IFERROR(__xludf.DUMMYFUNCTION("""COMPUTED_VALUE"""),57.0)</f>
        <v>57</v>
      </c>
      <c r="B2" s="1" t="str">
        <f>IFERROR(__xludf.DUMMYFUNCTION("""COMPUTED_VALUE"""),"AGUA COM GAS CIFAO")</f>
        <v>AGUA COM GAS CIFAO</v>
      </c>
      <c r="C2" s="1" t="str">
        <f>IFERROR(__xludf.DUMMYFUNCTION("""COMPUTED_VALUE"""),"LT")</f>
        <v>LT</v>
      </c>
      <c r="D2" s="1">
        <f>IFERROR(__xludf.DUMMYFUNCTION("""COMPUTED_VALUE"""),74.95)</f>
        <v>74.95</v>
      </c>
    </row>
    <row r="3">
      <c r="A3" s="1">
        <f>IFERROR(__xludf.DUMMYFUNCTION("""COMPUTED_VALUE"""),1256.0)</f>
        <v>1256</v>
      </c>
      <c r="B3" s="1" t="str">
        <f>IFERROR(__xludf.DUMMYFUNCTION("""COMPUTED_VALUE"""),"AGUA DE COCO")</f>
        <v>AGUA DE COCO</v>
      </c>
      <c r="C3" s="1" t="str">
        <f>IFERROR(__xludf.DUMMYFUNCTION("""COMPUTED_VALUE"""),"UN")</f>
        <v>UN</v>
      </c>
      <c r="D3" s="1">
        <f>IFERROR(__xludf.DUMMYFUNCTION("""COMPUTED_VALUE"""),11.0)</f>
        <v>11</v>
      </c>
    </row>
    <row r="4">
      <c r="A4" s="1">
        <f>IFERROR(__xludf.DUMMYFUNCTION("""COMPUTED_VALUE"""),186.0)</f>
        <v>186</v>
      </c>
      <c r="B4" s="1" t="str">
        <f>IFERROR(__xludf.DUMMYFUNCTION("""COMPUTED_VALUE"""),"AGUA GARRAFA C GAS")</f>
        <v>AGUA GARRAFA C GAS</v>
      </c>
      <c r="C4" s="1" t="str">
        <f>IFERROR(__xludf.DUMMYFUNCTION("""COMPUTED_VALUE"""),"UN")</f>
        <v>UN</v>
      </c>
      <c r="D4" s="1">
        <f>IFERROR(__xludf.DUMMYFUNCTION("""COMPUTED_VALUE"""),252.0)</f>
        <v>252</v>
      </c>
    </row>
    <row r="5">
      <c r="A5" s="1">
        <f>IFERROR(__xludf.DUMMYFUNCTION("""COMPUTED_VALUE"""),185.0)</f>
        <v>185</v>
      </c>
      <c r="B5" s="1" t="str">
        <f>IFERROR(__xludf.DUMMYFUNCTION("""COMPUTED_VALUE"""),"AGUA GARRAFA S GAS")</f>
        <v>AGUA GARRAFA S GAS</v>
      </c>
      <c r="C5" s="1" t="str">
        <f>IFERROR(__xludf.DUMMYFUNCTION("""COMPUTED_VALUE"""),"UN")</f>
        <v>UN</v>
      </c>
      <c r="D5" s="1">
        <f>IFERROR(__xludf.DUMMYFUNCTION("""COMPUTED_VALUE"""),224.0)</f>
        <v>224</v>
      </c>
    </row>
    <row r="6">
      <c r="A6" s="1">
        <f>IFERROR(__xludf.DUMMYFUNCTION("""COMPUTED_VALUE"""),188.0)</f>
        <v>188</v>
      </c>
      <c r="B6" s="1" t="str">
        <f>IFERROR(__xludf.DUMMYFUNCTION("""COMPUTED_VALUE"""),"AGUA TONICA LATA")</f>
        <v>AGUA TONICA LATA</v>
      </c>
      <c r="C6" s="1" t="str">
        <f>IFERROR(__xludf.DUMMYFUNCTION("""COMPUTED_VALUE"""),"UN")</f>
        <v>UN</v>
      </c>
      <c r="D6" s="1">
        <f>IFERROR(__xludf.DUMMYFUNCTION("""COMPUTED_VALUE"""),13.0)</f>
        <v>13</v>
      </c>
    </row>
    <row r="7">
      <c r="A7" s="1">
        <f>IFERROR(__xludf.DUMMYFUNCTION("""COMPUTED_VALUE"""),40.0)</f>
        <v>40</v>
      </c>
      <c r="B7" s="1" t="str">
        <f>IFERROR(__xludf.DUMMYFUNCTION("""COMPUTED_VALUE"""),"AROMATIZANTE AVELA")</f>
        <v>AROMATIZANTE AVELA</v>
      </c>
      <c r="C7" s="1" t="str">
        <f>IFERROR(__xludf.DUMMYFUNCTION("""COMPUTED_VALUE"""),"LT")</f>
        <v>LT</v>
      </c>
      <c r="D7" s="1">
        <f>IFERROR(__xludf.DUMMYFUNCTION("""COMPUTED_VALUE"""),0.91)</f>
        <v>0.91</v>
      </c>
    </row>
    <row r="8">
      <c r="A8" s="1">
        <f>IFERROR(__xludf.DUMMYFUNCTION("""COMPUTED_VALUE"""),42.0)</f>
        <v>42</v>
      </c>
      <c r="B8" s="1" t="str">
        <f>IFERROR(__xludf.DUMMYFUNCTION("""COMPUTED_VALUE"""),"AROMATIZANTE FRAMBOESA")</f>
        <v>AROMATIZANTE FRAMBOESA</v>
      </c>
      <c r="C8" s="1" t="str">
        <f>IFERROR(__xludf.DUMMYFUNCTION("""COMPUTED_VALUE"""),"LT")</f>
        <v>LT</v>
      </c>
      <c r="D8" s="1">
        <f>IFERROR(__xludf.DUMMYFUNCTION("""COMPUTED_VALUE"""),0.59)</f>
        <v>0.59</v>
      </c>
    </row>
    <row r="9">
      <c r="A9" s="1">
        <f>IFERROR(__xludf.DUMMYFUNCTION("""COMPUTED_VALUE"""),43.0)</f>
        <v>43</v>
      </c>
      <c r="B9" s="1" t="str">
        <f>IFERROR(__xludf.DUMMYFUNCTION("""COMPUTED_VALUE"""),"AROMATIZANTE MACA VERDE")</f>
        <v>AROMATIZANTE MACA VERDE</v>
      </c>
      <c r="C9" s="1" t="str">
        <f>IFERROR(__xludf.DUMMYFUNCTION("""COMPUTED_VALUE"""),"LT")</f>
        <v>LT</v>
      </c>
      <c r="D9" s="1">
        <f>IFERROR(__xludf.DUMMYFUNCTION("""COMPUTED_VALUE"""),0.37)</f>
        <v>0.37</v>
      </c>
    </row>
    <row r="10">
      <c r="A10" s="1">
        <f>IFERROR(__xludf.DUMMYFUNCTION("""COMPUTED_VALUE"""),485.0)</f>
        <v>485</v>
      </c>
      <c r="B10" s="1" t="str">
        <f>IFERROR(__xludf.DUMMYFUNCTION("""COMPUTED_VALUE"""),"CERVEJA HEINEKEN LG NECK")</f>
        <v>CERVEJA HEINEKEN LG NECK</v>
      </c>
      <c r="C10" s="1" t="str">
        <f>IFERROR(__xludf.DUMMYFUNCTION("""COMPUTED_VALUE"""),"UN")</f>
        <v>UN</v>
      </c>
      <c r="D10" s="1">
        <f>IFERROR(__xludf.DUMMYFUNCTION("""COMPUTED_VALUE"""),56.0)</f>
        <v>56</v>
      </c>
    </row>
    <row r="11">
      <c r="A11" s="1">
        <f>IFERROR(__xludf.DUMMYFUNCTION("""COMPUTED_VALUE"""),1161.0)</f>
        <v>1161</v>
      </c>
      <c r="B11" s="1" t="str">
        <f>IFERROR(__xludf.DUMMYFUNCTION("""COMPUTED_VALUE"""),"CERVEJA HEINEKEN LG NECK ZERO")</f>
        <v>CERVEJA HEINEKEN LG NECK ZERO</v>
      </c>
      <c r="C11" s="1" t="str">
        <f>IFERROR(__xludf.DUMMYFUNCTION("""COMPUTED_VALUE"""),"UN")</f>
        <v>UN</v>
      </c>
      <c r="D11" s="1">
        <f>IFERROR(__xludf.DUMMYFUNCTION("""COMPUTED_VALUE"""),3.0)</f>
        <v>3</v>
      </c>
    </row>
    <row r="12">
      <c r="A12" s="1">
        <f>IFERROR(__xludf.DUMMYFUNCTION("""COMPUTED_VALUE"""),177.0)</f>
        <v>177</v>
      </c>
      <c r="B12" s="1" t="str">
        <f>IFERROR(__xludf.DUMMYFUNCTION("""COMPUTED_VALUE"""),"COCA COLA LATA")</f>
        <v>COCA COLA LATA</v>
      </c>
      <c r="C12" s="1" t="str">
        <f>IFERROR(__xludf.DUMMYFUNCTION("""COMPUTED_VALUE"""),"UN")</f>
        <v>UN</v>
      </c>
      <c r="D12" s="1">
        <f>IFERROR(__xludf.DUMMYFUNCTION("""COMPUTED_VALUE"""),73.0)</f>
        <v>73</v>
      </c>
    </row>
    <row r="13">
      <c r="A13" s="1">
        <f>IFERROR(__xludf.DUMMYFUNCTION("""COMPUTED_VALUE"""),178.0)</f>
        <v>178</v>
      </c>
      <c r="B13" s="1" t="str">
        <f>IFERROR(__xludf.DUMMYFUNCTION("""COMPUTED_VALUE"""),"COCA COLA ZERO LATA")</f>
        <v>COCA COLA ZERO LATA</v>
      </c>
      <c r="C13" s="1" t="str">
        <f>IFERROR(__xludf.DUMMYFUNCTION("""COMPUTED_VALUE"""),"UN")</f>
        <v>UN</v>
      </c>
      <c r="D13" s="1">
        <f>IFERROR(__xludf.DUMMYFUNCTION("""COMPUTED_VALUE"""),128.0)</f>
        <v>128</v>
      </c>
    </row>
    <row r="14">
      <c r="A14" s="1">
        <f>IFERROR(__xludf.DUMMYFUNCTION("""COMPUTED_VALUE"""),182.0)</f>
        <v>182</v>
      </c>
      <c r="B14" s="1" t="str">
        <f>IFERROR(__xludf.DUMMYFUNCTION("""COMPUTED_VALUE"""),"GUARANA LATA")</f>
        <v>GUARANA LATA</v>
      </c>
      <c r="C14" s="1" t="str">
        <f>IFERROR(__xludf.DUMMYFUNCTION("""COMPUTED_VALUE"""),"UN")</f>
        <v>UN</v>
      </c>
      <c r="D14" s="1">
        <f>IFERROR(__xludf.DUMMYFUNCTION("""COMPUTED_VALUE"""),20.0)</f>
        <v>20</v>
      </c>
    </row>
    <row r="15">
      <c r="A15" s="1">
        <f>IFERROR(__xludf.DUMMYFUNCTION("""COMPUTED_VALUE"""),183.0)</f>
        <v>183</v>
      </c>
      <c r="B15" s="1" t="str">
        <f>IFERROR(__xludf.DUMMYFUNCTION("""COMPUTED_VALUE"""),"GUARANA ZERO LATA")</f>
        <v>GUARANA ZERO LATA</v>
      </c>
      <c r="C15" s="1" t="str">
        <f>IFERROR(__xludf.DUMMYFUNCTION("""COMPUTED_VALUE"""),"UN")</f>
        <v>UN</v>
      </c>
      <c r="D15" s="1">
        <f>IFERROR(__xludf.DUMMYFUNCTION("""COMPUTED_VALUE"""),22.0)</f>
        <v>22</v>
      </c>
    </row>
    <row r="16">
      <c r="A16" s="1">
        <f>IFERROR(__xludf.DUMMYFUNCTION("""COMPUTED_VALUE"""),1241.0)</f>
        <v>1241</v>
      </c>
      <c r="B16" s="1" t="str">
        <f>IFERROR(__xludf.DUMMYFUNCTION("""COMPUTED_VALUE"""),"MATCHA")</f>
        <v>MATCHA</v>
      </c>
      <c r="C16" s="1" t="str">
        <f>IFERROR(__xludf.DUMMYFUNCTION("""COMPUTED_VALUE"""),"KG")</f>
        <v>KG</v>
      </c>
      <c r="D16" s="1">
        <f>IFERROR(__xludf.DUMMYFUNCTION("""COMPUTED_VALUE"""),0.56)</f>
        <v>0.56</v>
      </c>
    </row>
    <row r="17">
      <c r="A17" s="1">
        <f>IFERROR(__xludf.DUMMYFUNCTION("""COMPUTED_VALUE"""),118.0)</f>
        <v>118</v>
      </c>
      <c r="B17" s="1" t="str">
        <f>IFERROR(__xludf.DUMMYFUNCTION("""COMPUTED_VALUE"""),"SUCO LARANJA IND")</f>
        <v>SUCO LARANJA IND</v>
      </c>
      <c r="C17" s="1" t="str">
        <f>IFERROR(__xludf.DUMMYFUNCTION("""COMPUTED_VALUE"""),"LT")</f>
        <v>LT</v>
      </c>
      <c r="D17" s="1">
        <f>IFERROR(__xludf.DUMMYFUNCTION("""COMPUTED_VALUE"""),6.6)</f>
        <v>6.6</v>
      </c>
    </row>
    <row r="18">
      <c r="A18" s="1">
        <f>IFERROR(__xludf.DUMMYFUNCTION("""COMPUTED_VALUE"""),1137.0)</f>
        <v>1137</v>
      </c>
      <c r="B18" s="1" t="str">
        <f>IFERROR(__xludf.DUMMYFUNCTION("""COMPUTED_VALUE"""),"VINHO BRANCO GARRAFA 0,187ML")</f>
        <v>VINHO BRANCO GARRAFA 0,187ML</v>
      </c>
      <c r="C18" s="1" t="str">
        <f>IFERROR(__xludf.DUMMYFUNCTION("""COMPUTED_VALUE"""),"LT")</f>
        <v>LT</v>
      </c>
      <c r="D18" s="1">
        <f>IFERROR(__xludf.DUMMYFUNCTION("""COMPUTED_VALUE"""),2.431)</f>
        <v>2.431</v>
      </c>
    </row>
    <row r="19">
      <c r="A19" s="1">
        <f>IFERROR(__xludf.DUMMYFUNCTION("""COMPUTED_VALUE"""),583.0)</f>
        <v>583</v>
      </c>
      <c r="B19" s="1" t="str">
        <f>IFERROR(__xludf.DUMMYFUNCTION("""COMPUTED_VALUE"""),"VINHO ROSE GARRAFA 0,187ML")</f>
        <v>VINHO ROSE GARRAFA 0,187ML</v>
      </c>
      <c r="C19" s="1" t="str">
        <f>IFERROR(__xludf.DUMMYFUNCTION("""COMPUTED_VALUE"""),"LT")</f>
        <v>LT</v>
      </c>
      <c r="D19" s="1">
        <f>IFERROR(__xludf.DUMMYFUNCTION("""COMPUTED_VALUE"""),1.683)</f>
        <v>1.683</v>
      </c>
    </row>
    <row r="20">
      <c r="A20" s="1">
        <f>IFERROR(__xludf.DUMMYFUNCTION("""COMPUTED_VALUE"""),932.0)</f>
        <v>932</v>
      </c>
      <c r="B20" s="1" t="str">
        <f>IFERROR(__xludf.DUMMYFUNCTION("""COMPUTED_VALUE"""),"VINHO TINTO GARRAFA 0,187ML")</f>
        <v>VINHO TINTO GARRAFA 0,187ML</v>
      </c>
      <c r="C20" s="1" t="str">
        <f>IFERROR(__xludf.DUMMYFUNCTION("""COMPUTED_VALUE"""),"LT")</f>
        <v>LT</v>
      </c>
      <c r="D20" s="1">
        <f>IFERROR(__xludf.DUMMYFUNCTION("""COMPUTED_VALUE"""),4.114)</f>
        <v>4.114</v>
      </c>
    </row>
    <row r="21">
      <c r="A21" s="1"/>
      <c r="B21" s="1"/>
      <c r="C21" s="1" t="str">
        <f>IFERROR(__xludf.DUMMYFUNCTION("""COMPUTED_VALUE"""),"Total Grupo")</f>
        <v>Total Grupo</v>
      </c>
      <c r="D21" s="2">
        <f>IFERROR(__xludf.DUMMYFUNCTION("""COMPUTED_VALUE"""),894.208)</f>
        <v>894.208</v>
      </c>
    </row>
    <row r="22">
      <c r="A22" s="1" t="str">
        <f>IFERROR(__xludf.DUMMYFUNCTION("""COMPUTED_VALUE"""),"CAFES / BASES EM PO")</f>
        <v>CAFES / BASES EM PO</v>
      </c>
      <c r="B22" s="1"/>
      <c r="C22" s="1"/>
      <c r="D22" s="1"/>
    </row>
    <row r="23">
      <c r="A23" s="1">
        <f>IFERROR(__xludf.DUMMYFUNCTION("""COMPUTED_VALUE"""),6.0)</f>
        <v>6</v>
      </c>
      <c r="B23" s="1" t="str">
        <f>IFERROR(__xludf.DUMMYFUNCTION("""COMPUTED_VALUE"""),"CAPPUCCINO DIET")</f>
        <v>CAPPUCCINO DIET</v>
      </c>
      <c r="C23" s="1" t="str">
        <f>IFERROR(__xludf.DUMMYFUNCTION("""COMPUTED_VALUE"""),"KG")</f>
        <v>KG</v>
      </c>
      <c r="D23" s="1">
        <f>IFERROR(__xludf.DUMMYFUNCTION("""COMPUTED_VALUE"""),0.126)</f>
        <v>0.126</v>
      </c>
    </row>
    <row r="24">
      <c r="A24" s="1">
        <f>IFERROR(__xludf.DUMMYFUNCTION("""COMPUTED_VALUE"""),2.0)</f>
        <v>2</v>
      </c>
      <c r="B24" s="1" t="str">
        <f>IFERROR(__xludf.DUMMYFUNCTION("""COMPUTED_VALUE"""),"CAPPUCCINO SCADA - 1KG")</f>
        <v>CAPPUCCINO SCADA - 1KG</v>
      </c>
      <c r="C24" s="1" t="str">
        <f>IFERROR(__xludf.DUMMYFUNCTION("""COMPUTED_VALUE"""),"KG")</f>
        <v>KG</v>
      </c>
      <c r="D24" s="1">
        <f>IFERROR(__xludf.DUMMYFUNCTION("""COMPUTED_VALUE"""),7.86)</f>
        <v>7.86</v>
      </c>
    </row>
    <row r="25">
      <c r="A25" s="1">
        <f>IFERROR(__xludf.DUMMYFUNCTION("""COMPUTED_VALUE"""),1059.0)</f>
        <v>1059</v>
      </c>
      <c r="B25" s="1" t="str">
        <f>IFERROR(__xludf.DUMMYFUNCTION("""COMPUTED_VALUE"""),"CHA MATE TOSTADO")</f>
        <v>CHA MATE TOSTADO</v>
      </c>
      <c r="C25" s="1" t="str">
        <f>IFERROR(__xludf.DUMMYFUNCTION("""COMPUTED_VALUE"""),"KG")</f>
        <v>KG</v>
      </c>
      <c r="D25" s="1">
        <f>IFERROR(__xludf.DUMMYFUNCTION("""COMPUTED_VALUE"""),0.4731)</f>
        <v>0.4731</v>
      </c>
    </row>
    <row r="26">
      <c r="A26" s="1">
        <f>IFERROR(__xludf.DUMMYFUNCTION("""COMPUTED_VALUE"""),107.0)</f>
        <v>107</v>
      </c>
      <c r="B26" s="1" t="str">
        <f>IFERROR(__xludf.DUMMYFUNCTION("""COMPUTED_VALUE"""),"CHA QUENTE NACIONAL SACHE")</f>
        <v>CHA QUENTE NACIONAL SACHE</v>
      </c>
      <c r="C26" s="1" t="str">
        <f>IFERROR(__xludf.DUMMYFUNCTION("""COMPUTED_VALUE"""),"UN")</f>
        <v>UN</v>
      </c>
      <c r="D26" s="1">
        <f>IFERROR(__xludf.DUMMYFUNCTION("""COMPUTED_VALUE"""),74.0)</f>
        <v>74</v>
      </c>
    </row>
    <row r="27">
      <c r="A27" s="1">
        <f>IFERROR(__xludf.DUMMYFUNCTION("""COMPUTED_VALUE"""),441.0)</f>
        <v>441</v>
      </c>
      <c r="B27" s="1" t="str">
        <f>IFERROR(__xludf.DUMMYFUNCTION("""COMPUTED_VALUE"""),"CHOCOLATE CREMOSO- 1,05KG")</f>
        <v>CHOCOLATE CREMOSO- 1,05KG</v>
      </c>
      <c r="C27" s="1" t="str">
        <f>IFERROR(__xludf.DUMMYFUNCTION("""COMPUTED_VALUE"""),"KG")</f>
        <v>KG</v>
      </c>
      <c r="D27" s="1">
        <f>IFERROR(__xludf.DUMMYFUNCTION("""COMPUTED_VALUE"""),3.877)</f>
        <v>3.877</v>
      </c>
    </row>
    <row r="28">
      <c r="A28" s="1">
        <f>IFERROR(__xludf.DUMMYFUNCTION("""COMPUTED_VALUE"""),725.0)</f>
        <v>725</v>
      </c>
      <c r="B28" s="1" t="str">
        <f>IFERROR(__xludf.DUMMYFUNCTION("""COMPUTED_VALUE"""),"SCADA B.AMARELO=CITRIC0 GRAO 250GR")</f>
        <v>SCADA B.AMARELO=CITRIC0 GRAO 250GR</v>
      </c>
      <c r="C28" s="1" t="str">
        <f>IFERROR(__xludf.DUMMYFUNCTION("""COMPUTED_VALUE"""),"KG")</f>
        <v>KG</v>
      </c>
      <c r="D28" s="1">
        <f>IFERROR(__xludf.DUMMYFUNCTION("""COMPUTED_VALUE"""),0.505)</f>
        <v>0.505</v>
      </c>
    </row>
    <row r="29">
      <c r="A29" s="1">
        <f>IFERROR(__xludf.DUMMYFUNCTION("""COMPUTED_VALUE"""),723.0)</f>
        <v>723</v>
      </c>
      <c r="B29" s="1" t="str">
        <f>IFERROR(__xludf.DUMMYFUNCTION("""COMPUTED_VALUE"""),"SCADA B.VERMELHO=FRUTADO GRAO 250GR")</f>
        <v>SCADA B.VERMELHO=FRUTADO GRAO 250GR</v>
      </c>
      <c r="C29" s="1" t="str">
        <f>IFERROR(__xludf.DUMMYFUNCTION("""COMPUTED_VALUE"""),"KG")</f>
        <v>KG</v>
      </c>
      <c r="D29" s="1">
        <f>IFERROR(__xludf.DUMMYFUNCTION("""COMPUTED_VALUE"""),1.34)</f>
        <v>1.34</v>
      </c>
    </row>
    <row r="30">
      <c r="A30" s="1">
        <f>IFERROR(__xludf.DUMMYFUNCTION("""COMPUTED_VALUE"""),1149.0)</f>
        <v>1149</v>
      </c>
      <c r="B30" s="1" t="str">
        <f>IFERROR(__xludf.DUMMYFUNCTION("""COMPUTED_VALUE"""),"SCADA BLEND GRAO 1 KG")</f>
        <v>SCADA BLEND GRAO 1 KG</v>
      </c>
      <c r="C30" s="1" t="str">
        <f>IFERROR(__xludf.DUMMYFUNCTION("""COMPUTED_VALUE"""),"KG")</f>
        <v>KG</v>
      </c>
      <c r="D30" s="1">
        <f>IFERROR(__xludf.DUMMYFUNCTION("""COMPUTED_VALUE"""),24.7398)</f>
        <v>24.7398</v>
      </c>
    </row>
    <row r="31">
      <c r="A31" s="1">
        <f>IFERROR(__xludf.DUMMYFUNCTION("""COMPUTED_VALUE"""),662.0)</f>
        <v>662</v>
      </c>
      <c r="B31" s="1" t="str">
        <f>IFERROR(__xludf.DUMMYFUNCTION("""COMPUTED_VALUE"""),"SCADA BLEND GRAO 250G")</f>
        <v>SCADA BLEND GRAO 250G</v>
      </c>
      <c r="C31" s="1" t="str">
        <f>IFERROR(__xludf.DUMMYFUNCTION("""COMPUTED_VALUE"""),"KG")</f>
        <v>KG</v>
      </c>
      <c r="D31" s="1">
        <f>IFERROR(__xludf.DUMMYFUNCTION("""COMPUTED_VALUE"""),1.625)</f>
        <v>1.625</v>
      </c>
    </row>
    <row r="32">
      <c r="A32" s="1">
        <f>IFERROR(__xludf.DUMMYFUNCTION("""COMPUTED_VALUE"""),722.0)</f>
        <v>722</v>
      </c>
      <c r="B32" s="1" t="str">
        <f>IFERROR(__xludf.DUMMYFUNCTION("""COMPUTED_VALUE"""),"SCADA DESCAFEINADO GRAO 250G")</f>
        <v>SCADA DESCAFEINADO GRAO 250G</v>
      </c>
      <c r="C32" s="1" t="str">
        <f>IFERROR(__xludf.DUMMYFUNCTION("""COMPUTED_VALUE"""),"KG")</f>
        <v>KG</v>
      </c>
      <c r="D32" s="1">
        <f>IFERROR(__xludf.DUMMYFUNCTION("""COMPUTED_VALUE"""),0.33)</f>
        <v>0.33</v>
      </c>
    </row>
    <row r="33">
      <c r="A33" s="1">
        <f>IFERROR(__xludf.DUMMYFUNCTION("""COMPUTED_VALUE"""),930.0)</f>
        <v>930</v>
      </c>
      <c r="B33" s="1" t="str">
        <f>IFERROR(__xludf.DUMMYFUNCTION("""COMPUTED_VALUE"""),"SCADA EDICAO ESPECIAL GRAO 250G")</f>
        <v>SCADA EDICAO ESPECIAL GRAO 250G</v>
      </c>
      <c r="C33" s="1" t="str">
        <f>IFERROR(__xludf.DUMMYFUNCTION("""COMPUTED_VALUE"""),"KG")</f>
        <v>KG</v>
      </c>
      <c r="D33" s="1">
        <f>IFERROR(__xludf.DUMMYFUNCTION("""COMPUTED_VALUE"""),0.135)</f>
        <v>0.135</v>
      </c>
    </row>
    <row r="34">
      <c r="A34" s="1"/>
      <c r="B34" s="1"/>
      <c r="C34" s="1" t="str">
        <f>IFERROR(__xludf.DUMMYFUNCTION("""COMPUTED_VALUE"""),"Total Grupo")</f>
        <v>Total Grupo</v>
      </c>
      <c r="D34" s="1">
        <f>IFERROR(__xludf.DUMMYFUNCTION("""COMPUTED_VALUE"""),115.0109)</f>
        <v>115.0109</v>
      </c>
    </row>
    <row r="35">
      <c r="A35" s="1" t="str">
        <f>IFERROR(__xludf.DUMMYFUNCTION("""COMPUTED_VALUE"""),"CALDOS")</f>
        <v>CALDOS</v>
      </c>
      <c r="B35" s="1"/>
      <c r="C35" s="1"/>
      <c r="D35" s="1"/>
    </row>
    <row r="36">
      <c r="A36" s="1">
        <f>IFERROR(__xludf.DUMMYFUNCTION("""COMPUTED_VALUE"""),483.0)</f>
        <v>483</v>
      </c>
      <c r="B36" s="1" t="str">
        <f>IFERROR(__xludf.DUMMYFUNCTION("""COMPUTED_VALUE"""),"CALDO MANDIOQUINHA C/CARNE SECA")</f>
        <v>CALDO MANDIOQUINHA C/CARNE SECA</v>
      </c>
      <c r="C36" s="1" t="str">
        <f>IFERROR(__xludf.DUMMYFUNCTION("""COMPUTED_VALUE"""),"UN")</f>
        <v>UN</v>
      </c>
      <c r="D36" s="1">
        <f>IFERROR(__xludf.DUMMYFUNCTION("""COMPUTED_VALUE"""),16.0)</f>
        <v>16</v>
      </c>
    </row>
    <row r="37">
      <c r="A37" s="1">
        <f>IFERROR(__xludf.DUMMYFUNCTION("""COMPUTED_VALUE"""),148.0)</f>
        <v>148</v>
      </c>
      <c r="B37" s="1" t="str">
        <f>IFERROR(__xludf.DUMMYFUNCTION("""COMPUTED_VALUE"""),"CALDO VERDE C/BACON")</f>
        <v>CALDO VERDE C/BACON</v>
      </c>
      <c r="C37" s="1" t="str">
        <f>IFERROR(__xludf.DUMMYFUNCTION("""COMPUTED_VALUE"""),"UN")</f>
        <v>UN</v>
      </c>
      <c r="D37" s="1">
        <f>IFERROR(__xludf.DUMMYFUNCTION("""COMPUTED_VALUE"""),3.0)</f>
        <v>3</v>
      </c>
    </row>
    <row r="38">
      <c r="A38" s="1"/>
      <c r="B38" s="1"/>
      <c r="C38" s="1" t="str">
        <f>IFERROR(__xludf.DUMMYFUNCTION("""COMPUTED_VALUE"""),"Total Grupo")</f>
        <v>Total Grupo</v>
      </c>
      <c r="D38" s="1">
        <f>IFERROR(__xludf.DUMMYFUNCTION("""COMPUTED_VALUE"""),19.0)</f>
        <v>19</v>
      </c>
    </row>
    <row r="39">
      <c r="A39" s="1" t="str">
        <f>IFERROR(__xludf.DUMMYFUNCTION("""COMPUTED_VALUE"""),"CONGELADOS")</f>
        <v>CONGELADOS</v>
      </c>
      <c r="B39" s="1"/>
      <c r="C39" s="1"/>
      <c r="D39" s="1"/>
    </row>
    <row r="40">
      <c r="A40" s="1">
        <f>IFERROR(__xludf.DUMMYFUNCTION("""COMPUTED_VALUE"""),1159.0)</f>
        <v>1159</v>
      </c>
      <c r="B40" s="1" t="str">
        <f>IFERROR(__xludf.DUMMYFUNCTION("""COMPUTED_VALUE"""),"ARROZ ARBOREO RISOTO")</f>
        <v>ARROZ ARBOREO RISOTO</v>
      </c>
      <c r="C40" s="1" t="str">
        <f>IFERROR(__xludf.DUMMYFUNCTION("""COMPUTED_VALUE"""),"UN")</f>
        <v>UN</v>
      </c>
      <c r="D40" s="1">
        <f>IFERROR(__xludf.DUMMYFUNCTION("""COMPUTED_VALUE"""),27.0)</f>
        <v>27</v>
      </c>
    </row>
    <row r="41">
      <c r="A41" s="1">
        <f>IFERROR(__xludf.DUMMYFUNCTION("""COMPUTED_VALUE"""),704.0)</f>
        <v>704</v>
      </c>
      <c r="B41" s="1" t="str">
        <f>IFERROR(__xludf.DUMMYFUNCTION("""COMPUTED_VALUE"""),"ARROZ BRANCO TRADICIONAL")</f>
        <v>ARROZ BRANCO TRADICIONAL</v>
      </c>
      <c r="C41" s="1" t="str">
        <f>IFERROR(__xludf.DUMMYFUNCTION("""COMPUTED_VALUE"""),"UN")</f>
        <v>UN</v>
      </c>
      <c r="D41" s="1">
        <f>IFERROR(__xludf.DUMMYFUNCTION("""COMPUTED_VALUE"""),66.0)</f>
        <v>66</v>
      </c>
    </row>
    <row r="42">
      <c r="A42" s="1">
        <f>IFERROR(__xludf.DUMMYFUNCTION("""COMPUTED_VALUE"""),836.0)</f>
        <v>836</v>
      </c>
      <c r="B42" s="1" t="str">
        <f>IFERROR(__xludf.DUMMYFUNCTION("""COMPUTED_VALUE"""),"BACON")</f>
        <v>BACON</v>
      </c>
      <c r="C42" s="1" t="str">
        <f>IFERROR(__xludf.DUMMYFUNCTION("""COMPUTED_VALUE"""),"KG")</f>
        <v>KG</v>
      </c>
      <c r="D42" s="1">
        <f>IFERROR(__xludf.DUMMYFUNCTION("""COMPUTED_VALUE"""),0.1)</f>
        <v>0.1</v>
      </c>
    </row>
    <row r="43">
      <c r="A43" s="1">
        <f>IFERROR(__xludf.DUMMYFUNCTION("""COMPUTED_VALUE"""),1227.0)</f>
        <v>1227</v>
      </c>
      <c r="B43" s="1" t="str">
        <f>IFERROR(__xludf.DUMMYFUNCTION("""COMPUTED_VALUE"""),"CREME DE MILHO")</f>
        <v>CREME DE MILHO</v>
      </c>
      <c r="C43" s="1" t="str">
        <f>IFERROR(__xludf.DUMMYFUNCTION("""COMPUTED_VALUE"""),"UN")</f>
        <v>UN</v>
      </c>
      <c r="D43" s="1">
        <f>IFERROR(__xludf.DUMMYFUNCTION("""COMPUTED_VALUE"""),9.0)</f>
        <v>9</v>
      </c>
    </row>
    <row r="44">
      <c r="A44" s="1">
        <f>IFERROR(__xludf.DUMMYFUNCTION("""COMPUTED_VALUE"""),1160.0)</f>
        <v>1160</v>
      </c>
      <c r="B44" s="1" t="str">
        <f>IFERROR(__xludf.DUMMYFUNCTION("""COMPUTED_VALUE"""),"FEIJAO TROPEIRO")</f>
        <v>FEIJAO TROPEIRO</v>
      </c>
      <c r="C44" s="1" t="str">
        <f>IFERROR(__xludf.DUMMYFUNCTION("""COMPUTED_VALUE"""),"UN")</f>
        <v>UN</v>
      </c>
      <c r="D44" s="1">
        <f>IFERROR(__xludf.DUMMYFUNCTION("""COMPUTED_VALUE"""),15.0)</f>
        <v>15</v>
      </c>
    </row>
    <row r="45">
      <c r="A45" s="1">
        <f>IFERROR(__xludf.DUMMYFUNCTION("""COMPUTED_VALUE"""),1220.0)</f>
        <v>1220</v>
      </c>
      <c r="B45" s="1" t="str">
        <f>IFERROR(__xludf.DUMMYFUNCTION("""COMPUTED_VALUE"""),"FILE FRANGO EMPANADO")</f>
        <v>FILE FRANGO EMPANADO</v>
      </c>
      <c r="C45" s="1" t="str">
        <f>IFERROR(__xludf.DUMMYFUNCTION("""COMPUTED_VALUE"""),"UN")</f>
        <v>UN</v>
      </c>
      <c r="D45" s="1">
        <f>IFERROR(__xludf.DUMMYFUNCTION("""COMPUTED_VALUE"""),64.0)</f>
        <v>64</v>
      </c>
    </row>
    <row r="46">
      <c r="A46" s="1">
        <f>IFERROR(__xludf.DUMMYFUNCTION("""COMPUTED_VALUE"""),109.0)</f>
        <v>109</v>
      </c>
      <c r="B46" s="1" t="str">
        <f>IFERROR(__xludf.DUMMYFUNCTION("""COMPUTED_VALUE"""),"GELO EM CUBO")</f>
        <v>GELO EM CUBO</v>
      </c>
      <c r="C46" s="1" t="str">
        <f>IFERROR(__xludf.DUMMYFUNCTION("""COMPUTED_VALUE"""),"KG")</f>
        <v>KG</v>
      </c>
      <c r="D46" s="1">
        <f>IFERROR(__xludf.DUMMYFUNCTION("""COMPUTED_VALUE"""),13.47)</f>
        <v>13.47</v>
      </c>
    </row>
    <row r="47">
      <c r="A47" s="1">
        <f>IFERROR(__xludf.DUMMYFUNCTION("""COMPUTED_VALUE"""),1228.0)</f>
        <v>1228</v>
      </c>
      <c r="B47" s="1" t="str">
        <f>IFERROR(__xludf.DUMMYFUNCTION("""COMPUTED_VALUE"""),"LEGUMES PANACHE")</f>
        <v>LEGUMES PANACHE</v>
      </c>
      <c r="C47" s="1" t="str">
        <f>IFERROR(__xludf.DUMMYFUNCTION("""COMPUTED_VALUE"""),"UN")</f>
        <v>UN</v>
      </c>
      <c r="D47" s="1">
        <f>IFERROR(__xludf.DUMMYFUNCTION("""COMPUTED_VALUE"""),9.0)</f>
        <v>9</v>
      </c>
    </row>
    <row r="48">
      <c r="A48" s="1">
        <f>IFERROR(__xludf.DUMMYFUNCTION("""COMPUTED_VALUE"""),1152.0)</f>
        <v>1152</v>
      </c>
      <c r="B48" s="1" t="str">
        <f>IFERROR(__xludf.DUMMYFUNCTION("""COMPUTED_VALUE"""),"MACARRAO COZIDO - PENNE")</f>
        <v>MACARRAO COZIDO - PENNE</v>
      </c>
      <c r="C48" s="1" t="str">
        <f>IFERROR(__xludf.DUMMYFUNCTION("""COMPUTED_VALUE"""),"UN")</f>
        <v>UN</v>
      </c>
      <c r="D48" s="1">
        <f>IFERROR(__xludf.DUMMYFUNCTION("""COMPUTED_VALUE"""),10.0)</f>
        <v>10</v>
      </c>
    </row>
    <row r="49">
      <c r="A49" s="1">
        <f>IFERROR(__xludf.DUMMYFUNCTION("""COMPUTED_VALUE"""),1158.0)</f>
        <v>1158</v>
      </c>
      <c r="B49" s="1" t="str">
        <f>IFERROR(__xludf.DUMMYFUNCTION("""COMPUTED_VALUE"""),"MIX MOLHO DE CAMARAO")</f>
        <v>MIX MOLHO DE CAMARAO</v>
      </c>
      <c r="C49" s="1" t="str">
        <f>IFERROR(__xludf.DUMMYFUNCTION("""COMPUTED_VALUE"""),"UN")</f>
        <v>UN</v>
      </c>
      <c r="D49" s="1">
        <f>IFERROR(__xludf.DUMMYFUNCTION("""COMPUTED_VALUE"""),20.0)</f>
        <v>20</v>
      </c>
    </row>
    <row r="50">
      <c r="A50" s="1">
        <f>IFERROR(__xludf.DUMMYFUNCTION("""COMPUTED_VALUE"""),1154.0)</f>
        <v>1154</v>
      </c>
      <c r="B50" s="1" t="str">
        <f>IFERROR(__xludf.DUMMYFUNCTION("""COMPUTED_VALUE"""),"MIX MOLHO FUNGHI")</f>
        <v>MIX MOLHO FUNGHI</v>
      </c>
      <c r="C50" s="1" t="str">
        <f>IFERROR(__xludf.DUMMYFUNCTION("""COMPUTED_VALUE"""),"UN")</f>
        <v>UN</v>
      </c>
      <c r="D50" s="1">
        <f>IFERROR(__xludf.DUMMYFUNCTION("""COMPUTED_VALUE"""),17.0)</f>
        <v>17</v>
      </c>
    </row>
    <row r="51">
      <c r="A51" s="1">
        <f>IFERROR(__xludf.DUMMYFUNCTION("""COMPUTED_VALUE"""),501.0)</f>
        <v>501</v>
      </c>
      <c r="B51" s="1" t="str">
        <f>IFERROR(__xludf.DUMMYFUNCTION("""COMPUTED_VALUE"""),"MOLHO DE TOMATE C/MANJERICAO-100G")</f>
        <v>MOLHO DE TOMATE C/MANJERICAO-100G</v>
      </c>
      <c r="C51" s="1" t="str">
        <f>IFERROR(__xludf.DUMMYFUNCTION("""COMPUTED_VALUE"""),"UN")</f>
        <v>UN</v>
      </c>
      <c r="D51" s="1">
        <f>IFERROR(__xludf.DUMMYFUNCTION("""COMPUTED_VALUE"""),24.0)</f>
        <v>24</v>
      </c>
    </row>
    <row r="52">
      <c r="A52" s="1">
        <f>IFERROR(__xludf.DUMMYFUNCTION("""COMPUTED_VALUE"""),1156.0)</f>
        <v>1156</v>
      </c>
      <c r="B52" s="1" t="str">
        <f>IFERROR(__xludf.DUMMYFUNCTION("""COMPUTED_VALUE"""),"PICADINHO DE CARNE BOVINA")</f>
        <v>PICADINHO DE CARNE BOVINA</v>
      </c>
      <c r="C52" s="1" t="str">
        <f>IFERROR(__xludf.DUMMYFUNCTION("""COMPUTED_VALUE"""),"UN")</f>
        <v>UN</v>
      </c>
      <c r="D52" s="1">
        <f>IFERROR(__xludf.DUMMYFUNCTION("""COMPUTED_VALUE"""),15.0)</f>
        <v>15</v>
      </c>
    </row>
    <row r="53">
      <c r="A53" s="1">
        <f>IFERROR(__xludf.DUMMYFUNCTION("""COMPUTED_VALUE"""),121.0)</f>
        <v>121</v>
      </c>
      <c r="B53" s="1" t="str">
        <f>IFERROR(__xludf.DUMMYFUNCTION("""COMPUTED_VALUE"""),"POLPA ABACAXI HORTELA 0,100G/UN")</f>
        <v>POLPA ABACAXI HORTELA 0,100G/UN</v>
      </c>
      <c r="C53" s="1" t="str">
        <f>IFERROR(__xludf.DUMMYFUNCTION("""COMPUTED_VALUE"""),"UN")</f>
        <v>UN</v>
      </c>
      <c r="D53" s="1">
        <f>IFERROR(__xludf.DUMMYFUNCTION("""COMPUTED_VALUE"""),49.0)</f>
        <v>49</v>
      </c>
    </row>
    <row r="54">
      <c r="A54" s="1">
        <f>IFERROR(__xludf.DUMMYFUNCTION("""COMPUTED_VALUE"""),120.0)</f>
        <v>120</v>
      </c>
      <c r="B54" s="1" t="str">
        <f>IFERROR(__xludf.DUMMYFUNCTION("""COMPUTED_VALUE"""),"POLPA ACEROLA LARANJA 0,100G/UN")</f>
        <v>POLPA ACEROLA LARANJA 0,100G/UN</v>
      </c>
      <c r="C54" s="1" t="str">
        <f>IFERROR(__xludf.DUMMYFUNCTION("""COMPUTED_VALUE"""),"UN")</f>
        <v>UN</v>
      </c>
      <c r="D54" s="1">
        <f>IFERROR(__xludf.DUMMYFUNCTION("""COMPUTED_VALUE"""),32.0)</f>
        <v>32</v>
      </c>
    </row>
    <row r="55">
      <c r="A55" s="1">
        <f>IFERROR(__xludf.DUMMYFUNCTION("""COMPUTED_VALUE"""),122.0)</f>
        <v>122</v>
      </c>
      <c r="B55" s="1" t="str">
        <f>IFERROR(__xludf.DUMMYFUNCTION("""COMPUTED_VALUE"""),"POLPA MARACUJA 0,100G/UN")</f>
        <v>POLPA MARACUJA 0,100G/UN</v>
      </c>
      <c r="C55" s="1" t="str">
        <f>IFERROR(__xludf.DUMMYFUNCTION("""COMPUTED_VALUE"""),"UN")</f>
        <v>UN</v>
      </c>
      <c r="D55" s="1">
        <f>IFERROR(__xludf.DUMMYFUNCTION("""COMPUTED_VALUE"""),22.0)</f>
        <v>22</v>
      </c>
    </row>
    <row r="56">
      <c r="A56" s="1">
        <f>IFERROR(__xludf.DUMMYFUNCTION("""COMPUTED_VALUE"""),397.0)</f>
        <v>397</v>
      </c>
      <c r="B56" s="1" t="str">
        <f>IFERROR(__xludf.DUMMYFUNCTION("""COMPUTED_VALUE"""),"POLPA MORANGO 0,100G/UN")</f>
        <v>POLPA MORANGO 0,100G/UN</v>
      </c>
      <c r="C56" s="1" t="str">
        <f>IFERROR(__xludf.DUMMYFUNCTION("""COMPUTED_VALUE"""),"UN")</f>
        <v>UN</v>
      </c>
      <c r="D56" s="1">
        <f>IFERROR(__xludf.DUMMYFUNCTION("""COMPUTED_VALUE"""),21.0)</f>
        <v>21</v>
      </c>
    </row>
    <row r="57">
      <c r="A57" s="1">
        <f>IFERROR(__xludf.DUMMYFUNCTION("""COMPUTED_VALUE"""),49.0)</f>
        <v>49</v>
      </c>
      <c r="B57" s="1" t="str">
        <f>IFERROR(__xludf.DUMMYFUNCTION("""COMPUTED_VALUE"""),"SORVETE CREME")</f>
        <v>SORVETE CREME</v>
      </c>
      <c r="C57" s="1" t="str">
        <f>IFERROR(__xludf.DUMMYFUNCTION("""COMPUTED_VALUE"""),"KG")</f>
        <v>KG</v>
      </c>
      <c r="D57" s="1">
        <f>IFERROR(__xludf.DUMMYFUNCTION("""COMPUTED_VALUE"""),9.25)</f>
        <v>9.25</v>
      </c>
    </row>
    <row r="58">
      <c r="A58" s="1">
        <f>IFERROR(__xludf.DUMMYFUNCTION("""COMPUTED_VALUE"""),777.0)</f>
        <v>777</v>
      </c>
      <c r="B58" s="1" t="str">
        <f>IFERROR(__xludf.DUMMYFUNCTION("""COMPUTED_VALUE"""),"STROGONOFF DE CARNE")</f>
        <v>STROGONOFF DE CARNE</v>
      </c>
      <c r="C58" s="1" t="str">
        <f>IFERROR(__xludf.DUMMYFUNCTION("""COMPUTED_VALUE"""),"UN")</f>
        <v>UN</v>
      </c>
      <c r="D58" s="1">
        <f>IFERROR(__xludf.DUMMYFUNCTION("""COMPUTED_VALUE"""),10.0)</f>
        <v>10</v>
      </c>
    </row>
    <row r="59">
      <c r="A59" s="1">
        <f>IFERROR(__xludf.DUMMYFUNCTION("""COMPUTED_VALUE"""),769.0)</f>
        <v>769</v>
      </c>
      <c r="B59" s="1" t="str">
        <f>IFERROR(__xludf.DUMMYFUNCTION("""COMPUTED_VALUE"""),"STROGONOFF DE FRANGO")</f>
        <v>STROGONOFF DE FRANGO</v>
      </c>
      <c r="C59" s="1" t="str">
        <f>IFERROR(__xludf.DUMMYFUNCTION("""COMPUTED_VALUE"""),"UN")</f>
        <v>UN</v>
      </c>
      <c r="D59" s="1">
        <f>IFERROR(__xludf.DUMMYFUNCTION("""COMPUTED_VALUE"""),17.0)</f>
        <v>17</v>
      </c>
    </row>
    <row r="60">
      <c r="A60" s="1"/>
      <c r="B60" s="1"/>
      <c r="C60" s="1" t="str">
        <f>IFERROR(__xludf.DUMMYFUNCTION("""COMPUTED_VALUE"""),"Total Grupo")</f>
        <v>Total Grupo</v>
      </c>
      <c r="D60" s="1">
        <f>IFERROR(__xludf.DUMMYFUNCTION("""COMPUTED_VALUE"""),449.82)</f>
        <v>449.82</v>
      </c>
    </row>
    <row r="61">
      <c r="A61" s="1" t="str">
        <f>IFERROR(__xludf.DUMMYFUNCTION("""COMPUTED_VALUE"""),"DESCARTAVEIS")</f>
        <v>DESCARTAVEIS</v>
      </c>
      <c r="B61" s="1"/>
      <c r="C61" s="1"/>
      <c r="D61" s="1"/>
    </row>
    <row r="62">
      <c r="A62" s="1">
        <f>IFERROR(__xludf.DUMMYFUNCTION("""COMPUTED_VALUE"""),461.0)</f>
        <v>461</v>
      </c>
      <c r="B62" s="1" t="str">
        <f>IFERROR(__xludf.DUMMYFUNCTION("""COMPUTED_VALUE"""),"CANUDO PARA SMOOTHIES")</f>
        <v>CANUDO PARA SMOOTHIES</v>
      </c>
      <c r="C62" s="1" t="str">
        <f>IFERROR(__xludf.DUMMYFUNCTION("""COMPUTED_VALUE"""),"UN")</f>
        <v>UN</v>
      </c>
      <c r="D62" s="1">
        <f>IFERROR(__xludf.DUMMYFUNCTION("""COMPUTED_VALUE"""),38.0)</f>
        <v>38</v>
      </c>
    </row>
    <row r="63">
      <c r="A63" s="1">
        <f>IFERROR(__xludf.DUMMYFUNCTION("""COMPUTED_VALUE"""),113.0)</f>
        <v>113</v>
      </c>
      <c r="B63" s="1" t="str">
        <f>IFERROR(__xludf.DUMMYFUNCTION("""COMPUTED_VALUE"""),"CANUDO TRADICIONAL")</f>
        <v>CANUDO TRADICIONAL</v>
      </c>
      <c r="C63" s="1" t="str">
        <f>IFERROR(__xludf.DUMMYFUNCTION("""COMPUTED_VALUE"""),"UN")</f>
        <v>UN</v>
      </c>
      <c r="D63" s="1">
        <f>IFERROR(__xludf.DUMMYFUNCTION("""COMPUTED_VALUE"""),204.0)</f>
        <v>204</v>
      </c>
    </row>
    <row r="64">
      <c r="A64" s="1">
        <f>IFERROR(__xludf.DUMMYFUNCTION("""COMPUTED_VALUE"""),793.0)</f>
        <v>793</v>
      </c>
      <c r="B64" s="1" t="str">
        <f>IFERROR(__xludf.DUMMYFUNCTION("""COMPUTED_VALUE"""),"FILTRO NATURAL HARIO V60 01 - USO INTERN")</f>
        <v>FILTRO NATURAL HARIO V60 01 - USO INTERN</v>
      </c>
      <c r="C64" s="1" t="str">
        <f>IFERROR(__xludf.DUMMYFUNCTION("""COMPUTED_VALUE"""),"UN")</f>
        <v>UN</v>
      </c>
      <c r="D64" s="1">
        <f>IFERROR(__xludf.DUMMYFUNCTION("""COMPUTED_VALUE"""),131.0)</f>
        <v>131</v>
      </c>
    </row>
    <row r="65">
      <c r="A65" s="1"/>
      <c r="B65" s="1"/>
      <c r="C65" s="1" t="str">
        <f>IFERROR(__xludf.DUMMYFUNCTION("""COMPUTED_VALUE"""),"Total Grupo")</f>
        <v>Total Grupo</v>
      </c>
      <c r="D65" s="1">
        <f>IFERROR(__xludf.DUMMYFUNCTION("""COMPUTED_VALUE"""),373.0)</f>
        <v>373</v>
      </c>
    </row>
    <row r="66">
      <c r="A66" s="1" t="str">
        <f>IFERROR(__xludf.DUMMYFUNCTION("""COMPUTED_VALUE"""),"DOCES")</f>
        <v>DOCES</v>
      </c>
      <c r="B66" s="1"/>
      <c r="C66" s="1"/>
      <c r="D66" s="1"/>
    </row>
    <row r="67">
      <c r="A67" s="1">
        <f>IFERROR(__xludf.DUMMYFUNCTION("""COMPUTED_VALUE"""),1140.0)</f>
        <v>1140</v>
      </c>
      <c r="B67" s="1" t="str">
        <f>IFERROR(__xludf.DUMMYFUNCTION("""COMPUTED_VALUE"""),"BOLO DE BRIGADEIRO HOLANDES")</f>
        <v>BOLO DE BRIGADEIRO HOLANDES</v>
      </c>
      <c r="C67" s="1" t="str">
        <f>IFERROR(__xludf.DUMMYFUNCTION("""COMPUTED_VALUE"""),"UN")</f>
        <v>UN</v>
      </c>
      <c r="D67" s="1">
        <f>IFERROR(__xludf.DUMMYFUNCTION("""COMPUTED_VALUE"""),39.0)</f>
        <v>39</v>
      </c>
    </row>
    <row r="68">
      <c r="A68" s="1">
        <f>IFERROR(__xludf.DUMMYFUNCTION("""COMPUTED_VALUE"""),403.0)</f>
        <v>403</v>
      </c>
      <c r="B68" s="1" t="str">
        <f>IFERROR(__xludf.DUMMYFUNCTION("""COMPUTED_VALUE"""),"BOLO DE CENOURA COM CHOCOLATE")</f>
        <v>BOLO DE CENOURA COM CHOCOLATE</v>
      </c>
      <c r="C68" s="1" t="str">
        <f>IFERROR(__xludf.DUMMYFUNCTION("""COMPUTED_VALUE"""),"UN")</f>
        <v>UN</v>
      </c>
      <c r="D68" s="1">
        <f>IFERROR(__xludf.DUMMYFUNCTION("""COMPUTED_VALUE"""),45.0)</f>
        <v>45</v>
      </c>
    </row>
    <row r="69">
      <c r="A69" s="1">
        <f>IFERROR(__xludf.DUMMYFUNCTION("""COMPUTED_VALUE"""),861.0)</f>
        <v>861</v>
      </c>
      <c r="B69" s="1" t="str">
        <f>IFERROR(__xludf.DUMMYFUNCTION("""COMPUTED_VALUE"""),"BOLO DE FUBA COM GOIABADA")</f>
        <v>BOLO DE FUBA COM GOIABADA</v>
      </c>
      <c r="C69" s="1" t="str">
        <f>IFERROR(__xludf.DUMMYFUNCTION("""COMPUTED_VALUE"""),"UN")</f>
        <v>UN</v>
      </c>
      <c r="D69" s="1">
        <f>IFERROR(__xludf.DUMMYFUNCTION("""COMPUTED_VALUE"""),28.0)</f>
        <v>28</v>
      </c>
    </row>
    <row r="70">
      <c r="A70" s="1">
        <f>IFERROR(__xludf.DUMMYFUNCTION("""COMPUTED_VALUE"""),144.0)</f>
        <v>144</v>
      </c>
      <c r="B70" s="1" t="str">
        <f>IFERROR(__xludf.DUMMYFUNCTION("""COMPUTED_VALUE"""),"BOLO DE LARANJA")</f>
        <v>BOLO DE LARANJA</v>
      </c>
      <c r="C70" s="1" t="str">
        <f>IFERROR(__xludf.DUMMYFUNCTION("""COMPUTED_VALUE"""),"UN")</f>
        <v>UN</v>
      </c>
      <c r="D70" s="1">
        <f>IFERROR(__xludf.DUMMYFUNCTION("""COMPUTED_VALUE"""),109.0)</f>
        <v>109</v>
      </c>
    </row>
    <row r="71">
      <c r="A71" s="1">
        <f>IFERROR(__xludf.DUMMYFUNCTION("""COMPUTED_VALUE"""),474.0)</f>
        <v>474</v>
      </c>
      <c r="B71" s="1" t="str">
        <f>IFERROR(__xludf.DUMMYFUNCTION("""COMPUTED_VALUE"""),"BOLO DE MACA C/ CASTANHA")</f>
        <v>BOLO DE MACA C/ CASTANHA</v>
      </c>
      <c r="C71" s="1" t="str">
        <f>IFERROR(__xludf.DUMMYFUNCTION("""COMPUTED_VALUE"""),"UN")</f>
        <v>UN</v>
      </c>
      <c r="D71" s="1">
        <f>IFERROR(__xludf.DUMMYFUNCTION("""COMPUTED_VALUE"""),54.0)</f>
        <v>54</v>
      </c>
    </row>
    <row r="72">
      <c r="A72" s="1">
        <f>IFERROR(__xludf.DUMMYFUNCTION("""COMPUTED_VALUE"""),1042.0)</f>
        <v>1042</v>
      </c>
      <c r="B72" s="1" t="str">
        <f>IFERROR(__xludf.DUMMYFUNCTION("""COMPUTED_VALUE"""),"BOLO PALHA ITALI.ZERO ACUCAR E LACTOSE")</f>
        <v>BOLO PALHA ITALI.ZERO ACUCAR E LACTOSE</v>
      </c>
      <c r="C72" s="1" t="str">
        <f>IFERROR(__xludf.DUMMYFUNCTION("""COMPUTED_VALUE"""),"UN")</f>
        <v>UN</v>
      </c>
      <c r="D72" s="1">
        <f>IFERROR(__xludf.DUMMYFUNCTION("""COMPUTED_VALUE"""),29.0)</f>
        <v>29</v>
      </c>
    </row>
    <row r="73">
      <c r="A73" s="1">
        <f>IFERROR(__xludf.DUMMYFUNCTION("""COMPUTED_VALUE"""),606.0)</f>
        <v>606</v>
      </c>
      <c r="B73" s="1" t="str">
        <f>IFERROR(__xludf.DUMMYFUNCTION("""COMPUTED_VALUE"""),"BOLO TAPIOCA D.LEITE Z/GLUTEN /Z/LAC")</f>
        <v>BOLO TAPIOCA D.LEITE Z/GLUTEN /Z/LAC</v>
      </c>
      <c r="C73" s="1" t="str">
        <f>IFERROR(__xludf.DUMMYFUNCTION("""COMPUTED_VALUE"""),"UN")</f>
        <v>UN</v>
      </c>
      <c r="D73" s="1">
        <f>IFERROR(__xludf.DUMMYFUNCTION("""COMPUTED_VALUE"""),52.0)</f>
        <v>52</v>
      </c>
    </row>
    <row r="74">
      <c r="A74" s="1">
        <f>IFERROR(__xludf.DUMMYFUNCTION("""COMPUTED_VALUE"""),511.0)</f>
        <v>511</v>
      </c>
      <c r="B74" s="1" t="str">
        <f>IFERROR(__xludf.DUMMYFUNCTION("""COMPUTED_VALUE"""),"BRIGADEIRO GOURMET")</f>
        <v>BRIGADEIRO GOURMET</v>
      </c>
      <c r="C74" s="1" t="str">
        <f>IFERROR(__xludf.DUMMYFUNCTION("""COMPUTED_VALUE"""),"UN")</f>
        <v>UN</v>
      </c>
      <c r="D74" s="1">
        <f>IFERROR(__xludf.DUMMYFUNCTION("""COMPUTED_VALUE"""),60.0)</f>
        <v>60</v>
      </c>
    </row>
    <row r="75">
      <c r="A75" s="1">
        <f>IFERROR(__xludf.DUMMYFUNCTION("""COMPUTED_VALUE"""),24.0)</f>
        <v>24</v>
      </c>
      <c r="B75" s="1" t="str">
        <f>IFERROR(__xludf.DUMMYFUNCTION("""COMPUTED_VALUE"""),"BRIGADEIRO PISTACHE GOURMET")</f>
        <v>BRIGADEIRO PISTACHE GOURMET</v>
      </c>
      <c r="C75" s="1" t="str">
        <f>IFERROR(__xludf.DUMMYFUNCTION("""COMPUTED_VALUE"""),"UN")</f>
        <v>UN</v>
      </c>
      <c r="D75" s="1">
        <f>IFERROR(__xludf.DUMMYFUNCTION("""COMPUTED_VALUE"""),26.0)</f>
        <v>26</v>
      </c>
    </row>
    <row r="76">
      <c r="A76" s="1">
        <f>IFERROR(__xludf.DUMMYFUNCTION("""COMPUTED_VALUE"""),1273.0)</f>
        <v>1273</v>
      </c>
      <c r="B76" s="1" t="str">
        <f>IFERROR(__xludf.DUMMYFUNCTION("""COMPUTED_VALUE"""),"BRIGADEIRO PREMIUM NUTELLA")</f>
        <v>BRIGADEIRO PREMIUM NUTELLA</v>
      </c>
      <c r="C76" s="1" t="str">
        <f>IFERROR(__xludf.DUMMYFUNCTION("""COMPUTED_VALUE"""),"UN")</f>
        <v>UN</v>
      </c>
      <c r="D76" s="1">
        <f>IFERROR(__xludf.DUMMYFUNCTION("""COMPUTED_VALUE"""),14.0)</f>
        <v>14</v>
      </c>
    </row>
    <row r="77">
      <c r="A77" s="1">
        <f>IFERROR(__xludf.DUMMYFUNCTION("""COMPUTED_VALUE"""),128.0)</f>
        <v>128</v>
      </c>
      <c r="B77" s="1" t="str">
        <f>IFERROR(__xludf.DUMMYFUNCTION("""COMPUTED_VALUE"""),"BROWNIE")</f>
        <v>BROWNIE</v>
      </c>
      <c r="C77" s="1" t="str">
        <f>IFERROR(__xludf.DUMMYFUNCTION("""COMPUTED_VALUE"""),"UN")</f>
        <v>UN</v>
      </c>
      <c r="D77" s="1">
        <f>IFERROR(__xludf.DUMMYFUNCTION("""COMPUTED_VALUE"""),14.0)</f>
        <v>14</v>
      </c>
    </row>
    <row r="78">
      <c r="A78" s="1">
        <f>IFERROR(__xludf.DUMMYFUNCTION("""COMPUTED_VALUE"""),1272.0)</f>
        <v>1272</v>
      </c>
      <c r="B78" s="1" t="str">
        <f>IFERROR(__xludf.DUMMYFUNCTION("""COMPUTED_VALUE"""),"CASADINHO GOURMET")</f>
        <v>CASADINHO GOURMET</v>
      </c>
      <c r="C78" s="1" t="str">
        <f>IFERROR(__xludf.DUMMYFUNCTION("""COMPUTED_VALUE"""),"UN")</f>
        <v>UN</v>
      </c>
      <c r="D78" s="1">
        <f>IFERROR(__xludf.DUMMYFUNCTION("""COMPUTED_VALUE"""),42.0)</f>
        <v>42</v>
      </c>
    </row>
    <row r="79">
      <c r="A79" s="1">
        <f>IFERROR(__xludf.DUMMYFUNCTION("""COMPUTED_VALUE"""),1113.0)</f>
        <v>1113</v>
      </c>
      <c r="B79" s="1" t="str">
        <f>IFERROR(__xludf.DUMMYFUNCTION("""COMPUTED_VALUE"""),"DOCE LEITE ORGANICO CARAM/CAFE 300GR")</f>
        <v>DOCE LEITE ORGANICO CARAM/CAFE 300GR</v>
      </c>
      <c r="C79" s="1" t="str">
        <f>IFERROR(__xludf.DUMMYFUNCTION("""COMPUTED_VALUE"""),"UN")</f>
        <v>UN</v>
      </c>
      <c r="D79" s="1">
        <f>IFERROR(__xludf.DUMMYFUNCTION("""COMPUTED_VALUE"""),3.0)</f>
        <v>3</v>
      </c>
    </row>
    <row r="80">
      <c r="A80" s="1">
        <f>IFERROR(__xludf.DUMMYFUNCTION("""COMPUTED_VALUE"""),1238.0)</f>
        <v>1238</v>
      </c>
      <c r="B80" s="1" t="str">
        <f>IFERROR(__xludf.DUMMYFUNCTION("""COMPUTED_VALUE"""),"MINI BANOFFEE ZERO")</f>
        <v>MINI BANOFFEE ZERO</v>
      </c>
      <c r="C80" s="1" t="str">
        <f>IFERROR(__xludf.DUMMYFUNCTION("""COMPUTED_VALUE"""),"UN")</f>
        <v>UN</v>
      </c>
      <c r="D80" s="1">
        <f>IFERROR(__xludf.DUMMYFUNCTION("""COMPUTED_VALUE"""),7.0)</f>
        <v>7</v>
      </c>
    </row>
    <row r="81">
      <c r="A81" s="1">
        <f>IFERROR(__xludf.DUMMYFUNCTION("""COMPUTED_VALUE"""),1236.0)</f>
        <v>1236</v>
      </c>
      <c r="B81" s="1" t="str">
        <f>IFERROR(__xludf.DUMMYFUNCTION("""COMPUTED_VALUE"""),"MINI CHOCOBROWNIE ZERO S/GLU/LAC/ACU")</f>
        <v>MINI CHOCOBROWNIE ZERO S/GLU/LAC/ACU</v>
      </c>
      <c r="C81" s="1" t="str">
        <f>IFERROR(__xludf.DUMMYFUNCTION("""COMPUTED_VALUE"""),"UN")</f>
        <v>UN</v>
      </c>
      <c r="D81" s="1">
        <f>IFERROR(__xludf.DUMMYFUNCTION("""COMPUTED_VALUE"""),9.0)</f>
        <v>9</v>
      </c>
    </row>
    <row r="82">
      <c r="A82" s="1">
        <f>IFERROR(__xludf.DUMMYFUNCTION("""COMPUTED_VALUE"""),816.0)</f>
        <v>816</v>
      </c>
      <c r="B82" s="1" t="str">
        <f>IFERROR(__xludf.DUMMYFUNCTION("""COMPUTED_VALUE"""),"PASTEL DE BELEM")</f>
        <v>PASTEL DE BELEM</v>
      </c>
      <c r="C82" s="1" t="str">
        <f>IFERROR(__xludf.DUMMYFUNCTION("""COMPUTED_VALUE"""),"UN")</f>
        <v>UN</v>
      </c>
      <c r="D82" s="1">
        <f>IFERROR(__xludf.DUMMYFUNCTION("""COMPUTED_VALUE"""),35.0)</f>
        <v>35</v>
      </c>
    </row>
    <row r="83">
      <c r="A83" s="1">
        <f>IFERROR(__xludf.DUMMYFUNCTION("""COMPUTED_VALUE"""),825.0)</f>
        <v>825</v>
      </c>
      <c r="B83" s="1" t="str">
        <f>IFERROR(__xludf.DUMMYFUNCTION("""COMPUTED_VALUE"""),"PETIT GATEAU")</f>
        <v>PETIT GATEAU</v>
      </c>
      <c r="C83" s="1" t="str">
        <f>IFERROR(__xludf.DUMMYFUNCTION("""COMPUTED_VALUE"""),"UN")</f>
        <v>UN</v>
      </c>
      <c r="D83" s="1">
        <f>IFERROR(__xludf.DUMMYFUNCTION("""COMPUTED_VALUE"""),9.0)</f>
        <v>9</v>
      </c>
    </row>
    <row r="84">
      <c r="A84" s="1">
        <f>IFERROR(__xludf.DUMMYFUNCTION("""COMPUTED_VALUE"""),914.0)</f>
        <v>914</v>
      </c>
      <c r="B84" s="1" t="str">
        <f>IFERROR(__xludf.DUMMYFUNCTION("""COMPUTED_VALUE"""),"TORTA BANOFFE")</f>
        <v>TORTA BANOFFE</v>
      </c>
      <c r="C84" s="1" t="str">
        <f>IFERROR(__xludf.DUMMYFUNCTION("""COMPUTED_VALUE"""),"UN")</f>
        <v>UN</v>
      </c>
      <c r="D84" s="1">
        <f>IFERROR(__xludf.DUMMYFUNCTION("""COMPUTED_VALUE"""),16.0)</f>
        <v>16</v>
      </c>
    </row>
    <row r="85">
      <c r="A85" s="1">
        <f>IFERROR(__xludf.DUMMYFUNCTION("""COMPUTED_VALUE"""),628.0)</f>
        <v>628</v>
      </c>
      <c r="B85" s="1" t="str">
        <f>IFERROR(__xludf.DUMMYFUNCTION("""COMPUTED_VALUE"""),"TORTA CHEESECAKE")</f>
        <v>TORTA CHEESECAKE</v>
      </c>
      <c r="C85" s="1" t="str">
        <f>IFERROR(__xludf.DUMMYFUNCTION("""COMPUTED_VALUE"""),"UN")</f>
        <v>UN</v>
      </c>
      <c r="D85" s="1">
        <f>IFERROR(__xludf.DUMMYFUNCTION("""COMPUTED_VALUE"""),26.0)</f>
        <v>26</v>
      </c>
    </row>
    <row r="86">
      <c r="A86" s="1">
        <f>IFERROR(__xludf.DUMMYFUNCTION("""COMPUTED_VALUE"""),366.0)</f>
        <v>366</v>
      </c>
      <c r="B86" s="1" t="str">
        <f>IFERROR(__xludf.DUMMYFUNCTION("""COMPUTED_VALUE"""),"TORTA LIMAO")</f>
        <v>TORTA LIMAO</v>
      </c>
      <c r="C86" s="1" t="str">
        <f>IFERROR(__xludf.DUMMYFUNCTION("""COMPUTED_VALUE"""),"UN")</f>
        <v>UN</v>
      </c>
      <c r="D86" s="1">
        <f>IFERROR(__xludf.DUMMYFUNCTION("""COMPUTED_VALUE"""),36.0)</f>
        <v>36</v>
      </c>
    </row>
    <row r="87">
      <c r="A87" s="1">
        <f>IFERROR(__xludf.DUMMYFUNCTION("""COMPUTED_VALUE"""),130.0)</f>
        <v>130</v>
      </c>
      <c r="B87" s="1" t="str">
        <f>IFERROR(__xludf.DUMMYFUNCTION("""COMPUTED_VALUE"""),"TORTA NINHO TRUFADA AVELA")</f>
        <v>TORTA NINHO TRUFADA AVELA</v>
      </c>
      <c r="C87" s="1" t="str">
        <f>IFERROR(__xludf.DUMMYFUNCTION("""COMPUTED_VALUE"""),"UN")</f>
        <v>UN</v>
      </c>
      <c r="D87" s="1">
        <f>IFERROR(__xludf.DUMMYFUNCTION("""COMPUTED_VALUE"""),19.0)</f>
        <v>19</v>
      </c>
    </row>
    <row r="88">
      <c r="A88" s="1"/>
      <c r="B88" s="1"/>
      <c r="C88" s="1" t="str">
        <f>IFERROR(__xludf.DUMMYFUNCTION("""COMPUTED_VALUE"""),"Total Grupo")</f>
        <v>Total Grupo</v>
      </c>
      <c r="D88" s="1">
        <f>IFERROR(__xludf.DUMMYFUNCTION("""COMPUTED_VALUE"""),672.0)</f>
        <v>672</v>
      </c>
    </row>
    <row r="89">
      <c r="A89" s="1" t="str">
        <f>IFERROR(__xludf.DUMMYFUNCTION("""COMPUTED_VALUE"""),"HORTIFRUTTI")</f>
        <v>HORTIFRUTTI</v>
      </c>
      <c r="B89" s="1"/>
      <c r="C89" s="1"/>
      <c r="D89" s="1"/>
    </row>
    <row r="90">
      <c r="A90" s="1">
        <f>IFERROR(__xludf.DUMMYFUNCTION("""COMPUTED_VALUE"""),77.0)</f>
        <v>77</v>
      </c>
      <c r="B90" s="1" t="str">
        <f>IFERROR(__xludf.DUMMYFUNCTION("""COMPUTED_VALUE"""),"ALFACE AMERICANA")</f>
        <v>ALFACE AMERICANA</v>
      </c>
      <c r="C90" s="1" t="str">
        <f>IFERROR(__xludf.DUMMYFUNCTION("""COMPUTED_VALUE"""),"KG")</f>
        <v>KG</v>
      </c>
      <c r="D90" s="1">
        <f>IFERROR(__xludf.DUMMYFUNCTION("""COMPUTED_VALUE"""),1.2)</f>
        <v>1.2</v>
      </c>
    </row>
    <row r="91">
      <c r="A91" s="1">
        <f>IFERROR(__xludf.DUMMYFUNCTION("""COMPUTED_VALUE"""),82.0)</f>
        <v>82</v>
      </c>
      <c r="B91" s="1" t="str">
        <f>IFERROR(__xludf.DUMMYFUNCTION("""COMPUTED_VALUE"""),"LIMAO")</f>
        <v>LIMAO</v>
      </c>
      <c r="C91" s="1" t="str">
        <f>IFERROR(__xludf.DUMMYFUNCTION("""COMPUTED_VALUE"""),"KG")</f>
        <v>KG</v>
      </c>
      <c r="D91" s="1">
        <f>IFERROR(__xludf.DUMMYFUNCTION("""COMPUTED_VALUE"""),1.405)</f>
        <v>1.405</v>
      </c>
    </row>
    <row r="92">
      <c r="A92" s="1">
        <f>IFERROR(__xludf.DUMMYFUNCTION("""COMPUTED_VALUE"""),79.0)</f>
        <v>79</v>
      </c>
      <c r="B92" s="1" t="str">
        <f>IFERROR(__xludf.DUMMYFUNCTION("""COMPUTED_VALUE"""),"MANJERICAO")</f>
        <v>MANJERICAO</v>
      </c>
      <c r="C92" s="1" t="str">
        <f>IFERROR(__xludf.DUMMYFUNCTION("""COMPUTED_VALUE"""),"KG")</f>
        <v>KG</v>
      </c>
      <c r="D92" s="1">
        <f>IFERROR(__xludf.DUMMYFUNCTION("""COMPUTED_VALUE"""),0.173)</f>
        <v>0.173</v>
      </c>
    </row>
    <row r="93">
      <c r="A93" s="1">
        <f>IFERROR(__xludf.DUMMYFUNCTION("""COMPUTED_VALUE"""),78.0)</f>
        <v>78</v>
      </c>
      <c r="B93" s="1" t="str">
        <f>IFERROR(__xludf.DUMMYFUNCTION("""COMPUTED_VALUE"""),"RUCULA")</f>
        <v>RUCULA</v>
      </c>
      <c r="C93" s="1" t="str">
        <f>IFERROR(__xludf.DUMMYFUNCTION("""COMPUTED_VALUE"""),"KG")</f>
        <v>KG</v>
      </c>
      <c r="D93" s="2">
        <f>IFERROR(__xludf.DUMMYFUNCTION("""COMPUTED_VALUE"""),0.92)</f>
        <v>0.92</v>
      </c>
    </row>
    <row r="94">
      <c r="A94" s="1">
        <f>IFERROR(__xludf.DUMMYFUNCTION("""COMPUTED_VALUE"""),75.0)</f>
        <v>75</v>
      </c>
      <c r="B94" s="1" t="str">
        <f>IFERROR(__xludf.DUMMYFUNCTION("""COMPUTED_VALUE"""),"TOMATE")</f>
        <v>TOMATE</v>
      </c>
      <c r="C94" s="1" t="str">
        <f>IFERROR(__xludf.DUMMYFUNCTION("""COMPUTED_VALUE"""),"KG")</f>
        <v>KG</v>
      </c>
      <c r="D94" s="2">
        <f>IFERROR(__xludf.DUMMYFUNCTION("""COMPUTED_VALUE"""),7.16)</f>
        <v>7.16</v>
      </c>
    </row>
    <row r="95">
      <c r="A95" s="1">
        <f>IFERROR(__xludf.DUMMYFUNCTION("""COMPUTED_VALUE"""),843.0)</f>
        <v>843</v>
      </c>
      <c r="B95" s="1" t="str">
        <f>IFERROR(__xludf.DUMMYFUNCTION("""COMPUTED_VALUE"""),"TOMATE CEREJA")</f>
        <v>TOMATE CEREJA</v>
      </c>
      <c r="C95" s="1" t="str">
        <f>IFERROR(__xludf.DUMMYFUNCTION("""COMPUTED_VALUE"""),"KG")</f>
        <v>KG</v>
      </c>
      <c r="D95" s="1">
        <f>IFERROR(__xludf.DUMMYFUNCTION("""COMPUTED_VALUE"""),0.65)</f>
        <v>0.65</v>
      </c>
    </row>
    <row r="96">
      <c r="A96" s="1"/>
      <c r="B96" s="1"/>
      <c r="C96" s="1" t="str">
        <f>IFERROR(__xludf.DUMMYFUNCTION("""COMPUTED_VALUE"""),"Total Grupo")</f>
        <v>Total Grupo</v>
      </c>
      <c r="D96" s="1">
        <f>IFERROR(__xludf.DUMMYFUNCTION("""COMPUTED_VALUE"""),11.508)</f>
        <v>11.508</v>
      </c>
    </row>
    <row r="97">
      <c r="A97" s="1" t="str">
        <f>IFERROR(__xludf.DUMMYFUNCTION("""COMPUTED_VALUE"""),"LATICINIOS / FRIOS")</f>
        <v>LATICINIOS / FRIOS</v>
      </c>
      <c r="B97" s="1"/>
      <c r="C97" s="1"/>
      <c r="D97" s="1"/>
    </row>
    <row r="98">
      <c r="A98" s="1">
        <f>IFERROR(__xludf.DUMMYFUNCTION("""COMPUTED_VALUE"""),5.0)</f>
        <v>5</v>
      </c>
      <c r="B98" s="1" t="str">
        <f>IFERROR(__xludf.DUMMYFUNCTION("""COMPUTED_VALUE"""),"CHANTILY")</f>
        <v>CHANTILY</v>
      </c>
      <c r="C98" s="1" t="str">
        <f>IFERROR(__xludf.DUMMYFUNCTION("""COMPUTED_VALUE"""),"LT")</f>
        <v>LT</v>
      </c>
      <c r="D98" s="1">
        <f>IFERROR(__xludf.DUMMYFUNCTION("""COMPUTED_VALUE"""),3.149)</f>
        <v>3.149</v>
      </c>
    </row>
    <row r="99">
      <c r="A99" s="1">
        <f>IFERROR(__xludf.DUMMYFUNCTION("""COMPUTED_VALUE"""),4.0)</f>
        <v>4</v>
      </c>
      <c r="B99" s="1" t="str">
        <f>IFERROR(__xludf.DUMMYFUNCTION("""COMPUTED_VALUE"""),"LEITE INTEGRAL")</f>
        <v>LEITE INTEGRAL</v>
      </c>
      <c r="C99" s="1" t="str">
        <f>IFERROR(__xludf.DUMMYFUNCTION("""COMPUTED_VALUE"""),"LT")</f>
        <v>LT</v>
      </c>
      <c r="D99" s="1">
        <f>IFERROR(__xludf.DUMMYFUNCTION("""COMPUTED_VALUE"""),90.055)</f>
        <v>90.055</v>
      </c>
    </row>
    <row r="100">
      <c r="A100" s="1">
        <f>IFERROR(__xludf.DUMMYFUNCTION("""COMPUTED_VALUE"""),99.0)</f>
        <v>99</v>
      </c>
      <c r="B100" s="1" t="str">
        <f>IFERROR(__xludf.DUMMYFUNCTION("""COMPUTED_VALUE"""),"MANTEIGA")</f>
        <v>MANTEIGA</v>
      </c>
      <c r="C100" s="1" t="str">
        <f>IFERROR(__xludf.DUMMYFUNCTION("""COMPUTED_VALUE"""),"KG")</f>
        <v>KG</v>
      </c>
      <c r="D100" s="1">
        <f>IFERROR(__xludf.DUMMYFUNCTION("""COMPUTED_VALUE"""),1.005)</f>
        <v>1.005</v>
      </c>
    </row>
    <row r="101">
      <c r="A101" s="1">
        <f>IFERROR(__xludf.DUMMYFUNCTION("""COMPUTED_VALUE"""),68.0)</f>
        <v>68</v>
      </c>
      <c r="B101" s="1" t="str">
        <f>IFERROR(__xludf.DUMMYFUNCTION("""COMPUTED_VALUE"""),"PEITO DE PERU")</f>
        <v>PEITO DE PERU</v>
      </c>
      <c r="C101" s="1" t="str">
        <f>IFERROR(__xludf.DUMMYFUNCTION("""COMPUTED_VALUE"""),"KG")</f>
        <v>KG</v>
      </c>
      <c r="D101" s="1">
        <f>IFERROR(__xludf.DUMMYFUNCTION("""COMPUTED_VALUE"""),0.52)</f>
        <v>0.52</v>
      </c>
    </row>
    <row r="102">
      <c r="A102" s="1">
        <f>IFERROR(__xludf.DUMMYFUNCTION("""COMPUTED_VALUE"""),64.0)</f>
        <v>64</v>
      </c>
      <c r="B102" s="1" t="str">
        <f>IFERROR(__xludf.DUMMYFUNCTION("""COMPUTED_VALUE"""),"PRESUNTO")</f>
        <v>PRESUNTO</v>
      </c>
      <c r="C102" s="1" t="str">
        <f>IFERROR(__xludf.DUMMYFUNCTION("""COMPUTED_VALUE"""),"KG")</f>
        <v>KG</v>
      </c>
      <c r="D102" s="1">
        <f>IFERROR(__xludf.DUMMYFUNCTION("""COMPUTED_VALUE"""),3.64)</f>
        <v>3.64</v>
      </c>
    </row>
    <row r="103">
      <c r="A103" s="1">
        <f>IFERROR(__xludf.DUMMYFUNCTION("""COMPUTED_VALUE"""),65.0)</f>
        <v>65</v>
      </c>
      <c r="B103" s="1" t="str">
        <f>IFERROR(__xludf.DUMMYFUNCTION("""COMPUTED_VALUE"""),"PRESUNTO PARMA")</f>
        <v>PRESUNTO PARMA</v>
      </c>
      <c r="C103" s="1" t="str">
        <f>IFERROR(__xludf.DUMMYFUNCTION("""COMPUTED_VALUE"""),"KG")</f>
        <v>KG</v>
      </c>
      <c r="D103" s="1">
        <f>IFERROR(__xludf.DUMMYFUNCTION("""COMPUTED_VALUE"""),2.07)</f>
        <v>2.07</v>
      </c>
    </row>
    <row r="104">
      <c r="A104" s="1">
        <f>IFERROR(__xludf.DUMMYFUNCTION("""COMPUTED_VALUE"""),66.0)</f>
        <v>66</v>
      </c>
      <c r="B104" s="1" t="str">
        <f>IFERROR(__xludf.DUMMYFUNCTION("""COMPUTED_VALUE"""),"QUEIJO BRIE")</f>
        <v>QUEIJO BRIE</v>
      </c>
      <c r="C104" s="1" t="str">
        <f>IFERROR(__xludf.DUMMYFUNCTION("""COMPUTED_VALUE"""),"KG")</f>
        <v>KG</v>
      </c>
      <c r="D104" s="1">
        <f>IFERROR(__xludf.DUMMYFUNCTION("""COMPUTED_VALUE"""),2.24)</f>
        <v>2.24</v>
      </c>
    </row>
    <row r="105">
      <c r="A105" s="1">
        <f>IFERROR(__xludf.DUMMYFUNCTION("""COMPUTED_VALUE"""),73.0)</f>
        <v>73</v>
      </c>
      <c r="B105" s="1" t="str">
        <f>IFERROR(__xludf.DUMMYFUNCTION("""COMPUTED_VALUE"""),"QUEIJO FRESCO (MINAS)")</f>
        <v>QUEIJO FRESCO (MINAS)</v>
      </c>
      <c r="C105" s="1" t="str">
        <f>IFERROR(__xludf.DUMMYFUNCTION("""COMPUTED_VALUE"""),"KG")</f>
        <v>KG</v>
      </c>
      <c r="D105" s="1">
        <f>IFERROR(__xludf.DUMMYFUNCTION("""COMPUTED_VALUE"""),0.68)</f>
        <v>0.68</v>
      </c>
    </row>
    <row r="106">
      <c r="A106" s="1">
        <f>IFERROR(__xludf.DUMMYFUNCTION("""COMPUTED_VALUE"""),60.0)</f>
        <v>60</v>
      </c>
      <c r="B106" s="1" t="str">
        <f>IFERROR(__xludf.DUMMYFUNCTION("""COMPUTED_VALUE"""),"QUEIJO MUCARELA")</f>
        <v>QUEIJO MUCARELA</v>
      </c>
      <c r="C106" s="1" t="str">
        <f>IFERROR(__xludf.DUMMYFUNCTION("""COMPUTED_VALUE"""),"KG")</f>
        <v>KG</v>
      </c>
      <c r="D106" s="1">
        <f>IFERROR(__xludf.DUMMYFUNCTION("""COMPUTED_VALUE"""),12.6)</f>
        <v>12.6</v>
      </c>
    </row>
    <row r="107">
      <c r="A107" s="1">
        <f>IFERROR(__xludf.DUMMYFUNCTION("""COMPUTED_VALUE"""),58.0)</f>
        <v>58</v>
      </c>
      <c r="B107" s="1" t="str">
        <f>IFERROR(__xludf.DUMMYFUNCTION("""COMPUTED_VALUE"""),"QUEIJO PARMESAO")</f>
        <v>QUEIJO PARMESAO</v>
      </c>
      <c r="C107" s="1" t="str">
        <f>IFERROR(__xludf.DUMMYFUNCTION("""COMPUTED_VALUE"""),"KG")</f>
        <v>KG</v>
      </c>
      <c r="D107" s="1">
        <f>IFERROR(__xludf.DUMMYFUNCTION("""COMPUTED_VALUE"""),1.5)</f>
        <v>1.5</v>
      </c>
    </row>
    <row r="108">
      <c r="A108" s="1">
        <f>IFERROR(__xludf.DUMMYFUNCTION("""COMPUTED_VALUE"""),20.0)</f>
        <v>20</v>
      </c>
      <c r="B108" s="1" t="str">
        <f>IFERROR(__xludf.DUMMYFUNCTION("""COMPUTED_VALUE"""),"REQUEIJAO CREMOSO")</f>
        <v>REQUEIJAO CREMOSO</v>
      </c>
      <c r="C108" s="1" t="str">
        <f>IFERROR(__xludf.DUMMYFUNCTION("""COMPUTED_VALUE"""),"KG")</f>
        <v>KG</v>
      </c>
      <c r="D108" s="1">
        <f>IFERROR(__xludf.DUMMYFUNCTION("""COMPUTED_VALUE"""),1.72)</f>
        <v>1.72</v>
      </c>
    </row>
    <row r="109">
      <c r="A109" s="1"/>
      <c r="B109" s="1"/>
      <c r="C109" s="1" t="str">
        <f>IFERROR(__xludf.DUMMYFUNCTION("""COMPUTED_VALUE"""),"Total Grupo")</f>
        <v>Total Grupo</v>
      </c>
      <c r="D109" s="1">
        <f>IFERROR(__xludf.DUMMYFUNCTION("""COMPUTED_VALUE"""),119.179)</f>
        <v>119.179</v>
      </c>
    </row>
    <row r="110">
      <c r="A110" s="1" t="str">
        <f>IFERROR(__xludf.DUMMYFUNCTION("""COMPUTED_VALUE"""),"PAES")</f>
        <v>PAES</v>
      </c>
      <c r="B110" s="1"/>
      <c r="C110" s="1"/>
      <c r="D110" s="1"/>
    </row>
    <row r="111">
      <c r="A111" s="1">
        <f>IFERROR(__xludf.DUMMYFUNCTION("""COMPUTED_VALUE"""),862.0)</f>
        <v>862</v>
      </c>
      <c r="B111" s="1" t="str">
        <f>IFERROR(__xludf.DUMMYFUNCTION("""COMPUTED_VALUE"""),"CROISSANT SIMPLES AUTHENTIQUE 70G")</f>
        <v>CROISSANT SIMPLES AUTHENTIQUE 70G</v>
      </c>
      <c r="C111" s="1" t="str">
        <f>IFERROR(__xludf.DUMMYFUNCTION("""COMPUTED_VALUE"""),"UN")</f>
        <v>UN</v>
      </c>
      <c r="D111" s="1">
        <f>IFERROR(__xludf.DUMMYFUNCTION("""COMPUTED_VALUE"""),170.0)</f>
        <v>170</v>
      </c>
    </row>
    <row r="112">
      <c r="A112" s="1">
        <f>IFERROR(__xludf.DUMMYFUNCTION("""COMPUTED_VALUE"""),115.0)</f>
        <v>115</v>
      </c>
      <c r="B112" s="1" t="str">
        <f>IFERROR(__xludf.DUMMYFUNCTION("""COMPUTED_VALUE"""),"PAO CIABATTA ESSENTIELLE 140G")</f>
        <v>PAO CIABATTA ESSENTIELLE 140G</v>
      </c>
      <c r="C112" s="1" t="str">
        <f>IFERROR(__xludf.DUMMYFUNCTION("""COMPUTED_VALUE"""),"UN")</f>
        <v>UN</v>
      </c>
      <c r="D112" s="1">
        <f>IFERROR(__xludf.DUMMYFUNCTION("""COMPUTED_VALUE"""),73.5)</f>
        <v>73.5</v>
      </c>
    </row>
    <row r="113">
      <c r="A113" s="1">
        <f>IFERROR(__xludf.DUMMYFUNCTION("""COMPUTED_VALUE"""),207.0)</f>
        <v>207</v>
      </c>
      <c r="B113" s="1" t="str">
        <f>IFERROR(__xludf.DUMMYFUNCTION("""COMPUTED_VALUE"""),"PAO DE BATATA REQUEIJAO 130G")</f>
        <v>PAO DE BATATA REQUEIJAO 130G</v>
      </c>
      <c r="C113" s="1" t="str">
        <f>IFERROR(__xludf.DUMMYFUNCTION("""COMPUTED_VALUE"""),"UN")</f>
        <v>UN</v>
      </c>
      <c r="D113" s="1">
        <f>IFERROR(__xludf.DUMMYFUNCTION("""COMPUTED_VALUE"""),38.0)</f>
        <v>38</v>
      </c>
    </row>
    <row r="114">
      <c r="A114" s="1">
        <f>IFERROR(__xludf.DUMMYFUNCTION("""COMPUTED_VALUE"""),116.0)</f>
        <v>116</v>
      </c>
      <c r="B114" s="1" t="str">
        <f>IFERROR(__xludf.DUMMYFUNCTION("""COMPUTED_VALUE"""),"PAO DE FORMA")</f>
        <v>PAO DE FORMA</v>
      </c>
      <c r="C114" s="1" t="str">
        <f>IFERROR(__xludf.DUMMYFUNCTION("""COMPUTED_VALUE"""),"UN")</f>
        <v>UN</v>
      </c>
      <c r="D114" s="1">
        <f>IFERROR(__xludf.DUMMYFUNCTION("""COMPUTED_VALUE"""),136.0)</f>
        <v>136</v>
      </c>
    </row>
    <row r="115">
      <c r="A115" s="1">
        <f>IFERROR(__xludf.DUMMYFUNCTION("""COMPUTED_VALUE"""),123.0)</f>
        <v>123</v>
      </c>
      <c r="B115" s="1" t="str">
        <f>IFERROR(__xludf.DUMMYFUNCTION("""COMPUTED_VALUE"""),"PAO DE QUEIJO 75G")</f>
        <v>PAO DE QUEIJO 75G</v>
      </c>
      <c r="C115" s="1" t="str">
        <f>IFERROR(__xludf.DUMMYFUNCTION("""COMPUTED_VALUE"""),"UN")</f>
        <v>UN</v>
      </c>
      <c r="D115" s="1">
        <f>IFERROR(__xludf.DUMMYFUNCTION("""COMPUTED_VALUE"""),222.0)</f>
        <v>222</v>
      </c>
    </row>
    <row r="116">
      <c r="A116" s="1">
        <f>IFERROR(__xludf.DUMMYFUNCTION("""COMPUTED_VALUE"""),124.0)</f>
        <v>124</v>
      </c>
      <c r="B116" s="1" t="str">
        <f>IFERROR(__xludf.DUMMYFUNCTION("""COMPUTED_VALUE"""),"PAO DE QUEIJO COQUETEL 15G")</f>
        <v>PAO DE QUEIJO COQUETEL 15G</v>
      </c>
      <c r="C116" s="1" t="str">
        <f>IFERROR(__xludf.DUMMYFUNCTION("""COMPUTED_VALUE"""),"UN")</f>
        <v>UN</v>
      </c>
      <c r="D116" s="2">
        <f>IFERROR(__xludf.DUMMYFUNCTION("""COMPUTED_VALUE"""),1128.0)</f>
        <v>1128</v>
      </c>
    </row>
    <row r="117">
      <c r="A117" s="1"/>
      <c r="B117" s="1"/>
      <c r="C117" s="1" t="str">
        <f>IFERROR(__xludf.DUMMYFUNCTION("""COMPUTED_VALUE"""),"Total Grupo")</f>
        <v>Total Grupo</v>
      </c>
      <c r="D117" s="2">
        <f>IFERROR(__xludf.DUMMYFUNCTION("""COMPUTED_VALUE"""),1767.5)</f>
        <v>1767.5</v>
      </c>
    </row>
    <row r="118">
      <c r="A118" s="1" t="str">
        <f>IFERROR(__xludf.DUMMYFUNCTION("""COMPUTED_VALUE"""),"SALGADOS")</f>
        <v>SALGADOS</v>
      </c>
      <c r="B118" s="1"/>
      <c r="C118" s="1"/>
      <c r="D118" s="1"/>
    </row>
    <row r="119">
      <c r="A119" s="1">
        <f>IFERROR(__xludf.DUMMYFUNCTION("""COMPUTED_VALUE"""),1230.0)</f>
        <v>1230</v>
      </c>
      <c r="B119" s="1" t="str">
        <f>IFERROR(__xludf.DUMMYFUNCTION("""COMPUTED_VALUE"""),"COXINHA CRISPY")</f>
        <v>COXINHA CRISPY</v>
      </c>
      <c r="C119" s="1" t="str">
        <f>IFERROR(__xludf.DUMMYFUNCTION("""COMPUTED_VALUE"""),"UN")</f>
        <v>UN</v>
      </c>
      <c r="D119" s="1">
        <f>IFERROR(__xludf.DUMMYFUNCTION("""COMPUTED_VALUE"""),36.0)</f>
        <v>36</v>
      </c>
    </row>
    <row r="120">
      <c r="A120" s="1">
        <f>IFERROR(__xludf.DUMMYFUNCTION("""COMPUTED_VALUE"""),199.0)</f>
        <v>199</v>
      </c>
      <c r="B120" s="1" t="str">
        <f>IFERROR(__xludf.DUMMYFUNCTION("""COMPUTED_VALUE"""),"EMPADA FRANGO")</f>
        <v>EMPADA FRANGO</v>
      </c>
      <c r="C120" s="1" t="str">
        <f>IFERROR(__xludf.DUMMYFUNCTION("""COMPUTED_VALUE"""),"UN")</f>
        <v>UN</v>
      </c>
      <c r="D120" s="1">
        <f>IFERROR(__xludf.DUMMYFUNCTION("""COMPUTED_VALUE"""),16.0)</f>
        <v>16</v>
      </c>
    </row>
    <row r="121">
      <c r="A121" s="1">
        <f>IFERROR(__xludf.DUMMYFUNCTION("""COMPUTED_VALUE"""),200.0)</f>
        <v>200</v>
      </c>
      <c r="B121" s="1" t="str">
        <f>IFERROR(__xludf.DUMMYFUNCTION("""COMPUTED_VALUE"""),"EMPADA PALMITO")</f>
        <v>EMPADA PALMITO</v>
      </c>
      <c r="C121" s="1" t="str">
        <f>IFERROR(__xludf.DUMMYFUNCTION("""COMPUTED_VALUE"""),"UN")</f>
        <v>UN</v>
      </c>
      <c r="D121" s="2">
        <f>IFERROR(__xludf.DUMMYFUNCTION("""COMPUTED_VALUE"""),10.0)</f>
        <v>10</v>
      </c>
    </row>
    <row r="122">
      <c r="A122" s="1">
        <f>IFERROR(__xludf.DUMMYFUNCTION("""COMPUTED_VALUE"""),1190.0)</f>
        <v>1190</v>
      </c>
      <c r="B122" s="1" t="str">
        <f>IFERROR(__xludf.DUMMYFUNCTION("""COMPUTED_VALUE"""),"FOLHADO NAPOLI QUEIJO TOMATE 55X135G")</f>
        <v>FOLHADO NAPOLI QUEIJO TOMATE 55X135G</v>
      </c>
      <c r="C122" s="1" t="str">
        <f>IFERROR(__xludf.DUMMYFUNCTION("""COMPUTED_VALUE"""),"UN")</f>
        <v>UN</v>
      </c>
      <c r="D122" s="2">
        <f>IFERROR(__xludf.DUMMYFUNCTION("""COMPUTED_VALUE"""),23.0)</f>
        <v>23</v>
      </c>
    </row>
    <row r="123">
      <c r="A123" s="1">
        <f>IFERROR(__xludf.DUMMYFUNCTION("""COMPUTED_VALUE"""),757.0)</f>
        <v>757</v>
      </c>
      <c r="B123" s="1" t="str">
        <f>IFERROR(__xludf.DUMMYFUNCTION("""COMPUTED_VALUE"""),"QUICHE 4 QUEIJOS")</f>
        <v>QUICHE 4 QUEIJOS</v>
      </c>
      <c r="C123" s="1" t="str">
        <f>IFERROR(__xludf.DUMMYFUNCTION("""COMPUTED_VALUE"""),"UN")</f>
        <v>UN</v>
      </c>
      <c r="D123" s="2">
        <f>IFERROR(__xludf.DUMMYFUNCTION("""COMPUTED_VALUE"""),50.0)</f>
        <v>50</v>
      </c>
    </row>
    <row r="124">
      <c r="A124" s="1">
        <f>IFERROR(__xludf.DUMMYFUNCTION("""COMPUTED_VALUE"""),198.0)</f>
        <v>198</v>
      </c>
      <c r="B124" s="1" t="str">
        <f>IFERROR(__xludf.DUMMYFUNCTION("""COMPUTED_VALUE"""),"QUICHE ALHO PORO")</f>
        <v>QUICHE ALHO PORO</v>
      </c>
      <c r="C124" s="1" t="str">
        <f>IFERROR(__xludf.DUMMYFUNCTION("""COMPUTED_VALUE"""),"UN")</f>
        <v>UN</v>
      </c>
      <c r="D124" s="1">
        <f>IFERROR(__xludf.DUMMYFUNCTION("""COMPUTED_VALUE"""),78.0)</f>
        <v>78</v>
      </c>
    </row>
    <row r="125">
      <c r="A125" s="1">
        <f>IFERROR(__xludf.DUMMYFUNCTION("""COMPUTED_VALUE"""),194.0)</f>
        <v>194</v>
      </c>
      <c r="B125" s="1" t="str">
        <f>IFERROR(__xludf.DUMMYFUNCTION("""COMPUTED_VALUE"""),"TORTA FRANGO REQUEIJAO")</f>
        <v>TORTA FRANGO REQUEIJAO</v>
      </c>
      <c r="C125" s="1" t="str">
        <f>IFERROR(__xludf.DUMMYFUNCTION("""COMPUTED_VALUE"""),"UN")</f>
        <v>UN</v>
      </c>
      <c r="D125" s="1">
        <f>IFERROR(__xludf.DUMMYFUNCTION("""COMPUTED_VALUE"""),55.0)</f>
        <v>55</v>
      </c>
    </row>
    <row r="126">
      <c r="A126" s="1">
        <f>IFERROR(__xludf.DUMMYFUNCTION("""COMPUTED_VALUE"""),195.0)</f>
        <v>195</v>
      </c>
      <c r="B126" s="1" t="str">
        <f>IFERROR(__xludf.DUMMYFUNCTION("""COMPUTED_VALUE"""),"TORTA PALMITO")</f>
        <v>TORTA PALMITO</v>
      </c>
      <c r="C126" s="1" t="str">
        <f>IFERROR(__xludf.DUMMYFUNCTION("""COMPUTED_VALUE"""),"UN")</f>
        <v>UN</v>
      </c>
      <c r="D126" s="1">
        <f>IFERROR(__xludf.DUMMYFUNCTION("""COMPUTED_VALUE"""),34.0)</f>
        <v>34</v>
      </c>
    </row>
    <row r="127">
      <c r="A127" s="1"/>
      <c r="B127" s="1"/>
      <c r="C127" s="1" t="str">
        <f>IFERROR(__xludf.DUMMYFUNCTION("""COMPUTED_VALUE"""),"Total Grupo")</f>
        <v>Total Grupo</v>
      </c>
      <c r="D127" s="1">
        <f>IFERROR(__xludf.DUMMYFUNCTION("""COMPUTED_VALUE"""),302.0)</f>
        <v>302</v>
      </c>
    </row>
    <row r="128">
      <c r="A128" s="1" t="str">
        <f>IFERROR(__xludf.DUMMYFUNCTION("""COMPUTED_VALUE"""),"SECOS")</f>
        <v>SECOS</v>
      </c>
      <c r="B128" s="1"/>
      <c r="C128" s="1"/>
      <c r="D128" s="1"/>
    </row>
    <row r="129">
      <c r="A129" s="1">
        <f>IFERROR(__xludf.DUMMYFUNCTION("""COMPUTED_VALUE"""),86.0)</f>
        <v>86</v>
      </c>
      <c r="B129" s="1" t="str">
        <f>IFERROR(__xludf.DUMMYFUNCTION("""COMPUTED_VALUE"""),"AZEITE")</f>
        <v>AZEITE</v>
      </c>
      <c r="C129" s="1" t="str">
        <f>IFERROR(__xludf.DUMMYFUNCTION("""COMPUTED_VALUE"""),"LT")</f>
        <v>LT</v>
      </c>
      <c r="D129" s="1">
        <f>IFERROR(__xludf.DUMMYFUNCTION("""COMPUTED_VALUE"""),0.29)</f>
        <v>0.29</v>
      </c>
    </row>
    <row r="130">
      <c r="A130" s="1">
        <f>IFERROR(__xludf.DUMMYFUNCTION("""COMPUTED_VALUE"""),21.0)</f>
        <v>21</v>
      </c>
      <c r="B130" s="1" t="str">
        <f>IFERROR(__xludf.DUMMYFUNCTION("""COMPUTED_VALUE"""),"BARRA CHOCOLATE PRETO MEIO AMARGO")</f>
        <v>BARRA CHOCOLATE PRETO MEIO AMARGO</v>
      </c>
      <c r="C130" s="1" t="str">
        <f>IFERROR(__xludf.DUMMYFUNCTION("""COMPUTED_VALUE"""),"KG")</f>
        <v>KG</v>
      </c>
      <c r="D130" s="1">
        <f>IFERROR(__xludf.DUMMYFUNCTION("""COMPUTED_VALUE"""),0.145)</f>
        <v>0.145</v>
      </c>
    </row>
    <row r="131">
      <c r="A131" s="1">
        <f>IFERROR(__xludf.DUMMYFUNCTION("""COMPUTED_VALUE"""),758.0)</f>
        <v>758</v>
      </c>
      <c r="B131" s="1" t="str">
        <f>IFERROR(__xludf.DUMMYFUNCTION("""COMPUTED_VALUE"""),"BATATA PALHA")</f>
        <v>BATATA PALHA</v>
      </c>
      <c r="C131" s="1" t="str">
        <f>IFERROR(__xludf.DUMMYFUNCTION("""COMPUTED_VALUE"""),"KG")</f>
        <v>KG</v>
      </c>
      <c r="D131" s="1">
        <f>IFERROR(__xludf.DUMMYFUNCTION("""COMPUTED_VALUE"""),1.02)</f>
        <v>1.02</v>
      </c>
    </row>
    <row r="132">
      <c r="A132" s="1">
        <f>IFERROR(__xludf.DUMMYFUNCTION("""COMPUTED_VALUE"""),1307.0)</f>
        <v>1307</v>
      </c>
      <c r="B132" s="1" t="str">
        <f>IFERROR(__xludf.DUMMYFUNCTION("""COMPUTED_VALUE"""),"BISCOITO SCADA CAFÉ C/ CHOCOLATE")</f>
        <v>BISCOITO SCADA CAFÉ C/ CHOCOLATE</v>
      </c>
      <c r="C132" s="1" t="str">
        <f>IFERROR(__xludf.DUMMYFUNCTION("""COMPUTED_VALUE"""),"UN")</f>
        <v>UN</v>
      </c>
      <c r="D132" s="1">
        <f>IFERROR(__xludf.DUMMYFUNCTION("""COMPUTED_VALUE"""),3.0)</f>
        <v>3</v>
      </c>
    </row>
    <row r="133">
      <c r="A133" s="1">
        <f>IFERROR(__xludf.DUMMYFUNCTION("""COMPUTED_VALUE"""),1243.0)</f>
        <v>1243</v>
      </c>
      <c r="B133" s="1" t="str">
        <f>IFERROR(__xludf.DUMMYFUNCTION("""COMPUTED_VALUE"""),"BOLACHA OREO - UNIDADE 0,09 GRAMAS")</f>
        <v>BOLACHA OREO - UNIDADE 0,09 GRAMAS</v>
      </c>
      <c r="C133" s="1" t="str">
        <f>IFERROR(__xludf.DUMMYFUNCTION("""COMPUTED_VALUE"""),"KG")</f>
        <v>KG</v>
      </c>
      <c r="D133" s="1">
        <f>IFERROR(__xludf.DUMMYFUNCTION("""COMPUTED_VALUE"""),0.324)</f>
        <v>0.324</v>
      </c>
    </row>
    <row r="134">
      <c r="A134" s="1">
        <f>IFERROR(__xludf.DUMMYFUNCTION("""COMPUTED_VALUE"""),9.0)</f>
        <v>9</v>
      </c>
      <c r="B134" s="1" t="str">
        <f>IFERROR(__xludf.DUMMYFUNCTION("""COMPUTED_VALUE"""),"CALDA CHOCOLATE")</f>
        <v>CALDA CHOCOLATE</v>
      </c>
      <c r="C134" s="1" t="str">
        <f>IFERROR(__xludf.DUMMYFUNCTION("""COMPUTED_VALUE"""),"KG")</f>
        <v>KG</v>
      </c>
      <c r="D134" s="1">
        <f>IFERROR(__xludf.DUMMYFUNCTION("""COMPUTED_VALUE"""),0.138)</f>
        <v>0.138</v>
      </c>
    </row>
    <row r="135">
      <c r="A135" s="1">
        <f>IFERROR(__xludf.DUMMYFUNCTION("""COMPUTED_VALUE"""),14.0)</f>
        <v>14</v>
      </c>
      <c r="B135" s="1" t="str">
        <f>IFERROR(__xludf.DUMMYFUNCTION("""COMPUTED_VALUE"""),"CANELA EM PO")</f>
        <v>CANELA EM PO</v>
      </c>
      <c r="C135" s="1" t="str">
        <f>IFERROR(__xludf.DUMMYFUNCTION("""COMPUTED_VALUE"""),"KG")</f>
        <v>KG</v>
      </c>
      <c r="D135" s="1">
        <f>IFERROR(__xludf.DUMMYFUNCTION("""COMPUTED_VALUE"""),0.0386)</f>
        <v>0.0386</v>
      </c>
    </row>
    <row r="136">
      <c r="A136" s="1">
        <f>IFERROR(__xludf.DUMMYFUNCTION("""COMPUTED_VALUE"""),498.0)</f>
        <v>498</v>
      </c>
      <c r="B136" s="1" t="str">
        <f>IFERROR(__xludf.DUMMYFUNCTION("""COMPUTED_VALUE"""),"DOCE DE LEITE")</f>
        <v>DOCE DE LEITE</v>
      </c>
      <c r="C136" s="1" t="str">
        <f>IFERROR(__xludf.DUMMYFUNCTION("""COMPUTED_VALUE"""),"KG")</f>
        <v>KG</v>
      </c>
      <c r="D136" s="1">
        <f>IFERROR(__xludf.DUMMYFUNCTION("""COMPUTED_VALUE"""),0.08)</f>
        <v>0.08</v>
      </c>
    </row>
    <row r="137">
      <c r="A137" s="1">
        <f>IFERROR(__xludf.DUMMYFUNCTION("""COMPUTED_VALUE"""),150.0)</f>
        <v>150</v>
      </c>
      <c r="B137" s="1" t="str">
        <f>IFERROR(__xludf.DUMMYFUNCTION("""COMPUTED_VALUE"""),"GAS PARA CHANTILY")</f>
        <v>GAS PARA CHANTILY</v>
      </c>
      <c r="C137" s="1" t="str">
        <f>IFERROR(__xludf.DUMMYFUNCTION("""COMPUTED_VALUE"""),"UN")</f>
        <v>UN</v>
      </c>
      <c r="D137" s="1">
        <f>IFERROR(__xludf.DUMMYFUNCTION("""COMPUTED_VALUE"""),11.638)</f>
        <v>11.638</v>
      </c>
    </row>
    <row r="138">
      <c r="A138" s="1">
        <f>IFERROR(__xludf.DUMMYFUNCTION("""COMPUTED_VALUE"""),89.0)</f>
        <v>89</v>
      </c>
      <c r="B138" s="1" t="str">
        <f>IFERROR(__xludf.DUMMYFUNCTION("""COMPUTED_VALUE"""),"GELEIA DE DAMASCO")</f>
        <v>GELEIA DE DAMASCO</v>
      </c>
      <c r="C138" s="1" t="str">
        <f>IFERROR(__xludf.DUMMYFUNCTION("""COMPUTED_VALUE"""),"KG")</f>
        <v>KG</v>
      </c>
      <c r="D138" s="1">
        <f>IFERROR(__xludf.DUMMYFUNCTION("""COMPUTED_VALUE"""),0.4)</f>
        <v>0.4</v>
      </c>
    </row>
    <row r="139">
      <c r="A139" s="1">
        <f>IFERROR(__xludf.DUMMYFUNCTION("""COMPUTED_VALUE"""),1172.0)</f>
        <v>1172</v>
      </c>
      <c r="B139" s="1" t="str">
        <f>IFERROR(__xludf.DUMMYFUNCTION("""COMPUTED_VALUE"""),"LEITE VEGETAL")</f>
        <v>LEITE VEGETAL</v>
      </c>
      <c r="C139" s="1" t="str">
        <f>IFERROR(__xludf.DUMMYFUNCTION("""COMPUTED_VALUE"""),"LT")</f>
        <v>LT</v>
      </c>
      <c r="D139" s="1">
        <f>IFERROR(__xludf.DUMMYFUNCTION("""COMPUTED_VALUE"""),6.435)</f>
        <v>6.435</v>
      </c>
    </row>
    <row r="140">
      <c r="A140" s="1">
        <f>IFERROR(__xludf.DUMMYFUNCTION("""COMPUTED_VALUE"""),85.0)</f>
        <v>85</v>
      </c>
      <c r="B140" s="1" t="str">
        <f>IFERROR(__xludf.DUMMYFUNCTION("""COMPUTED_VALUE"""),"MAIONESE POTE")</f>
        <v>MAIONESE POTE</v>
      </c>
      <c r="C140" s="1" t="str">
        <f>IFERROR(__xludf.DUMMYFUNCTION("""COMPUTED_VALUE"""),"KG")</f>
        <v>KG</v>
      </c>
      <c r="D140" s="1">
        <f>IFERROR(__xludf.DUMMYFUNCTION("""COMPUTED_VALUE"""),0.5)</f>
        <v>0.5</v>
      </c>
    </row>
    <row r="141">
      <c r="A141" s="1">
        <f>IFERROR(__xludf.DUMMYFUNCTION("""COMPUTED_VALUE"""),100.0)</f>
        <v>100</v>
      </c>
      <c r="B141" s="1" t="str">
        <f>IFERROR(__xludf.DUMMYFUNCTION("""COMPUTED_VALUE"""),"MEL")</f>
        <v>MEL</v>
      </c>
      <c r="C141" s="1" t="str">
        <f>IFERROR(__xludf.DUMMYFUNCTION("""COMPUTED_VALUE"""),"KG")</f>
        <v>KG</v>
      </c>
      <c r="D141" s="1">
        <f>IFERROR(__xludf.DUMMYFUNCTION("""COMPUTED_VALUE"""),0.21)</f>
        <v>0.21</v>
      </c>
    </row>
    <row r="142">
      <c r="A142" s="1">
        <f>IFERROR(__xludf.DUMMYFUNCTION("""COMPUTED_VALUE"""),93.0)</f>
        <v>93</v>
      </c>
      <c r="B142" s="1" t="str">
        <f>IFERROR(__xludf.DUMMYFUNCTION("""COMPUTED_VALUE"""),"MOSTARDA SACHE")</f>
        <v>MOSTARDA SACHE</v>
      </c>
      <c r="C142" s="1" t="str">
        <f>IFERROR(__xludf.DUMMYFUNCTION("""COMPUTED_VALUE"""),"UN")</f>
        <v>UN</v>
      </c>
      <c r="D142" s="1">
        <f>IFERROR(__xludf.DUMMYFUNCTION("""COMPUTED_VALUE"""),14.0)</f>
        <v>14</v>
      </c>
    </row>
    <row r="143">
      <c r="A143" s="1">
        <f>IFERROR(__xludf.DUMMYFUNCTION("""COMPUTED_VALUE"""),101.0)</f>
        <v>101</v>
      </c>
      <c r="B143" s="1" t="str">
        <f>IFERROR(__xludf.DUMMYFUNCTION("""COMPUTED_VALUE"""),"NUTELLA")</f>
        <v>NUTELLA</v>
      </c>
      <c r="C143" s="1" t="str">
        <f>IFERROR(__xludf.DUMMYFUNCTION("""COMPUTED_VALUE"""),"KG")</f>
        <v>KG</v>
      </c>
      <c r="D143" s="1">
        <f>IFERROR(__xludf.DUMMYFUNCTION("""COMPUTED_VALUE"""),0.7)</f>
        <v>0.7</v>
      </c>
    </row>
    <row r="144">
      <c r="A144" s="1">
        <f>IFERROR(__xludf.DUMMYFUNCTION("""COMPUTED_VALUE"""),91.0)</f>
        <v>91</v>
      </c>
      <c r="B144" s="1" t="str">
        <f>IFERROR(__xludf.DUMMYFUNCTION("""COMPUTED_VALUE"""),"OREGANO")</f>
        <v>OREGANO</v>
      </c>
      <c r="C144" s="1" t="str">
        <f>IFERROR(__xludf.DUMMYFUNCTION("""COMPUTED_VALUE"""),"KG")</f>
        <v>KG</v>
      </c>
      <c r="D144" s="1">
        <f>IFERROR(__xludf.DUMMYFUNCTION("""COMPUTED_VALUE"""),0.035)</f>
        <v>0.035</v>
      </c>
    </row>
    <row r="145">
      <c r="A145" s="1">
        <f>IFERROR(__xludf.DUMMYFUNCTION("""COMPUTED_VALUE"""),1034.0)</f>
        <v>1034</v>
      </c>
      <c r="B145" s="1" t="str">
        <f>IFERROR(__xludf.DUMMYFUNCTION("""COMPUTED_VALUE"""),"OVO IN NATURA")</f>
        <v>OVO IN NATURA</v>
      </c>
      <c r="C145" s="1" t="str">
        <f>IFERROR(__xludf.DUMMYFUNCTION("""COMPUTED_VALUE"""),"UN")</f>
        <v>UN</v>
      </c>
      <c r="D145" s="1">
        <f>IFERROR(__xludf.DUMMYFUNCTION("""COMPUTED_VALUE"""),111.0)</f>
        <v>111</v>
      </c>
    </row>
    <row r="146">
      <c r="A146" s="1">
        <f>IFERROR(__xludf.DUMMYFUNCTION("""COMPUTED_VALUE"""),92.0)</f>
        <v>92</v>
      </c>
      <c r="B146" s="1" t="str">
        <f>IFERROR(__xludf.DUMMYFUNCTION("""COMPUTED_VALUE"""),"SAL")</f>
        <v>SAL</v>
      </c>
      <c r="C146" s="1" t="str">
        <f>IFERROR(__xludf.DUMMYFUNCTION("""COMPUTED_VALUE"""),"KG")</f>
        <v>KG</v>
      </c>
      <c r="D146" s="1">
        <f>IFERROR(__xludf.DUMMYFUNCTION("""COMPUTED_VALUE"""),0.0085)</f>
        <v>0.0085</v>
      </c>
    </row>
    <row r="147">
      <c r="A147" s="1">
        <f>IFERROR(__xludf.DUMMYFUNCTION("""COMPUTED_VALUE"""),782.0)</f>
        <v>782</v>
      </c>
      <c r="B147" s="1" t="str">
        <f>IFERROR(__xludf.DUMMYFUNCTION("""COMPUTED_VALUE"""),"SAL SACHE")</f>
        <v>SAL SACHE</v>
      </c>
      <c r="C147" s="1" t="str">
        <f>IFERROR(__xludf.DUMMYFUNCTION("""COMPUTED_VALUE"""),"UN")</f>
        <v>UN</v>
      </c>
      <c r="D147" s="1">
        <f>IFERROR(__xludf.DUMMYFUNCTION("""COMPUTED_VALUE"""),37.0)</f>
        <v>37</v>
      </c>
    </row>
    <row r="148">
      <c r="A148" s="1">
        <f>IFERROR(__xludf.DUMMYFUNCTION("""COMPUTED_VALUE"""),881.0)</f>
        <v>881</v>
      </c>
      <c r="B148" s="1" t="str">
        <f>IFERROR(__xludf.DUMMYFUNCTION("""COMPUTED_VALUE"""),"TAPIOCA")</f>
        <v>TAPIOCA</v>
      </c>
      <c r="C148" s="1" t="str">
        <f>IFERROR(__xludf.DUMMYFUNCTION("""COMPUTED_VALUE"""),"KG")</f>
        <v>KG</v>
      </c>
      <c r="D148" s="1">
        <f>IFERROR(__xludf.DUMMYFUNCTION("""COMPUTED_VALUE"""),4.83)</f>
        <v>4.83</v>
      </c>
    </row>
    <row r="149">
      <c r="A149" s="1"/>
      <c r="B149" s="1"/>
      <c r="C149" s="1" t="str">
        <f>IFERROR(__xludf.DUMMYFUNCTION("""COMPUTED_VALUE"""),"Total Grupo")</f>
        <v>Total Grupo</v>
      </c>
      <c r="D149" s="1">
        <f>IFERROR(__xludf.DUMMYFUNCTION("""COMPUTED_VALUE"""),191.7921)</f>
        <v>191.7921</v>
      </c>
    </row>
    <row r="150">
      <c r="A150" s="1" t="str">
        <f>IFERROR(__xludf.DUMMYFUNCTION("""COMPUTED_VALUE"""),"UTENSILIOS")</f>
        <v>UTENSILIOS</v>
      </c>
      <c r="B150" s="1"/>
      <c r="C150" s="1"/>
      <c r="D150" s="1"/>
    </row>
    <row r="151">
      <c r="A151" s="1">
        <f>IFERROR(__xludf.DUMMYFUNCTION("""COMPUTED_VALUE"""),345.0)</f>
        <v>345</v>
      </c>
      <c r="B151" s="1" t="str">
        <f>IFERROR(__xludf.DUMMYFUNCTION("""COMPUTED_VALUE"""),"CANECA SCADA")</f>
        <v>CANECA SCADA</v>
      </c>
      <c r="C151" s="1" t="str">
        <f>IFERROR(__xludf.DUMMYFUNCTION("""COMPUTED_VALUE"""),"UN")</f>
        <v>UN</v>
      </c>
      <c r="D151" s="1">
        <f>IFERROR(__xludf.DUMMYFUNCTION("""COMPUTED_VALUE"""),1.0)</f>
        <v>1</v>
      </c>
    </row>
    <row r="152">
      <c r="A152" s="1">
        <f>IFERROR(__xludf.DUMMYFUNCTION("""COMPUTED_VALUE"""),922.0)</f>
        <v>922</v>
      </c>
      <c r="B152" s="1" t="str">
        <f>IFERROR(__xludf.DUMMYFUNCTION("""COMPUTED_VALUE"""),"FILTRO CHEMEX CIRC.4 XICARA C/100 U.INT")</f>
        <v>FILTRO CHEMEX CIRC.4 XICARA C/100 U.INT</v>
      </c>
      <c r="C152" s="1" t="str">
        <f>IFERROR(__xludf.DUMMYFUNCTION("""COMPUTED_VALUE"""),"UN")</f>
        <v>UN</v>
      </c>
      <c r="D152" s="1">
        <f>IFERROR(__xludf.DUMMYFUNCTION("""COMPUTED_VALUE"""),18.0)</f>
        <v>18</v>
      </c>
    </row>
    <row r="153">
      <c r="A153" s="1"/>
      <c r="B153" s="1"/>
      <c r="C153" s="1" t="str">
        <f>IFERROR(__xludf.DUMMYFUNCTION("""COMPUTED_VALUE"""),"Total Grupo")</f>
        <v>Total Grupo</v>
      </c>
      <c r="D153" s="1">
        <f>IFERROR(__xludf.DUMMYFUNCTION("""COMPUTED_VALUE"""),19.0)</f>
        <v>19</v>
      </c>
    </row>
    <row r="154">
      <c r="A154" s="1"/>
      <c r="B154" s="1"/>
      <c r="C154" s="1" t="str">
        <f>IFERROR(__xludf.DUMMYFUNCTION("""COMPUTED_VALUE"""),"Total")</f>
        <v>Total</v>
      </c>
      <c r="D154" s="2">
        <f>IFERROR(__xludf.DUMMYFUNCTION("""COMPUTED_VALUE"""),4934.02)</f>
        <v>4934.02</v>
      </c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  <row r="995">
      <c r="A995" s="1"/>
      <c r="B995" s="1"/>
      <c r="C995" s="1"/>
      <c r="D995" s="1"/>
    </row>
    <row r="996">
      <c r="A996" s="1"/>
      <c r="B996" s="1"/>
      <c r="C996" s="1"/>
      <c r="D996" s="1"/>
    </row>
  </sheetData>
  <drawing r:id="rId1"/>
</worksheet>
</file>