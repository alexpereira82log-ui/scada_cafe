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_([$R$ -416]* #,##0.00_);_([$R$ -416]* \(#,##0.00\);_([$R$ -416]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IFERROR(__xludf.DUMMYFUNCTION("IMPORTRANGE(""https://docs.google.com/spreadsheets/d/14fER3Sg03mfwSF_0vncPfiFnhofQF5wzWFCm6NsIILk/edit?gid=1808530779#gid=1808530779"",""Janeiro!A1:R32"")"),"Data")</f>
        <v>Data</v>
      </c>
      <c r="B1" s="1" t="str">
        <f>IFERROR(__xludf.DUMMYFUNCTION("""COMPUTED_VALUE"""),"10% Dia")</f>
        <v>10% Dia</v>
      </c>
      <c r="C1" s="1" t="str">
        <f>IFERROR(__xludf.DUMMYFUNCTION("""COMPUTED_VALUE"""),"Rateio")</f>
        <v>Rateio</v>
      </c>
      <c r="D1" s="1" t="str">
        <f>IFERROR(__xludf.DUMMYFUNCTION("""COMPUTED_VALUE"""),"Vlr Final")</f>
        <v>Vlr Final</v>
      </c>
      <c r="E1" s="1" t="str">
        <f>IFERROR(__xludf.DUMMYFUNCTION("""COMPUTED_VALUE"""),"Alex")</f>
        <v>Alex</v>
      </c>
      <c r="F1" s="1" t="str">
        <f>IFERROR(__xludf.DUMMYFUNCTION("""COMPUTED_VALUE"""),"Edna")</f>
        <v>Edna</v>
      </c>
      <c r="G1" s="1" t="str">
        <f>IFERROR(__xludf.DUMMYFUNCTION("""COMPUTED_VALUE"""),"Patrícia")</f>
        <v>Patrícia</v>
      </c>
      <c r="H1" s="1" t="str">
        <f>IFERROR(__xludf.DUMMYFUNCTION("""COMPUTED_VALUE"""),"Jonathan")</f>
        <v>Jonathan</v>
      </c>
      <c r="I1" s="1" t="str">
        <f>IFERROR(__xludf.DUMMYFUNCTION("""COMPUTED_VALUE"""),"Melissa")</f>
        <v>Melissa</v>
      </c>
      <c r="J1" s="1" t="str">
        <f>IFERROR(__xludf.DUMMYFUNCTION("""COMPUTED_VALUE"""),"Rafael")</f>
        <v>Rafael</v>
      </c>
      <c r="K1" s="2" t="str">
        <f>IFERROR(__xludf.DUMMYFUNCTION("""COMPUTED_VALUE"""),"Francisca")</f>
        <v>Francisca</v>
      </c>
      <c r="L1" s="2" t="str">
        <f>IFERROR(__xludf.DUMMYFUNCTION("""COMPUTED_VALUE"""),"Ana Júlia")</f>
        <v>Ana Júlia</v>
      </c>
      <c r="M1" s="2" t="str">
        <f>IFERROR(__xludf.DUMMYFUNCTION("""COMPUTED_VALUE"""),"Paulo")</f>
        <v>Paulo</v>
      </c>
      <c r="N1" s="2" t="str">
        <f>IFERROR(__xludf.DUMMYFUNCTION("""COMPUTED_VALUE"""),"Michelle")</f>
        <v>Michelle</v>
      </c>
      <c r="O1" s="2" t="str">
        <f>IFERROR(__xludf.DUMMYFUNCTION("""COMPUTED_VALUE"""),"Pâmela")</f>
        <v>Pâmela</v>
      </c>
      <c r="P1" s="2" t="str">
        <f>IFERROR(__xludf.DUMMYFUNCTION("""COMPUTED_VALUE"""),"Vanessa")</f>
        <v>Vanessa</v>
      </c>
      <c r="Q1" s="2" t="str">
        <f>IFERROR(__xludf.DUMMYFUNCTION("""COMPUTED_VALUE"""),"Vago")</f>
        <v>Vago</v>
      </c>
      <c r="R1" s="1" t="str">
        <f>IFERROR(__xludf.DUMMYFUNCTION("""COMPUTED_VALUE"""),"Colaboradores")</f>
        <v>Colaboradores</v>
      </c>
    </row>
    <row r="2">
      <c r="A2" s="3">
        <f>IFERROR(__xludf.DUMMYFUNCTION("""COMPUTED_VALUE"""),46023.0)</f>
        <v>46023</v>
      </c>
      <c r="B2" s="4">
        <f>IFERROR(__xludf.DUMMYFUNCTION("""COMPUTED_VALUE"""),823.4)</f>
        <v>823.4</v>
      </c>
      <c r="C2" s="4">
        <f>IFERROR(__xludf.DUMMYFUNCTION("""COMPUTED_VALUE"""),65.872)</f>
        <v>65.872</v>
      </c>
      <c r="D2" s="4">
        <f>IFERROR(__xludf.DUMMYFUNCTION("""COMPUTED_VALUE"""),65.872)</f>
        <v>65.872</v>
      </c>
      <c r="E2" s="5">
        <f>IFERROR(__xludf.DUMMYFUNCTION("""COMPUTED_VALUE"""),65.872)</f>
        <v>65.872</v>
      </c>
      <c r="F2" s="5">
        <f>IFERROR(__xludf.DUMMYFUNCTION("""COMPUTED_VALUE"""),65.872)</f>
        <v>65.872</v>
      </c>
      <c r="G2" s="5">
        <f>IFERROR(__xludf.DUMMYFUNCTION("""COMPUTED_VALUE"""),65.872)</f>
        <v>65.872</v>
      </c>
      <c r="H2" s="5">
        <f>IFERROR(__xludf.DUMMYFUNCTION("""COMPUTED_VALUE"""),65.872)</f>
        <v>65.872</v>
      </c>
      <c r="I2" s="5">
        <f>IFERROR(__xludf.DUMMYFUNCTION("""COMPUTED_VALUE"""),65.872)</f>
        <v>65.872</v>
      </c>
      <c r="J2" s="5">
        <f>IFERROR(__xludf.DUMMYFUNCTION("""COMPUTED_VALUE"""),65.872)</f>
        <v>65.872</v>
      </c>
      <c r="K2" s="5">
        <f>IFERROR(__xludf.DUMMYFUNCTION("""COMPUTED_VALUE"""),65.872)</f>
        <v>65.872</v>
      </c>
      <c r="L2" s="5">
        <f>IFERROR(__xludf.DUMMYFUNCTION("""COMPUTED_VALUE"""),65.872)</f>
        <v>65.872</v>
      </c>
      <c r="M2" s="5" t="str">
        <f>IFERROR(__xludf.DUMMYFUNCTION("""COMPUTED_VALUE"""),"x")</f>
        <v>x</v>
      </c>
      <c r="N2" s="5" t="str">
        <f>IFERROR(__xludf.DUMMYFUNCTION("""COMPUTED_VALUE"""),"x")</f>
        <v>x</v>
      </c>
      <c r="O2" s="5">
        <f>IFERROR(__xludf.DUMMYFUNCTION("""COMPUTED_VALUE"""),65.872)</f>
        <v>65.872</v>
      </c>
      <c r="P2" s="5">
        <f>IFERROR(__xludf.DUMMYFUNCTION("""COMPUTED_VALUE"""),65.872)</f>
        <v>65.872</v>
      </c>
      <c r="Q2" s="6"/>
      <c r="R2" s="6">
        <f>IFERROR(__xludf.DUMMYFUNCTION("""COMPUTED_VALUE"""),10.0)</f>
        <v>10</v>
      </c>
    </row>
    <row r="3">
      <c r="A3" s="3">
        <f>IFERROR(__xludf.DUMMYFUNCTION("""COMPUTED_VALUE"""),46024.0)</f>
        <v>46024</v>
      </c>
      <c r="B3" s="4">
        <f>IFERROR(__xludf.DUMMYFUNCTION("""COMPUTED_VALUE"""),792.2)</f>
        <v>792.2</v>
      </c>
      <c r="C3" s="4">
        <f>IFERROR(__xludf.DUMMYFUNCTION("""COMPUTED_VALUE"""),63.376)</f>
        <v>63.376</v>
      </c>
      <c r="D3" s="4">
        <f>IFERROR(__xludf.DUMMYFUNCTION("""COMPUTED_VALUE"""),63.376)</f>
        <v>63.376</v>
      </c>
      <c r="E3" s="5">
        <f>IFERROR(__xludf.DUMMYFUNCTION("""COMPUTED_VALUE"""),63.376)</f>
        <v>63.376</v>
      </c>
      <c r="F3" s="5">
        <f>IFERROR(__xludf.DUMMYFUNCTION("""COMPUTED_VALUE"""),63.376)</f>
        <v>63.376</v>
      </c>
      <c r="G3" s="5">
        <f>IFERROR(__xludf.DUMMYFUNCTION("""COMPUTED_VALUE"""),63.376)</f>
        <v>63.376</v>
      </c>
      <c r="H3" s="5">
        <f>IFERROR(__xludf.DUMMYFUNCTION("""COMPUTED_VALUE"""),63.376)</f>
        <v>63.376</v>
      </c>
      <c r="I3" s="5">
        <f>IFERROR(__xludf.DUMMYFUNCTION("""COMPUTED_VALUE"""),63.376)</f>
        <v>63.376</v>
      </c>
      <c r="J3" s="5">
        <f>IFERROR(__xludf.DUMMYFUNCTION("""COMPUTED_VALUE"""),63.376)</f>
        <v>63.376</v>
      </c>
      <c r="K3" s="5">
        <f>IFERROR(__xludf.DUMMYFUNCTION("""COMPUTED_VALUE"""),63.376)</f>
        <v>63.376</v>
      </c>
      <c r="L3" s="5">
        <f>IFERROR(__xludf.DUMMYFUNCTION("""COMPUTED_VALUE"""),63.376)</f>
        <v>63.376</v>
      </c>
      <c r="M3" s="5" t="str">
        <f>IFERROR(__xludf.DUMMYFUNCTION("""COMPUTED_VALUE"""),"x")</f>
        <v>x</v>
      </c>
      <c r="N3" s="5" t="str">
        <f>IFERROR(__xludf.DUMMYFUNCTION("""COMPUTED_VALUE"""),"x")</f>
        <v>x</v>
      </c>
      <c r="O3" s="5">
        <f>IFERROR(__xludf.DUMMYFUNCTION("""COMPUTED_VALUE"""),63.376)</f>
        <v>63.376</v>
      </c>
      <c r="P3" s="5">
        <f>IFERROR(__xludf.DUMMYFUNCTION("""COMPUTED_VALUE"""),63.376)</f>
        <v>63.376</v>
      </c>
      <c r="Q3" s="6"/>
      <c r="R3" s="6">
        <f>IFERROR(__xludf.DUMMYFUNCTION("""COMPUTED_VALUE"""),10.0)</f>
        <v>10</v>
      </c>
    </row>
    <row r="4">
      <c r="A4" s="3">
        <f>IFERROR(__xludf.DUMMYFUNCTION("""COMPUTED_VALUE"""),46025.0)</f>
        <v>46025</v>
      </c>
      <c r="B4" s="4">
        <f>IFERROR(__xludf.DUMMYFUNCTION("""COMPUTED_VALUE"""),730.2)</f>
        <v>730.2</v>
      </c>
      <c r="C4" s="4">
        <f>IFERROR(__xludf.DUMMYFUNCTION("""COMPUTED_VALUE"""),58.41600000000001)</f>
        <v>58.416</v>
      </c>
      <c r="D4" s="4">
        <f>IFERROR(__xludf.DUMMYFUNCTION("""COMPUTED_VALUE"""),58.41600000000001)</f>
        <v>58.416</v>
      </c>
      <c r="E4" s="5">
        <f>IFERROR(__xludf.DUMMYFUNCTION("""COMPUTED_VALUE"""),58.41600000000001)</f>
        <v>58.416</v>
      </c>
      <c r="F4" s="5">
        <f>IFERROR(__xludf.DUMMYFUNCTION("""COMPUTED_VALUE"""),58.41600000000001)</f>
        <v>58.416</v>
      </c>
      <c r="G4" s="5">
        <f>IFERROR(__xludf.DUMMYFUNCTION("""COMPUTED_VALUE"""),58.41600000000001)</f>
        <v>58.416</v>
      </c>
      <c r="H4" s="5">
        <f>IFERROR(__xludf.DUMMYFUNCTION("""COMPUTED_VALUE"""),58.41600000000001)</f>
        <v>58.416</v>
      </c>
      <c r="I4" s="5">
        <f>IFERROR(__xludf.DUMMYFUNCTION("""COMPUTED_VALUE"""),58.41600000000001)</f>
        <v>58.416</v>
      </c>
      <c r="J4" s="5">
        <f>IFERROR(__xludf.DUMMYFUNCTION("""COMPUTED_VALUE"""),58.41600000000001)</f>
        <v>58.416</v>
      </c>
      <c r="K4" s="5">
        <f>IFERROR(__xludf.DUMMYFUNCTION("""COMPUTED_VALUE"""),58.41600000000001)</f>
        <v>58.416</v>
      </c>
      <c r="L4" s="5">
        <f>IFERROR(__xludf.DUMMYFUNCTION("""COMPUTED_VALUE"""),58.41600000000001)</f>
        <v>58.416</v>
      </c>
      <c r="M4" s="5" t="str">
        <f>IFERROR(__xludf.DUMMYFUNCTION("""COMPUTED_VALUE"""),"x")</f>
        <v>x</v>
      </c>
      <c r="N4" s="5" t="str">
        <f>IFERROR(__xludf.DUMMYFUNCTION("""COMPUTED_VALUE"""),"x")</f>
        <v>x</v>
      </c>
      <c r="O4" s="5">
        <f>IFERROR(__xludf.DUMMYFUNCTION("""COMPUTED_VALUE"""),58.41600000000001)</f>
        <v>58.416</v>
      </c>
      <c r="P4" s="5">
        <f>IFERROR(__xludf.DUMMYFUNCTION("""COMPUTED_VALUE"""),58.41600000000001)</f>
        <v>58.416</v>
      </c>
      <c r="Q4" s="6"/>
      <c r="R4" s="6">
        <f>IFERROR(__xludf.DUMMYFUNCTION("""COMPUTED_VALUE"""),10.0)</f>
        <v>10</v>
      </c>
    </row>
    <row r="5">
      <c r="A5" s="3">
        <f>IFERROR(__xludf.DUMMYFUNCTION("""COMPUTED_VALUE"""),46026.0)</f>
        <v>46026</v>
      </c>
      <c r="B5" s="4">
        <f>IFERROR(__xludf.DUMMYFUNCTION("""COMPUTED_VALUE"""),719.0)</f>
        <v>719</v>
      </c>
      <c r="C5" s="4">
        <f>IFERROR(__xludf.DUMMYFUNCTION("""COMPUTED_VALUE"""),52.29090909090909)</f>
        <v>52.29090909</v>
      </c>
      <c r="D5" s="4">
        <f>IFERROR(__xludf.DUMMYFUNCTION("""COMPUTED_VALUE"""),52.29090909090909)</f>
        <v>52.29090909</v>
      </c>
      <c r="E5" s="5">
        <f>IFERROR(__xludf.DUMMYFUNCTION("""COMPUTED_VALUE"""),52.29090909090909)</f>
        <v>52.29090909</v>
      </c>
      <c r="F5" s="5">
        <f>IFERROR(__xludf.DUMMYFUNCTION("""COMPUTED_VALUE"""),52.29090909090909)</f>
        <v>52.29090909</v>
      </c>
      <c r="G5" s="5">
        <f>IFERROR(__xludf.DUMMYFUNCTION("""COMPUTED_VALUE"""),52.29090909090909)</f>
        <v>52.29090909</v>
      </c>
      <c r="H5" s="5">
        <f>IFERROR(__xludf.DUMMYFUNCTION("""COMPUTED_VALUE"""),52.29090909090909)</f>
        <v>52.29090909</v>
      </c>
      <c r="I5" s="5">
        <f>IFERROR(__xludf.DUMMYFUNCTION("""COMPUTED_VALUE"""),52.29090909090909)</f>
        <v>52.29090909</v>
      </c>
      <c r="J5" s="5">
        <f>IFERROR(__xludf.DUMMYFUNCTION("""COMPUTED_VALUE"""),52.29090909090909)</f>
        <v>52.29090909</v>
      </c>
      <c r="K5" s="5">
        <f>IFERROR(__xludf.DUMMYFUNCTION("""COMPUTED_VALUE"""),52.29090909090909)</f>
        <v>52.29090909</v>
      </c>
      <c r="L5" s="5">
        <f>IFERROR(__xludf.DUMMYFUNCTION("""COMPUTED_VALUE"""),52.29090909090909)</f>
        <v>52.29090909</v>
      </c>
      <c r="M5" s="5">
        <f>IFERROR(__xludf.DUMMYFUNCTION("""COMPUTED_VALUE"""),52.29090909090909)</f>
        <v>52.29090909</v>
      </c>
      <c r="N5" s="5" t="str">
        <f>IFERROR(__xludf.DUMMYFUNCTION("""COMPUTED_VALUE"""),"x")</f>
        <v>x</v>
      </c>
      <c r="O5" s="5">
        <f>IFERROR(__xludf.DUMMYFUNCTION("""COMPUTED_VALUE"""),52.29090909090909)</f>
        <v>52.29090909</v>
      </c>
      <c r="P5" s="5">
        <f>IFERROR(__xludf.DUMMYFUNCTION("""COMPUTED_VALUE"""),52.29090909090909)</f>
        <v>52.29090909</v>
      </c>
      <c r="Q5" s="6"/>
      <c r="R5" s="6">
        <f>IFERROR(__xludf.DUMMYFUNCTION("""COMPUTED_VALUE"""),11.0)</f>
        <v>11</v>
      </c>
    </row>
    <row r="6">
      <c r="A6" s="3">
        <f>IFERROR(__xludf.DUMMYFUNCTION("""COMPUTED_VALUE"""),46027.0)</f>
        <v>46027</v>
      </c>
      <c r="B6" s="4">
        <f>IFERROR(__xludf.DUMMYFUNCTION("""COMPUTED_VALUE"""),577.5)</f>
        <v>577.5</v>
      </c>
      <c r="C6" s="4">
        <f>IFERROR(__xludf.DUMMYFUNCTION("""COMPUTED_VALUE"""),38.5)</f>
        <v>38.5</v>
      </c>
      <c r="D6" s="4">
        <f>IFERROR(__xludf.DUMMYFUNCTION("""COMPUTED_VALUE"""),38.5)</f>
        <v>38.5</v>
      </c>
      <c r="E6" s="5">
        <f>IFERROR(__xludf.DUMMYFUNCTION("""COMPUTED_VALUE"""),38.5)</f>
        <v>38.5</v>
      </c>
      <c r="F6" s="5">
        <f>IFERROR(__xludf.DUMMYFUNCTION("""COMPUTED_VALUE"""),38.5)</f>
        <v>38.5</v>
      </c>
      <c r="G6" s="5">
        <f>IFERROR(__xludf.DUMMYFUNCTION("""COMPUTED_VALUE"""),38.5)</f>
        <v>38.5</v>
      </c>
      <c r="H6" s="5">
        <f>IFERROR(__xludf.DUMMYFUNCTION("""COMPUTED_VALUE"""),38.5)</f>
        <v>38.5</v>
      </c>
      <c r="I6" s="5">
        <f>IFERROR(__xludf.DUMMYFUNCTION("""COMPUTED_VALUE"""),38.5)</f>
        <v>38.5</v>
      </c>
      <c r="J6" s="5">
        <f>IFERROR(__xludf.DUMMYFUNCTION("""COMPUTED_VALUE"""),38.5)</f>
        <v>38.5</v>
      </c>
      <c r="K6" s="5">
        <f>IFERROR(__xludf.DUMMYFUNCTION("""COMPUTED_VALUE"""),38.5)</f>
        <v>38.5</v>
      </c>
      <c r="L6" s="5">
        <f>IFERROR(__xludf.DUMMYFUNCTION("""COMPUTED_VALUE"""),38.5)</f>
        <v>38.5</v>
      </c>
      <c r="M6" s="5">
        <f>IFERROR(__xludf.DUMMYFUNCTION("""COMPUTED_VALUE"""),38.5)</f>
        <v>38.5</v>
      </c>
      <c r="N6" s="5">
        <f>IFERROR(__xludf.DUMMYFUNCTION("""COMPUTED_VALUE"""),38.5)</f>
        <v>38.5</v>
      </c>
      <c r="O6" s="5">
        <f>IFERROR(__xludf.DUMMYFUNCTION("""COMPUTED_VALUE"""),38.5)</f>
        <v>38.5</v>
      </c>
      <c r="P6" s="5">
        <f>IFERROR(__xludf.DUMMYFUNCTION("""COMPUTED_VALUE"""),38.5)</f>
        <v>38.5</v>
      </c>
      <c r="Q6" s="6"/>
      <c r="R6" s="6">
        <f>IFERROR(__xludf.DUMMYFUNCTION("""COMPUTED_VALUE"""),12.0)</f>
        <v>12</v>
      </c>
    </row>
    <row r="7">
      <c r="A7" s="3">
        <f>IFERROR(__xludf.DUMMYFUNCTION("""COMPUTED_VALUE"""),46028.0)</f>
        <v>46028</v>
      </c>
      <c r="B7" s="4">
        <f>IFERROR(__xludf.DUMMYFUNCTION("""COMPUTED_VALUE"""),531.1)</f>
        <v>531.1</v>
      </c>
      <c r="C7" s="4">
        <f>IFERROR(__xludf.DUMMYFUNCTION("""COMPUTED_VALUE"""),35.406666666666666)</f>
        <v>35.40666667</v>
      </c>
      <c r="D7" s="4">
        <f>IFERROR(__xludf.DUMMYFUNCTION("""COMPUTED_VALUE"""),35.406666666666666)</f>
        <v>35.40666667</v>
      </c>
      <c r="E7" s="5">
        <f>IFERROR(__xludf.DUMMYFUNCTION("""COMPUTED_VALUE"""),35.406666666666666)</f>
        <v>35.40666667</v>
      </c>
      <c r="F7" s="5">
        <f>IFERROR(__xludf.DUMMYFUNCTION("""COMPUTED_VALUE"""),35.406666666666666)</f>
        <v>35.40666667</v>
      </c>
      <c r="G7" s="5">
        <f>IFERROR(__xludf.DUMMYFUNCTION("""COMPUTED_VALUE"""),35.406666666666666)</f>
        <v>35.40666667</v>
      </c>
      <c r="H7" s="5">
        <f>IFERROR(__xludf.DUMMYFUNCTION("""COMPUTED_VALUE"""),35.406666666666666)</f>
        <v>35.40666667</v>
      </c>
      <c r="I7" s="5">
        <f>IFERROR(__xludf.DUMMYFUNCTION("""COMPUTED_VALUE"""),35.406666666666666)</f>
        <v>35.40666667</v>
      </c>
      <c r="J7" s="5">
        <f>IFERROR(__xludf.DUMMYFUNCTION("""COMPUTED_VALUE"""),35.406666666666666)</f>
        <v>35.40666667</v>
      </c>
      <c r="K7" s="5">
        <f>IFERROR(__xludf.DUMMYFUNCTION("""COMPUTED_VALUE"""),35.406666666666666)</f>
        <v>35.40666667</v>
      </c>
      <c r="L7" s="5">
        <f>IFERROR(__xludf.DUMMYFUNCTION("""COMPUTED_VALUE"""),35.406666666666666)</f>
        <v>35.40666667</v>
      </c>
      <c r="M7" s="5">
        <f>IFERROR(__xludf.DUMMYFUNCTION("""COMPUTED_VALUE"""),35.406666666666666)</f>
        <v>35.40666667</v>
      </c>
      <c r="N7" s="5">
        <f>IFERROR(__xludf.DUMMYFUNCTION("""COMPUTED_VALUE"""),35.406666666666666)</f>
        <v>35.40666667</v>
      </c>
      <c r="O7" s="5">
        <f>IFERROR(__xludf.DUMMYFUNCTION("""COMPUTED_VALUE"""),35.406666666666666)</f>
        <v>35.40666667</v>
      </c>
      <c r="P7" s="5">
        <f>IFERROR(__xludf.DUMMYFUNCTION("""COMPUTED_VALUE"""),35.406666666666666)</f>
        <v>35.40666667</v>
      </c>
      <c r="Q7" s="6"/>
      <c r="R7" s="6">
        <f>IFERROR(__xludf.DUMMYFUNCTION("""COMPUTED_VALUE"""),12.0)</f>
        <v>12</v>
      </c>
    </row>
    <row r="8">
      <c r="A8" s="3">
        <f>IFERROR(__xludf.DUMMYFUNCTION("""COMPUTED_VALUE"""),46029.0)</f>
        <v>46029</v>
      </c>
      <c r="B8" s="4">
        <f>IFERROR(__xludf.DUMMYFUNCTION("""COMPUTED_VALUE"""),709.0)</f>
        <v>709</v>
      </c>
      <c r="C8" s="4">
        <f>IFERROR(__xludf.DUMMYFUNCTION("""COMPUTED_VALUE"""),47.266666666666666)</f>
        <v>47.26666667</v>
      </c>
      <c r="D8" s="4">
        <f>IFERROR(__xludf.DUMMYFUNCTION("""COMPUTED_VALUE"""),47.266666666666666)</f>
        <v>47.26666667</v>
      </c>
      <c r="E8" s="5">
        <f>IFERROR(__xludf.DUMMYFUNCTION("""COMPUTED_VALUE"""),47.266666666666666)</f>
        <v>47.26666667</v>
      </c>
      <c r="F8" s="5">
        <f>IFERROR(__xludf.DUMMYFUNCTION("""COMPUTED_VALUE"""),47.266666666666666)</f>
        <v>47.26666667</v>
      </c>
      <c r="G8" s="5">
        <f>IFERROR(__xludf.DUMMYFUNCTION("""COMPUTED_VALUE"""),47.266666666666666)</f>
        <v>47.26666667</v>
      </c>
      <c r="H8" s="5">
        <f>IFERROR(__xludf.DUMMYFUNCTION("""COMPUTED_VALUE"""),47.266666666666666)</f>
        <v>47.26666667</v>
      </c>
      <c r="I8" s="5">
        <f>IFERROR(__xludf.DUMMYFUNCTION("""COMPUTED_VALUE"""),47.266666666666666)</f>
        <v>47.26666667</v>
      </c>
      <c r="J8" s="5">
        <f>IFERROR(__xludf.DUMMYFUNCTION("""COMPUTED_VALUE"""),47.266666666666666)</f>
        <v>47.26666667</v>
      </c>
      <c r="K8" s="5">
        <f>IFERROR(__xludf.DUMMYFUNCTION("""COMPUTED_VALUE"""),47.266666666666666)</f>
        <v>47.26666667</v>
      </c>
      <c r="L8" s="5">
        <f>IFERROR(__xludf.DUMMYFUNCTION("""COMPUTED_VALUE"""),47.266666666666666)</f>
        <v>47.26666667</v>
      </c>
      <c r="M8" s="5">
        <f>IFERROR(__xludf.DUMMYFUNCTION("""COMPUTED_VALUE"""),47.266666666666666)</f>
        <v>47.26666667</v>
      </c>
      <c r="N8" s="5">
        <f>IFERROR(__xludf.DUMMYFUNCTION("""COMPUTED_VALUE"""),47.266666666666666)</f>
        <v>47.26666667</v>
      </c>
      <c r="O8" s="5">
        <f>IFERROR(__xludf.DUMMYFUNCTION("""COMPUTED_VALUE"""),47.266666666666666)</f>
        <v>47.26666667</v>
      </c>
      <c r="P8" s="5">
        <f>IFERROR(__xludf.DUMMYFUNCTION("""COMPUTED_VALUE"""),47.266666666666666)</f>
        <v>47.26666667</v>
      </c>
      <c r="Q8" s="6"/>
      <c r="R8" s="6">
        <f>IFERROR(__xludf.DUMMYFUNCTION("""COMPUTED_VALUE"""),12.0)</f>
        <v>12</v>
      </c>
    </row>
    <row r="9">
      <c r="A9" s="3">
        <f>IFERROR(__xludf.DUMMYFUNCTION("""COMPUTED_VALUE"""),46030.0)</f>
        <v>46030</v>
      </c>
      <c r="B9" s="4">
        <f>IFERROR(__xludf.DUMMYFUNCTION("""COMPUTED_VALUE"""),554.35)</f>
        <v>554.35</v>
      </c>
      <c r="C9" s="4">
        <f>IFERROR(__xludf.DUMMYFUNCTION("""COMPUTED_VALUE"""),36.95666666666666)</f>
        <v>36.95666667</v>
      </c>
      <c r="D9" s="4">
        <f>IFERROR(__xludf.DUMMYFUNCTION("""COMPUTED_VALUE"""),36.95666666666666)</f>
        <v>36.95666667</v>
      </c>
      <c r="E9" s="5">
        <f>IFERROR(__xludf.DUMMYFUNCTION("""COMPUTED_VALUE"""),36.95666666666666)</f>
        <v>36.95666667</v>
      </c>
      <c r="F9" s="5">
        <f>IFERROR(__xludf.DUMMYFUNCTION("""COMPUTED_VALUE"""),36.95666666666666)</f>
        <v>36.95666667</v>
      </c>
      <c r="G9" s="5">
        <f>IFERROR(__xludf.DUMMYFUNCTION("""COMPUTED_VALUE"""),36.95666666666666)</f>
        <v>36.95666667</v>
      </c>
      <c r="H9" s="5">
        <f>IFERROR(__xludf.DUMMYFUNCTION("""COMPUTED_VALUE"""),36.95666666666666)</f>
        <v>36.95666667</v>
      </c>
      <c r="I9" s="5">
        <f>IFERROR(__xludf.DUMMYFUNCTION("""COMPUTED_VALUE"""),36.95666666666666)</f>
        <v>36.95666667</v>
      </c>
      <c r="J9" s="5">
        <f>IFERROR(__xludf.DUMMYFUNCTION("""COMPUTED_VALUE"""),36.95666666666666)</f>
        <v>36.95666667</v>
      </c>
      <c r="K9" s="5">
        <f>IFERROR(__xludf.DUMMYFUNCTION("""COMPUTED_VALUE"""),36.95666666666666)</f>
        <v>36.95666667</v>
      </c>
      <c r="L9" s="5">
        <f>IFERROR(__xludf.DUMMYFUNCTION("""COMPUTED_VALUE"""),36.95666666666666)</f>
        <v>36.95666667</v>
      </c>
      <c r="M9" s="5">
        <f>IFERROR(__xludf.DUMMYFUNCTION("""COMPUTED_VALUE"""),36.95666666666666)</f>
        <v>36.95666667</v>
      </c>
      <c r="N9" s="5">
        <f>IFERROR(__xludf.DUMMYFUNCTION("""COMPUTED_VALUE"""),36.95666666666666)</f>
        <v>36.95666667</v>
      </c>
      <c r="O9" s="5">
        <f>IFERROR(__xludf.DUMMYFUNCTION("""COMPUTED_VALUE"""),36.95666666666666)</f>
        <v>36.95666667</v>
      </c>
      <c r="P9" s="5">
        <f>IFERROR(__xludf.DUMMYFUNCTION("""COMPUTED_VALUE"""),36.95666666666666)</f>
        <v>36.95666667</v>
      </c>
      <c r="Q9" s="6"/>
      <c r="R9" s="6">
        <f>IFERROR(__xludf.DUMMYFUNCTION("""COMPUTED_VALUE"""),12.0)</f>
        <v>12</v>
      </c>
    </row>
    <row r="10">
      <c r="A10" s="3">
        <f>IFERROR(__xludf.DUMMYFUNCTION("""COMPUTED_VALUE"""),46031.0)</f>
        <v>46031</v>
      </c>
      <c r="B10" s="4">
        <f>IFERROR(__xludf.DUMMYFUNCTION("""COMPUTED_VALUE"""),628.4)</f>
        <v>628.4</v>
      </c>
      <c r="C10" s="4">
        <f>IFERROR(__xludf.DUMMYFUNCTION("""COMPUTED_VALUE"""),41.89333333333333)</f>
        <v>41.89333333</v>
      </c>
      <c r="D10" s="4">
        <f>IFERROR(__xludf.DUMMYFUNCTION("""COMPUTED_VALUE"""),41.89333333333333)</f>
        <v>41.89333333</v>
      </c>
      <c r="E10" s="5">
        <f>IFERROR(__xludf.DUMMYFUNCTION("""COMPUTED_VALUE"""),41.89333333333333)</f>
        <v>41.89333333</v>
      </c>
      <c r="F10" s="5">
        <f>IFERROR(__xludf.DUMMYFUNCTION("""COMPUTED_VALUE"""),41.89333333333333)</f>
        <v>41.89333333</v>
      </c>
      <c r="G10" s="5">
        <f>IFERROR(__xludf.DUMMYFUNCTION("""COMPUTED_VALUE"""),41.89333333333333)</f>
        <v>41.89333333</v>
      </c>
      <c r="H10" s="5">
        <f>IFERROR(__xludf.DUMMYFUNCTION("""COMPUTED_VALUE"""),41.89333333333333)</f>
        <v>41.89333333</v>
      </c>
      <c r="I10" s="5">
        <f>IFERROR(__xludf.DUMMYFUNCTION("""COMPUTED_VALUE"""),41.89333333333333)</f>
        <v>41.89333333</v>
      </c>
      <c r="J10" s="5">
        <f>IFERROR(__xludf.DUMMYFUNCTION("""COMPUTED_VALUE"""),41.89333333333333)</f>
        <v>41.89333333</v>
      </c>
      <c r="K10" s="5">
        <f>IFERROR(__xludf.DUMMYFUNCTION("""COMPUTED_VALUE"""),41.89333333333333)</f>
        <v>41.89333333</v>
      </c>
      <c r="L10" s="5">
        <f>IFERROR(__xludf.DUMMYFUNCTION("""COMPUTED_VALUE"""),41.89333333333333)</f>
        <v>41.89333333</v>
      </c>
      <c r="M10" s="5">
        <f>IFERROR(__xludf.DUMMYFUNCTION("""COMPUTED_VALUE"""),41.89333333333333)</f>
        <v>41.89333333</v>
      </c>
      <c r="N10" s="5">
        <f>IFERROR(__xludf.DUMMYFUNCTION("""COMPUTED_VALUE"""),41.89333333333333)</f>
        <v>41.89333333</v>
      </c>
      <c r="O10" s="5">
        <f>IFERROR(__xludf.DUMMYFUNCTION("""COMPUTED_VALUE"""),41.89333333333333)</f>
        <v>41.89333333</v>
      </c>
      <c r="P10" s="5">
        <f>IFERROR(__xludf.DUMMYFUNCTION("""COMPUTED_VALUE"""),41.89333333333333)</f>
        <v>41.89333333</v>
      </c>
      <c r="Q10" s="6"/>
      <c r="R10" s="6">
        <f>IFERROR(__xludf.DUMMYFUNCTION("""COMPUTED_VALUE"""),12.0)</f>
        <v>12</v>
      </c>
    </row>
    <row r="11">
      <c r="A11" s="3">
        <f>IFERROR(__xludf.DUMMYFUNCTION("""COMPUTED_VALUE"""),46032.0)</f>
        <v>46032</v>
      </c>
      <c r="B11" s="4">
        <f>IFERROR(__xludf.DUMMYFUNCTION("""COMPUTED_VALUE"""),610.1)</f>
        <v>610.1</v>
      </c>
      <c r="C11" s="4">
        <f>IFERROR(__xludf.DUMMYFUNCTION("""COMPUTED_VALUE"""),40.67333333333333)</f>
        <v>40.67333333</v>
      </c>
      <c r="D11" s="4">
        <f>IFERROR(__xludf.DUMMYFUNCTION("""COMPUTED_VALUE"""),40.67333333333333)</f>
        <v>40.67333333</v>
      </c>
      <c r="E11" s="5">
        <f>IFERROR(__xludf.DUMMYFUNCTION("""COMPUTED_VALUE"""),40.67333333333333)</f>
        <v>40.67333333</v>
      </c>
      <c r="F11" s="5">
        <f>IFERROR(__xludf.DUMMYFUNCTION("""COMPUTED_VALUE"""),40.67333333333333)</f>
        <v>40.67333333</v>
      </c>
      <c r="G11" s="5">
        <f>IFERROR(__xludf.DUMMYFUNCTION("""COMPUTED_VALUE"""),40.67333333333333)</f>
        <v>40.67333333</v>
      </c>
      <c r="H11" s="5">
        <f>IFERROR(__xludf.DUMMYFUNCTION("""COMPUTED_VALUE"""),40.67333333333333)</f>
        <v>40.67333333</v>
      </c>
      <c r="I11" s="5">
        <f>IFERROR(__xludf.DUMMYFUNCTION("""COMPUTED_VALUE"""),40.67333333333333)</f>
        <v>40.67333333</v>
      </c>
      <c r="J11" s="5">
        <f>IFERROR(__xludf.DUMMYFUNCTION("""COMPUTED_VALUE"""),40.67333333333333)</f>
        <v>40.67333333</v>
      </c>
      <c r="K11" s="5">
        <f>IFERROR(__xludf.DUMMYFUNCTION("""COMPUTED_VALUE"""),40.67333333333333)</f>
        <v>40.67333333</v>
      </c>
      <c r="L11" s="5">
        <f>IFERROR(__xludf.DUMMYFUNCTION("""COMPUTED_VALUE"""),40.67333333333333)</f>
        <v>40.67333333</v>
      </c>
      <c r="M11" s="5">
        <f>IFERROR(__xludf.DUMMYFUNCTION("""COMPUTED_VALUE"""),40.67333333333333)</f>
        <v>40.67333333</v>
      </c>
      <c r="N11" s="5">
        <f>IFERROR(__xludf.DUMMYFUNCTION("""COMPUTED_VALUE"""),40.67333333333333)</f>
        <v>40.67333333</v>
      </c>
      <c r="O11" s="5">
        <f>IFERROR(__xludf.DUMMYFUNCTION("""COMPUTED_VALUE"""),40.67333333333333)</f>
        <v>40.67333333</v>
      </c>
      <c r="P11" s="5">
        <f>IFERROR(__xludf.DUMMYFUNCTION("""COMPUTED_VALUE"""),40.67333333333333)</f>
        <v>40.67333333</v>
      </c>
      <c r="Q11" s="6"/>
      <c r="R11" s="6">
        <f>IFERROR(__xludf.DUMMYFUNCTION("""COMPUTED_VALUE"""),12.0)</f>
        <v>12</v>
      </c>
    </row>
    <row r="12">
      <c r="A12" s="3">
        <f>IFERROR(__xludf.DUMMYFUNCTION("""COMPUTED_VALUE"""),46033.0)</f>
        <v>46033</v>
      </c>
      <c r="B12" s="4">
        <f>IFERROR(__xludf.DUMMYFUNCTION("""COMPUTED_VALUE"""),529.1)</f>
        <v>529.1</v>
      </c>
      <c r="C12" s="4">
        <f>IFERROR(__xludf.DUMMYFUNCTION("""COMPUTED_VALUE"""),38.480000000000004)</f>
        <v>38.48</v>
      </c>
      <c r="D12" s="4">
        <f>IFERROR(__xludf.DUMMYFUNCTION("""COMPUTED_VALUE"""),38.480000000000004)</f>
        <v>38.48</v>
      </c>
      <c r="E12" s="5">
        <f>IFERROR(__xludf.DUMMYFUNCTION("""COMPUTED_VALUE"""),38.480000000000004)</f>
        <v>38.48</v>
      </c>
      <c r="F12" s="5">
        <f>IFERROR(__xludf.DUMMYFUNCTION("""COMPUTED_VALUE"""),38.480000000000004)</f>
        <v>38.48</v>
      </c>
      <c r="G12" s="5">
        <f>IFERROR(__xludf.DUMMYFUNCTION("""COMPUTED_VALUE"""),38.480000000000004)</f>
        <v>38.48</v>
      </c>
      <c r="H12" s="5">
        <f>IFERROR(__xludf.DUMMYFUNCTION("""COMPUTED_VALUE"""),38.480000000000004)</f>
        <v>38.48</v>
      </c>
      <c r="I12" s="5">
        <f>IFERROR(__xludf.DUMMYFUNCTION("""COMPUTED_VALUE"""),38.480000000000004)</f>
        <v>38.48</v>
      </c>
      <c r="J12" s="5">
        <f>IFERROR(__xludf.DUMMYFUNCTION("""COMPUTED_VALUE"""),38.480000000000004)</f>
        <v>38.48</v>
      </c>
      <c r="K12" s="5">
        <f>IFERROR(__xludf.DUMMYFUNCTION("""COMPUTED_VALUE"""),38.480000000000004)</f>
        <v>38.48</v>
      </c>
      <c r="L12" s="5" t="str">
        <f>IFERROR(__xludf.DUMMYFUNCTION("""COMPUTED_VALUE"""),"x")</f>
        <v>x</v>
      </c>
      <c r="M12" s="5">
        <f>IFERROR(__xludf.DUMMYFUNCTION("""COMPUTED_VALUE"""),38.480000000000004)</f>
        <v>38.48</v>
      </c>
      <c r="N12" s="5">
        <f>IFERROR(__xludf.DUMMYFUNCTION("""COMPUTED_VALUE"""),38.480000000000004)</f>
        <v>38.48</v>
      </c>
      <c r="O12" s="5">
        <f>IFERROR(__xludf.DUMMYFUNCTION("""COMPUTED_VALUE"""),38.480000000000004)</f>
        <v>38.48</v>
      </c>
      <c r="P12" s="5">
        <f>IFERROR(__xludf.DUMMYFUNCTION("""COMPUTED_VALUE"""),38.480000000000004)</f>
        <v>38.48</v>
      </c>
      <c r="Q12" s="6"/>
      <c r="R12" s="6">
        <f>IFERROR(__xludf.DUMMYFUNCTION("""COMPUTED_VALUE"""),11.0)</f>
        <v>11</v>
      </c>
    </row>
    <row r="13">
      <c r="A13" s="3">
        <f>IFERROR(__xludf.DUMMYFUNCTION("""COMPUTED_VALUE"""),46034.0)</f>
        <v>46034</v>
      </c>
      <c r="B13" s="4">
        <f>IFERROR(__xludf.DUMMYFUNCTION("""COMPUTED_VALUE"""),500.35)</f>
        <v>500.35</v>
      </c>
      <c r="C13" s="4">
        <f>IFERROR(__xludf.DUMMYFUNCTION("""COMPUTED_VALUE"""),33.35666666666667)</f>
        <v>33.35666667</v>
      </c>
      <c r="D13" s="4">
        <f>IFERROR(__xludf.DUMMYFUNCTION("""COMPUTED_VALUE"""),33.35666666666667)</f>
        <v>33.35666667</v>
      </c>
      <c r="E13" s="5">
        <f>IFERROR(__xludf.DUMMYFUNCTION("""COMPUTED_VALUE"""),33.35666666666667)</f>
        <v>33.35666667</v>
      </c>
      <c r="F13" s="5">
        <f>IFERROR(__xludf.DUMMYFUNCTION("""COMPUTED_VALUE"""),33.35666666666667)</f>
        <v>33.35666667</v>
      </c>
      <c r="G13" s="5">
        <f>IFERROR(__xludf.DUMMYFUNCTION("""COMPUTED_VALUE"""),33.35666666666667)</f>
        <v>33.35666667</v>
      </c>
      <c r="H13" s="5">
        <f>IFERROR(__xludf.DUMMYFUNCTION("""COMPUTED_VALUE"""),33.35666666666667)</f>
        <v>33.35666667</v>
      </c>
      <c r="I13" s="5">
        <f>IFERROR(__xludf.DUMMYFUNCTION("""COMPUTED_VALUE"""),33.35666666666667)</f>
        <v>33.35666667</v>
      </c>
      <c r="J13" s="5">
        <f>IFERROR(__xludf.DUMMYFUNCTION("""COMPUTED_VALUE"""),33.35666666666667)</f>
        <v>33.35666667</v>
      </c>
      <c r="K13" s="5">
        <f>IFERROR(__xludf.DUMMYFUNCTION("""COMPUTED_VALUE"""),33.35666666666667)</f>
        <v>33.35666667</v>
      </c>
      <c r="L13" s="5">
        <f>IFERROR(__xludf.DUMMYFUNCTION("""COMPUTED_VALUE"""),33.35666666666667)</f>
        <v>33.35666667</v>
      </c>
      <c r="M13" s="5">
        <f>IFERROR(__xludf.DUMMYFUNCTION("""COMPUTED_VALUE"""),33.35666666666667)</f>
        <v>33.35666667</v>
      </c>
      <c r="N13" s="5">
        <f>IFERROR(__xludf.DUMMYFUNCTION("""COMPUTED_VALUE"""),33.35666666666667)</f>
        <v>33.35666667</v>
      </c>
      <c r="O13" s="5">
        <f>IFERROR(__xludf.DUMMYFUNCTION("""COMPUTED_VALUE"""),33.35666666666667)</f>
        <v>33.35666667</v>
      </c>
      <c r="P13" s="5">
        <f>IFERROR(__xludf.DUMMYFUNCTION("""COMPUTED_VALUE"""),33.35666666666667)</f>
        <v>33.35666667</v>
      </c>
      <c r="Q13" s="6"/>
      <c r="R13" s="6">
        <f>IFERROR(__xludf.DUMMYFUNCTION("""COMPUTED_VALUE"""),12.0)</f>
        <v>12</v>
      </c>
    </row>
    <row r="14">
      <c r="A14" s="3">
        <f>IFERROR(__xludf.DUMMYFUNCTION("""COMPUTED_VALUE"""),46035.0)</f>
        <v>46035</v>
      </c>
      <c r="B14" s="4">
        <f>IFERROR(__xludf.DUMMYFUNCTION("""COMPUTED_VALUE"""),572.15)</f>
        <v>572.15</v>
      </c>
      <c r="C14" s="4">
        <f>IFERROR(__xludf.DUMMYFUNCTION("""COMPUTED_VALUE"""),41.61090909090909)</f>
        <v>41.61090909</v>
      </c>
      <c r="D14" s="4">
        <f>IFERROR(__xludf.DUMMYFUNCTION("""COMPUTED_VALUE"""),41.61090909090909)</f>
        <v>41.61090909</v>
      </c>
      <c r="E14" s="5">
        <f>IFERROR(__xludf.DUMMYFUNCTION("""COMPUTED_VALUE"""),41.61090909090909)</f>
        <v>41.61090909</v>
      </c>
      <c r="F14" s="5">
        <f>IFERROR(__xludf.DUMMYFUNCTION("""COMPUTED_VALUE"""),41.61090909090909)</f>
        <v>41.61090909</v>
      </c>
      <c r="G14" s="5">
        <f>IFERROR(__xludf.DUMMYFUNCTION("""COMPUTED_VALUE"""),41.61090909090909)</f>
        <v>41.61090909</v>
      </c>
      <c r="H14" s="5">
        <f>IFERROR(__xludf.DUMMYFUNCTION("""COMPUTED_VALUE"""),41.61090909090909)</f>
        <v>41.61090909</v>
      </c>
      <c r="I14" s="5">
        <f>IFERROR(__xludf.DUMMYFUNCTION("""COMPUTED_VALUE"""),41.61090909090909)</f>
        <v>41.61090909</v>
      </c>
      <c r="J14" s="5">
        <f>IFERROR(__xludf.DUMMYFUNCTION("""COMPUTED_VALUE"""),41.61090909090909)</f>
        <v>41.61090909</v>
      </c>
      <c r="K14" s="5">
        <f>IFERROR(__xludf.DUMMYFUNCTION("""COMPUTED_VALUE"""),41.61090909090909)</f>
        <v>41.61090909</v>
      </c>
      <c r="L14" s="5" t="str">
        <f>IFERROR(__xludf.DUMMYFUNCTION("""COMPUTED_VALUE"""),"x")</f>
        <v>x</v>
      </c>
      <c r="M14" s="5">
        <f>IFERROR(__xludf.DUMMYFUNCTION("""COMPUTED_VALUE"""),41.61090909090909)</f>
        <v>41.61090909</v>
      </c>
      <c r="N14" s="5">
        <f>IFERROR(__xludf.DUMMYFUNCTION("""COMPUTED_VALUE"""),41.61090909090909)</f>
        <v>41.61090909</v>
      </c>
      <c r="O14" s="5">
        <f>IFERROR(__xludf.DUMMYFUNCTION("""COMPUTED_VALUE"""),41.61090909090909)</f>
        <v>41.61090909</v>
      </c>
      <c r="P14" s="5">
        <f>IFERROR(__xludf.DUMMYFUNCTION("""COMPUTED_VALUE"""),41.61090909090909)</f>
        <v>41.61090909</v>
      </c>
      <c r="Q14" s="6"/>
      <c r="R14" s="6">
        <f>IFERROR(__xludf.DUMMYFUNCTION("""COMPUTED_VALUE"""),11.0)</f>
        <v>11</v>
      </c>
    </row>
    <row r="15">
      <c r="A15" s="3">
        <f>IFERROR(__xludf.DUMMYFUNCTION("""COMPUTED_VALUE"""),46036.0)</f>
        <v>46036</v>
      </c>
      <c r="B15" s="4">
        <f>IFERROR(__xludf.DUMMYFUNCTION("""COMPUTED_VALUE"""),574.7)</f>
        <v>574.7</v>
      </c>
      <c r="C15" s="4">
        <f>IFERROR(__xludf.DUMMYFUNCTION("""COMPUTED_VALUE"""),38.31333333333334)</f>
        <v>38.31333333</v>
      </c>
      <c r="D15" s="4">
        <f>IFERROR(__xludf.DUMMYFUNCTION("""COMPUTED_VALUE"""),38.31333333333334)</f>
        <v>38.31333333</v>
      </c>
      <c r="E15" s="5">
        <f>IFERROR(__xludf.DUMMYFUNCTION("""COMPUTED_VALUE"""),38.31333333333334)</f>
        <v>38.31333333</v>
      </c>
      <c r="F15" s="5">
        <f>IFERROR(__xludf.DUMMYFUNCTION("""COMPUTED_VALUE"""),38.31333333333334)</f>
        <v>38.31333333</v>
      </c>
      <c r="G15" s="5">
        <f>IFERROR(__xludf.DUMMYFUNCTION("""COMPUTED_VALUE"""),38.31333333333334)</f>
        <v>38.31333333</v>
      </c>
      <c r="H15" s="5">
        <f>IFERROR(__xludf.DUMMYFUNCTION("""COMPUTED_VALUE"""),38.31333333333334)</f>
        <v>38.31333333</v>
      </c>
      <c r="I15" s="5">
        <f>IFERROR(__xludf.DUMMYFUNCTION("""COMPUTED_VALUE"""),38.31333333333334)</f>
        <v>38.31333333</v>
      </c>
      <c r="J15" s="5">
        <f>IFERROR(__xludf.DUMMYFUNCTION("""COMPUTED_VALUE"""),38.31333333333334)</f>
        <v>38.31333333</v>
      </c>
      <c r="K15" s="5">
        <f>IFERROR(__xludf.DUMMYFUNCTION("""COMPUTED_VALUE"""),38.31333333333334)</f>
        <v>38.31333333</v>
      </c>
      <c r="L15" s="5">
        <f>IFERROR(__xludf.DUMMYFUNCTION("""COMPUTED_VALUE"""),38.31333333333334)</f>
        <v>38.31333333</v>
      </c>
      <c r="M15" s="5">
        <f>IFERROR(__xludf.DUMMYFUNCTION("""COMPUTED_VALUE"""),38.31333333333334)</f>
        <v>38.31333333</v>
      </c>
      <c r="N15" s="5">
        <f>IFERROR(__xludf.DUMMYFUNCTION("""COMPUTED_VALUE"""),38.31333333333334)</f>
        <v>38.31333333</v>
      </c>
      <c r="O15" s="5">
        <f>IFERROR(__xludf.DUMMYFUNCTION("""COMPUTED_VALUE"""),38.31333333333334)</f>
        <v>38.31333333</v>
      </c>
      <c r="P15" s="5">
        <f>IFERROR(__xludf.DUMMYFUNCTION("""COMPUTED_VALUE"""),38.31333333333334)</f>
        <v>38.31333333</v>
      </c>
      <c r="Q15" s="6"/>
      <c r="R15" s="6">
        <f>IFERROR(__xludf.DUMMYFUNCTION("""COMPUTED_VALUE"""),12.0)</f>
        <v>12</v>
      </c>
    </row>
    <row r="16">
      <c r="A16" s="3">
        <f>IFERROR(__xludf.DUMMYFUNCTION("""COMPUTED_VALUE"""),46037.0)</f>
        <v>46037</v>
      </c>
      <c r="B16" s="4">
        <f>IFERROR(__xludf.DUMMYFUNCTION("""COMPUTED_VALUE"""),555.95)</f>
        <v>555.95</v>
      </c>
      <c r="C16" s="4">
        <f>IFERROR(__xludf.DUMMYFUNCTION("""COMPUTED_VALUE"""),37.06333333333334)</f>
        <v>37.06333333</v>
      </c>
      <c r="D16" s="4">
        <f>IFERROR(__xludf.DUMMYFUNCTION("""COMPUTED_VALUE"""),37.06333333333334)</f>
        <v>37.06333333</v>
      </c>
      <c r="E16" s="5">
        <f>IFERROR(__xludf.DUMMYFUNCTION("""COMPUTED_VALUE"""),37.06333333333334)</f>
        <v>37.06333333</v>
      </c>
      <c r="F16" s="5">
        <f>IFERROR(__xludf.DUMMYFUNCTION("""COMPUTED_VALUE"""),37.06333333333334)</f>
        <v>37.06333333</v>
      </c>
      <c r="G16" s="5">
        <f>IFERROR(__xludf.DUMMYFUNCTION("""COMPUTED_VALUE"""),37.06333333333334)</f>
        <v>37.06333333</v>
      </c>
      <c r="H16" s="5">
        <f>IFERROR(__xludf.DUMMYFUNCTION("""COMPUTED_VALUE"""),37.06333333333334)</f>
        <v>37.06333333</v>
      </c>
      <c r="I16" s="5">
        <f>IFERROR(__xludf.DUMMYFUNCTION("""COMPUTED_VALUE"""),37.06333333333334)</f>
        <v>37.06333333</v>
      </c>
      <c r="J16" s="5">
        <f>IFERROR(__xludf.DUMMYFUNCTION("""COMPUTED_VALUE"""),37.06333333333334)</f>
        <v>37.06333333</v>
      </c>
      <c r="K16" s="5">
        <f>IFERROR(__xludf.DUMMYFUNCTION("""COMPUTED_VALUE"""),37.06333333333334)</f>
        <v>37.06333333</v>
      </c>
      <c r="L16" s="5">
        <f>IFERROR(__xludf.DUMMYFUNCTION("""COMPUTED_VALUE"""),37.06333333333334)</f>
        <v>37.06333333</v>
      </c>
      <c r="M16" s="5">
        <f>IFERROR(__xludf.DUMMYFUNCTION("""COMPUTED_VALUE"""),37.06333333333334)</f>
        <v>37.06333333</v>
      </c>
      <c r="N16" s="5">
        <f>IFERROR(__xludf.DUMMYFUNCTION("""COMPUTED_VALUE"""),37.06333333333334)</f>
        <v>37.06333333</v>
      </c>
      <c r="O16" s="5">
        <f>IFERROR(__xludf.DUMMYFUNCTION("""COMPUTED_VALUE"""),37.06333333333334)</f>
        <v>37.06333333</v>
      </c>
      <c r="P16" s="5">
        <f>IFERROR(__xludf.DUMMYFUNCTION("""COMPUTED_VALUE"""),37.06333333333334)</f>
        <v>37.06333333</v>
      </c>
      <c r="Q16" s="6"/>
      <c r="R16" s="6">
        <f>IFERROR(__xludf.DUMMYFUNCTION("""COMPUTED_VALUE"""),12.0)</f>
        <v>12</v>
      </c>
    </row>
    <row r="17">
      <c r="A17" s="3">
        <f>IFERROR(__xludf.DUMMYFUNCTION("""COMPUTED_VALUE"""),46038.0)</f>
        <v>46038</v>
      </c>
      <c r="B17" s="4">
        <f>IFERROR(__xludf.DUMMYFUNCTION("""COMPUTED_VALUE"""),500.15)</f>
        <v>500.15</v>
      </c>
      <c r="C17" s="4">
        <f>IFERROR(__xludf.DUMMYFUNCTION("""COMPUTED_VALUE"""),33.343333333333334)</f>
        <v>33.34333333</v>
      </c>
      <c r="D17" s="4">
        <f>IFERROR(__xludf.DUMMYFUNCTION("""COMPUTED_VALUE"""),33.343333333333334)</f>
        <v>33.34333333</v>
      </c>
      <c r="E17" s="5">
        <f>IFERROR(__xludf.DUMMYFUNCTION("""COMPUTED_VALUE"""),33.343333333333334)</f>
        <v>33.34333333</v>
      </c>
      <c r="F17" s="5">
        <f>IFERROR(__xludf.DUMMYFUNCTION("""COMPUTED_VALUE"""),33.343333333333334)</f>
        <v>33.34333333</v>
      </c>
      <c r="G17" s="5">
        <f>IFERROR(__xludf.DUMMYFUNCTION("""COMPUTED_VALUE"""),33.343333333333334)</f>
        <v>33.34333333</v>
      </c>
      <c r="H17" s="5">
        <f>IFERROR(__xludf.DUMMYFUNCTION("""COMPUTED_VALUE"""),33.343333333333334)</f>
        <v>33.34333333</v>
      </c>
      <c r="I17" s="5">
        <f>IFERROR(__xludf.DUMMYFUNCTION("""COMPUTED_VALUE"""),33.343333333333334)</f>
        <v>33.34333333</v>
      </c>
      <c r="J17" s="5">
        <f>IFERROR(__xludf.DUMMYFUNCTION("""COMPUTED_VALUE"""),33.343333333333334)</f>
        <v>33.34333333</v>
      </c>
      <c r="K17" s="5">
        <f>IFERROR(__xludf.DUMMYFUNCTION("""COMPUTED_VALUE"""),33.343333333333334)</f>
        <v>33.34333333</v>
      </c>
      <c r="L17" s="5">
        <f>IFERROR(__xludf.DUMMYFUNCTION("""COMPUTED_VALUE"""),33.343333333333334)</f>
        <v>33.34333333</v>
      </c>
      <c r="M17" s="5">
        <f>IFERROR(__xludf.DUMMYFUNCTION("""COMPUTED_VALUE"""),33.343333333333334)</f>
        <v>33.34333333</v>
      </c>
      <c r="N17" s="5">
        <f>IFERROR(__xludf.DUMMYFUNCTION("""COMPUTED_VALUE"""),33.343333333333334)</f>
        <v>33.34333333</v>
      </c>
      <c r="O17" s="5">
        <f>IFERROR(__xludf.DUMMYFUNCTION("""COMPUTED_VALUE"""),33.343333333333334)</f>
        <v>33.34333333</v>
      </c>
      <c r="P17" s="5">
        <f>IFERROR(__xludf.DUMMYFUNCTION("""COMPUTED_VALUE"""),33.343333333333334)</f>
        <v>33.34333333</v>
      </c>
      <c r="Q17" s="6"/>
      <c r="R17" s="6">
        <f>IFERROR(__xludf.DUMMYFUNCTION("""COMPUTED_VALUE"""),12.0)</f>
        <v>12</v>
      </c>
    </row>
    <row r="18">
      <c r="A18" s="3">
        <f>IFERROR(__xludf.DUMMYFUNCTION("""COMPUTED_VALUE"""),46039.0)</f>
        <v>46039</v>
      </c>
      <c r="B18" s="4">
        <f>IFERROR(__xludf.DUMMYFUNCTION("""COMPUTED_VALUE"""),585.1)</f>
        <v>585.1</v>
      </c>
      <c r="C18" s="4">
        <f>IFERROR(__xludf.DUMMYFUNCTION("""COMPUTED_VALUE"""),46.80800000000001)</f>
        <v>46.808</v>
      </c>
      <c r="D18" s="4">
        <f>IFERROR(__xludf.DUMMYFUNCTION("""COMPUTED_VALUE"""),46.80800000000001)</f>
        <v>46.808</v>
      </c>
      <c r="E18" s="5">
        <f>IFERROR(__xludf.DUMMYFUNCTION("""COMPUTED_VALUE"""),46.80800000000001)</f>
        <v>46.808</v>
      </c>
      <c r="F18" s="5">
        <f>IFERROR(__xludf.DUMMYFUNCTION("""COMPUTED_VALUE"""),46.80800000000001)</f>
        <v>46.808</v>
      </c>
      <c r="G18" s="5">
        <f>IFERROR(__xludf.DUMMYFUNCTION("""COMPUTED_VALUE"""),46.80800000000001)</f>
        <v>46.808</v>
      </c>
      <c r="H18" s="5">
        <f>IFERROR(__xludf.DUMMYFUNCTION("""COMPUTED_VALUE"""),46.80800000000001)</f>
        <v>46.808</v>
      </c>
      <c r="I18" s="5" t="str">
        <f>IFERROR(__xludf.DUMMYFUNCTION("""COMPUTED_VALUE"""),"x")</f>
        <v>x</v>
      </c>
      <c r="J18" s="5">
        <f>IFERROR(__xludf.DUMMYFUNCTION("""COMPUTED_VALUE"""),46.80800000000001)</f>
        <v>46.808</v>
      </c>
      <c r="K18" s="5">
        <f>IFERROR(__xludf.DUMMYFUNCTION("""COMPUTED_VALUE"""),46.80800000000001)</f>
        <v>46.808</v>
      </c>
      <c r="L18" s="5">
        <f>IFERROR(__xludf.DUMMYFUNCTION("""COMPUTED_VALUE"""),46.80800000000001)</f>
        <v>46.808</v>
      </c>
      <c r="M18" s="5">
        <f>IFERROR(__xludf.DUMMYFUNCTION("""COMPUTED_VALUE"""),46.80800000000001)</f>
        <v>46.808</v>
      </c>
      <c r="N18" s="5" t="str">
        <f>IFERROR(__xludf.DUMMYFUNCTION("""COMPUTED_VALUE"""),"x")</f>
        <v>x</v>
      </c>
      <c r="O18" s="5">
        <f>IFERROR(__xludf.DUMMYFUNCTION("""COMPUTED_VALUE"""),46.80800000000001)</f>
        <v>46.808</v>
      </c>
      <c r="P18" s="5">
        <f>IFERROR(__xludf.DUMMYFUNCTION("""COMPUTED_VALUE"""),46.80800000000001)</f>
        <v>46.808</v>
      </c>
      <c r="Q18" s="6"/>
      <c r="R18" s="6">
        <f>IFERROR(__xludf.DUMMYFUNCTION("""COMPUTED_VALUE"""),10.0)</f>
        <v>10</v>
      </c>
    </row>
    <row r="19">
      <c r="A19" s="3">
        <f>IFERROR(__xludf.DUMMYFUNCTION("""COMPUTED_VALUE"""),46040.0)</f>
        <v>46040</v>
      </c>
      <c r="B19" s="4">
        <f>IFERROR(__xludf.DUMMYFUNCTION("""COMPUTED_VALUE"""),468.65)</f>
        <v>468.65</v>
      </c>
      <c r="C19" s="4">
        <f>IFERROR(__xludf.DUMMYFUNCTION("""COMPUTED_VALUE"""),37.492)</f>
        <v>37.492</v>
      </c>
      <c r="D19" s="4">
        <f>IFERROR(__xludf.DUMMYFUNCTION("""COMPUTED_VALUE"""),37.492)</f>
        <v>37.492</v>
      </c>
      <c r="E19" s="5">
        <f>IFERROR(__xludf.DUMMYFUNCTION("""COMPUTED_VALUE"""),37.492)</f>
        <v>37.492</v>
      </c>
      <c r="F19" s="5" t="str">
        <f>IFERROR(__xludf.DUMMYFUNCTION("""COMPUTED_VALUE"""),"x")</f>
        <v>x</v>
      </c>
      <c r="G19" s="5">
        <f>IFERROR(__xludf.DUMMYFUNCTION("""COMPUTED_VALUE"""),37.492)</f>
        <v>37.492</v>
      </c>
      <c r="H19" s="5">
        <f>IFERROR(__xludf.DUMMYFUNCTION("""COMPUTED_VALUE"""),37.492)</f>
        <v>37.492</v>
      </c>
      <c r="I19" s="5" t="str">
        <f>IFERROR(__xludf.DUMMYFUNCTION("""COMPUTED_VALUE"""),"x")</f>
        <v>x</v>
      </c>
      <c r="J19" s="5">
        <f>IFERROR(__xludf.DUMMYFUNCTION("""COMPUTED_VALUE"""),37.492)</f>
        <v>37.492</v>
      </c>
      <c r="K19" s="5">
        <f>IFERROR(__xludf.DUMMYFUNCTION("""COMPUTED_VALUE"""),37.492)</f>
        <v>37.492</v>
      </c>
      <c r="L19" s="5">
        <f>IFERROR(__xludf.DUMMYFUNCTION("""COMPUTED_VALUE"""),37.492)</f>
        <v>37.492</v>
      </c>
      <c r="M19" s="5">
        <f>IFERROR(__xludf.DUMMYFUNCTION("""COMPUTED_VALUE"""),37.492)</f>
        <v>37.492</v>
      </c>
      <c r="N19" s="5">
        <f>IFERROR(__xludf.DUMMYFUNCTION("""COMPUTED_VALUE"""),37.492)</f>
        <v>37.492</v>
      </c>
      <c r="O19" s="5">
        <f>IFERROR(__xludf.DUMMYFUNCTION("""COMPUTED_VALUE"""),37.492)</f>
        <v>37.492</v>
      </c>
      <c r="P19" s="5">
        <f>IFERROR(__xludf.DUMMYFUNCTION("""COMPUTED_VALUE"""),37.492)</f>
        <v>37.492</v>
      </c>
      <c r="Q19" s="6"/>
      <c r="R19" s="6">
        <f>IFERROR(__xludf.DUMMYFUNCTION("""COMPUTED_VALUE"""),10.0)</f>
        <v>10</v>
      </c>
    </row>
    <row r="20">
      <c r="A20" s="3">
        <f>IFERROR(__xludf.DUMMYFUNCTION("""COMPUTED_VALUE"""),46041.0)</f>
        <v>46041</v>
      </c>
      <c r="B20" s="4">
        <f>IFERROR(__xludf.DUMMYFUNCTION("""COMPUTED_VALUE"""),490.25)</f>
        <v>490.25</v>
      </c>
      <c r="C20" s="4">
        <f>IFERROR(__xludf.DUMMYFUNCTION("""COMPUTED_VALUE"""),35.654545454545456)</f>
        <v>35.65454545</v>
      </c>
      <c r="D20" s="4">
        <f>IFERROR(__xludf.DUMMYFUNCTION("""COMPUTED_VALUE"""),35.654545454545456)</f>
        <v>35.65454545</v>
      </c>
      <c r="E20" s="5">
        <f>IFERROR(__xludf.DUMMYFUNCTION("""COMPUTED_VALUE"""),35.654545454545456)</f>
        <v>35.65454545</v>
      </c>
      <c r="F20" s="5" t="str">
        <f>IFERROR(__xludf.DUMMYFUNCTION("""COMPUTED_VALUE"""),"x")</f>
        <v>x</v>
      </c>
      <c r="G20" s="5">
        <f>IFERROR(__xludf.DUMMYFUNCTION("""COMPUTED_VALUE"""),35.654545454545456)</f>
        <v>35.65454545</v>
      </c>
      <c r="H20" s="5">
        <f>IFERROR(__xludf.DUMMYFUNCTION("""COMPUTED_VALUE"""),35.654545454545456)</f>
        <v>35.65454545</v>
      </c>
      <c r="I20" s="5">
        <f>IFERROR(__xludf.DUMMYFUNCTION("""COMPUTED_VALUE"""),35.654545454545456)</f>
        <v>35.65454545</v>
      </c>
      <c r="J20" s="5">
        <f>IFERROR(__xludf.DUMMYFUNCTION("""COMPUTED_VALUE"""),35.654545454545456)</f>
        <v>35.65454545</v>
      </c>
      <c r="K20" s="5">
        <f>IFERROR(__xludf.DUMMYFUNCTION("""COMPUTED_VALUE"""),35.654545454545456)</f>
        <v>35.65454545</v>
      </c>
      <c r="L20" s="5">
        <f>IFERROR(__xludf.DUMMYFUNCTION("""COMPUTED_VALUE"""),35.654545454545456)</f>
        <v>35.65454545</v>
      </c>
      <c r="M20" s="5">
        <f>IFERROR(__xludf.DUMMYFUNCTION("""COMPUTED_VALUE"""),35.654545454545456)</f>
        <v>35.65454545</v>
      </c>
      <c r="N20" s="5">
        <f>IFERROR(__xludf.DUMMYFUNCTION("""COMPUTED_VALUE"""),35.654545454545456)</f>
        <v>35.65454545</v>
      </c>
      <c r="O20" s="5">
        <f>IFERROR(__xludf.DUMMYFUNCTION("""COMPUTED_VALUE"""),35.654545454545456)</f>
        <v>35.65454545</v>
      </c>
      <c r="P20" s="5">
        <f>IFERROR(__xludf.DUMMYFUNCTION("""COMPUTED_VALUE"""),35.654545454545456)</f>
        <v>35.65454545</v>
      </c>
      <c r="Q20" s="6"/>
      <c r="R20" s="6">
        <f>IFERROR(__xludf.DUMMYFUNCTION("""COMPUTED_VALUE"""),11.0)</f>
        <v>11</v>
      </c>
    </row>
    <row r="21">
      <c r="A21" s="3">
        <f>IFERROR(__xludf.DUMMYFUNCTION("""COMPUTED_VALUE"""),46042.0)</f>
        <v>46042</v>
      </c>
      <c r="B21" s="4">
        <f>IFERROR(__xludf.DUMMYFUNCTION("""COMPUTED_VALUE"""),479.6)</f>
        <v>479.6</v>
      </c>
      <c r="C21" s="4">
        <f>IFERROR(__xludf.DUMMYFUNCTION("""COMPUTED_VALUE"""),31.973333333333336)</f>
        <v>31.97333333</v>
      </c>
      <c r="D21" s="4">
        <f>IFERROR(__xludf.DUMMYFUNCTION("""COMPUTED_VALUE"""),31.973333333333336)</f>
        <v>31.97333333</v>
      </c>
      <c r="E21" s="5">
        <f>IFERROR(__xludf.DUMMYFUNCTION("""COMPUTED_VALUE"""),31.973333333333336)</f>
        <v>31.97333333</v>
      </c>
      <c r="F21" s="5">
        <f>IFERROR(__xludf.DUMMYFUNCTION("""COMPUTED_VALUE"""),31.973333333333336)</f>
        <v>31.97333333</v>
      </c>
      <c r="G21" s="5">
        <f>IFERROR(__xludf.DUMMYFUNCTION("""COMPUTED_VALUE"""),31.973333333333336)</f>
        <v>31.97333333</v>
      </c>
      <c r="H21" s="5">
        <f>IFERROR(__xludf.DUMMYFUNCTION("""COMPUTED_VALUE"""),31.973333333333336)</f>
        <v>31.97333333</v>
      </c>
      <c r="I21" s="5">
        <f>IFERROR(__xludf.DUMMYFUNCTION("""COMPUTED_VALUE"""),31.973333333333336)</f>
        <v>31.97333333</v>
      </c>
      <c r="J21" s="5">
        <f>IFERROR(__xludf.DUMMYFUNCTION("""COMPUTED_VALUE"""),31.973333333333336)</f>
        <v>31.97333333</v>
      </c>
      <c r="K21" s="5">
        <f>IFERROR(__xludf.DUMMYFUNCTION("""COMPUTED_VALUE"""),31.973333333333336)</f>
        <v>31.97333333</v>
      </c>
      <c r="L21" s="5">
        <f>IFERROR(__xludf.DUMMYFUNCTION("""COMPUTED_VALUE"""),31.973333333333336)</f>
        <v>31.97333333</v>
      </c>
      <c r="M21" s="5">
        <f>IFERROR(__xludf.DUMMYFUNCTION("""COMPUTED_VALUE"""),31.973333333333336)</f>
        <v>31.97333333</v>
      </c>
      <c r="N21" s="5">
        <f>IFERROR(__xludf.DUMMYFUNCTION("""COMPUTED_VALUE"""),31.973333333333336)</f>
        <v>31.97333333</v>
      </c>
      <c r="O21" s="5">
        <f>IFERROR(__xludf.DUMMYFUNCTION("""COMPUTED_VALUE"""),31.973333333333336)</f>
        <v>31.97333333</v>
      </c>
      <c r="P21" s="5">
        <f>IFERROR(__xludf.DUMMYFUNCTION("""COMPUTED_VALUE"""),31.973333333333336)</f>
        <v>31.97333333</v>
      </c>
      <c r="Q21" s="6"/>
      <c r="R21" s="6">
        <f>IFERROR(__xludf.DUMMYFUNCTION("""COMPUTED_VALUE"""),12.0)</f>
        <v>12</v>
      </c>
    </row>
    <row r="22">
      <c r="A22" s="3">
        <f>IFERROR(__xludf.DUMMYFUNCTION("""COMPUTED_VALUE"""),46043.0)</f>
        <v>46043</v>
      </c>
      <c r="B22" s="4">
        <f>IFERROR(__xludf.DUMMYFUNCTION("""COMPUTED_VALUE"""),597.65)</f>
        <v>597.65</v>
      </c>
      <c r="C22" s="4">
        <f>IFERROR(__xludf.DUMMYFUNCTION("""COMPUTED_VALUE"""),43.46545454545454)</f>
        <v>43.46545455</v>
      </c>
      <c r="D22" s="4">
        <f>IFERROR(__xludf.DUMMYFUNCTION("""COMPUTED_VALUE"""),43.46545454545454)</f>
        <v>43.46545455</v>
      </c>
      <c r="E22" s="5">
        <f>IFERROR(__xludf.DUMMYFUNCTION("""COMPUTED_VALUE"""),43.46545454545454)</f>
        <v>43.46545455</v>
      </c>
      <c r="F22" s="5">
        <f>IFERROR(__xludf.DUMMYFUNCTION("""COMPUTED_VALUE"""),43.46545454545454)</f>
        <v>43.46545455</v>
      </c>
      <c r="G22" s="5">
        <f>IFERROR(__xludf.DUMMYFUNCTION("""COMPUTED_VALUE"""),43.46545454545454)</f>
        <v>43.46545455</v>
      </c>
      <c r="H22" s="5">
        <f>IFERROR(__xludf.DUMMYFUNCTION("""COMPUTED_VALUE"""),43.46545454545454)</f>
        <v>43.46545455</v>
      </c>
      <c r="I22" s="5">
        <f>IFERROR(__xludf.DUMMYFUNCTION("""COMPUTED_VALUE"""),43.46545454545454)</f>
        <v>43.46545455</v>
      </c>
      <c r="J22" s="5">
        <f>IFERROR(__xludf.DUMMYFUNCTION("""COMPUTED_VALUE"""),43.46545454545454)</f>
        <v>43.46545455</v>
      </c>
      <c r="K22" s="5">
        <f>IFERROR(__xludf.DUMMYFUNCTION("""COMPUTED_VALUE"""),43.46545454545454)</f>
        <v>43.46545455</v>
      </c>
      <c r="L22" s="5" t="str">
        <f>IFERROR(__xludf.DUMMYFUNCTION("""COMPUTED_VALUE"""),"x")</f>
        <v>x</v>
      </c>
      <c r="M22" s="5">
        <f>IFERROR(__xludf.DUMMYFUNCTION("""COMPUTED_VALUE"""),43.46545454545454)</f>
        <v>43.46545455</v>
      </c>
      <c r="N22" s="5">
        <f>IFERROR(__xludf.DUMMYFUNCTION("""COMPUTED_VALUE"""),43.46545454545454)</f>
        <v>43.46545455</v>
      </c>
      <c r="O22" s="5">
        <f>IFERROR(__xludf.DUMMYFUNCTION("""COMPUTED_VALUE"""),43.46545454545454)</f>
        <v>43.46545455</v>
      </c>
      <c r="P22" s="5">
        <f>IFERROR(__xludf.DUMMYFUNCTION("""COMPUTED_VALUE"""),43.46545454545454)</f>
        <v>43.46545455</v>
      </c>
      <c r="Q22" s="6"/>
      <c r="R22" s="6">
        <f>IFERROR(__xludf.DUMMYFUNCTION("""COMPUTED_VALUE"""),11.0)</f>
        <v>11</v>
      </c>
    </row>
    <row r="23">
      <c r="A23" s="3">
        <f>IFERROR(__xludf.DUMMYFUNCTION("""COMPUTED_VALUE"""),46044.0)</f>
        <v>46044</v>
      </c>
      <c r="B23" s="4" t="str">
        <f>IFERROR(__xludf.DUMMYFUNCTION("""COMPUTED_VALUE"""),"  ")</f>
        <v/>
      </c>
      <c r="C23" s="4">
        <f>IFERROR(__xludf.DUMMYFUNCTION("""COMPUTED_VALUE"""),0.0)</f>
        <v>0</v>
      </c>
      <c r="D23" s="4">
        <f>IFERROR(__xludf.DUMMYFUNCTION("""COMPUTED_VALUE"""),0.0)</f>
        <v>0</v>
      </c>
      <c r="E23" s="5">
        <f>IFERROR(__xludf.DUMMYFUNCTION("""COMPUTED_VALUE"""),0.0)</f>
        <v>0</v>
      </c>
      <c r="F23" s="5">
        <f>IFERROR(__xludf.DUMMYFUNCTION("""COMPUTED_VALUE"""),0.0)</f>
        <v>0</v>
      </c>
      <c r="G23" s="5">
        <f>IFERROR(__xludf.DUMMYFUNCTION("""COMPUTED_VALUE"""),0.0)</f>
        <v>0</v>
      </c>
      <c r="H23" s="5">
        <f>IFERROR(__xludf.DUMMYFUNCTION("""COMPUTED_VALUE"""),0.0)</f>
        <v>0</v>
      </c>
      <c r="I23" s="5">
        <f>IFERROR(__xludf.DUMMYFUNCTION("""COMPUTED_VALUE"""),0.0)</f>
        <v>0</v>
      </c>
      <c r="J23" s="5">
        <f>IFERROR(__xludf.DUMMYFUNCTION("""COMPUTED_VALUE"""),0.0)</f>
        <v>0</v>
      </c>
      <c r="K23" s="5">
        <f>IFERROR(__xludf.DUMMYFUNCTION("""COMPUTED_VALUE"""),0.0)</f>
        <v>0</v>
      </c>
      <c r="L23" s="5" t="str">
        <f>IFERROR(__xludf.DUMMYFUNCTION("""COMPUTED_VALUE"""),"x")</f>
        <v>x</v>
      </c>
      <c r="M23" s="5">
        <f>IFERROR(__xludf.DUMMYFUNCTION("""COMPUTED_VALUE"""),0.0)</f>
        <v>0</v>
      </c>
      <c r="N23" s="5">
        <f>IFERROR(__xludf.DUMMYFUNCTION("""COMPUTED_VALUE"""),0.0)</f>
        <v>0</v>
      </c>
      <c r="O23" s="5">
        <f>IFERROR(__xludf.DUMMYFUNCTION("""COMPUTED_VALUE"""),0.0)</f>
        <v>0</v>
      </c>
      <c r="P23" s="5">
        <f>IFERROR(__xludf.DUMMYFUNCTION("""COMPUTED_VALUE"""),0.0)</f>
        <v>0</v>
      </c>
      <c r="Q23" s="6"/>
      <c r="R23" s="6">
        <f>IFERROR(__xludf.DUMMYFUNCTION("""COMPUTED_VALUE"""),11.0)</f>
        <v>11</v>
      </c>
    </row>
    <row r="24">
      <c r="A24" s="3">
        <f>IFERROR(__xludf.DUMMYFUNCTION("""COMPUTED_VALUE"""),46045.0)</f>
        <v>46045</v>
      </c>
      <c r="B24" s="4" t="str">
        <f>IFERROR(__xludf.DUMMYFUNCTION("""COMPUTED_VALUE"""),"  ")</f>
        <v/>
      </c>
      <c r="C24" s="4">
        <f>IFERROR(__xludf.DUMMYFUNCTION("""COMPUTED_VALUE"""),0.0)</f>
        <v>0</v>
      </c>
      <c r="D24" s="4">
        <f>IFERROR(__xludf.DUMMYFUNCTION("""COMPUTED_VALUE"""),0.0)</f>
        <v>0</v>
      </c>
      <c r="E24" s="5">
        <f>IFERROR(__xludf.DUMMYFUNCTION("""COMPUTED_VALUE"""),0.0)</f>
        <v>0</v>
      </c>
      <c r="F24" s="5">
        <f>IFERROR(__xludf.DUMMYFUNCTION("""COMPUTED_VALUE"""),0.0)</f>
        <v>0</v>
      </c>
      <c r="G24" s="5">
        <f>IFERROR(__xludf.DUMMYFUNCTION("""COMPUTED_VALUE"""),0.0)</f>
        <v>0</v>
      </c>
      <c r="H24" s="5">
        <f>IFERROR(__xludf.DUMMYFUNCTION("""COMPUTED_VALUE"""),0.0)</f>
        <v>0</v>
      </c>
      <c r="I24" s="5">
        <f>IFERROR(__xludf.DUMMYFUNCTION("""COMPUTED_VALUE"""),0.0)</f>
        <v>0</v>
      </c>
      <c r="J24" s="5">
        <f>IFERROR(__xludf.DUMMYFUNCTION("""COMPUTED_VALUE"""),0.0)</f>
        <v>0</v>
      </c>
      <c r="K24" s="5">
        <f>IFERROR(__xludf.DUMMYFUNCTION("""COMPUTED_VALUE"""),0.0)</f>
        <v>0</v>
      </c>
      <c r="L24" s="5">
        <f>IFERROR(__xludf.DUMMYFUNCTION("""COMPUTED_VALUE"""),0.0)</f>
        <v>0</v>
      </c>
      <c r="M24" s="5">
        <f>IFERROR(__xludf.DUMMYFUNCTION("""COMPUTED_VALUE"""),0.0)</f>
        <v>0</v>
      </c>
      <c r="N24" s="5">
        <f>IFERROR(__xludf.DUMMYFUNCTION("""COMPUTED_VALUE"""),0.0)</f>
        <v>0</v>
      </c>
      <c r="O24" s="5">
        <f>IFERROR(__xludf.DUMMYFUNCTION("""COMPUTED_VALUE"""),0.0)</f>
        <v>0</v>
      </c>
      <c r="P24" s="5">
        <f>IFERROR(__xludf.DUMMYFUNCTION("""COMPUTED_VALUE"""),0.0)</f>
        <v>0</v>
      </c>
      <c r="Q24" s="6"/>
      <c r="R24" s="6">
        <f>IFERROR(__xludf.DUMMYFUNCTION("""COMPUTED_VALUE"""),12.0)</f>
        <v>12</v>
      </c>
    </row>
    <row r="25">
      <c r="A25" s="3">
        <f>IFERROR(__xludf.DUMMYFUNCTION("""COMPUTED_VALUE"""),46046.0)</f>
        <v>46046</v>
      </c>
      <c r="B25" s="4" t="str">
        <f>IFERROR(__xludf.DUMMYFUNCTION("""COMPUTED_VALUE"""),"  ")</f>
        <v/>
      </c>
      <c r="C25" s="4">
        <f>IFERROR(__xludf.DUMMYFUNCTION("""COMPUTED_VALUE"""),0.0)</f>
        <v>0</v>
      </c>
      <c r="D25" s="4">
        <f>IFERROR(__xludf.DUMMYFUNCTION("""COMPUTED_VALUE"""),0.0)</f>
        <v>0</v>
      </c>
      <c r="E25" s="5">
        <f>IFERROR(__xludf.DUMMYFUNCTION("""COMPUTED_VALUE"""),0.0)</f>
        <v>0</v>
      </c>
      <c r="F25" s="5">
        <f>IFERROR(__xludf.DUMMYFUNCTION("""COMPUTED_VALUE"""),0.0)</f>
        <v>0</v>
      </c>
      <c r="G25" s="5">
        <f>IFERROR(__xludf.DUMMYFUNCTION("""COMPUTED_VALUE"""),0.0)</f>
        <v>0</v>
      </c>
      <c r="H25" s="5">
        <f>IFERROR(__xludf.DUMMYFUNCTION("""COMPUTED_VALUE"""),0.0)</f>
        <v>0</v>
      </c>
      <c r="I25" s="5">
        <f>IFERROR(__xludf.DUMMYFUNCTION("""COMPUTED_VALUE"""),0.0)</f>
        <v>0</v>
      </c>
      <c r="J25" s="5">
        <f>IFERROR(__xludf.DUMMYFUNCTION("""COMPUTED_VALUE"""),0.0)</f>
        <v>0</v>
      </c>
      <c r="K25" s="5">
        <f>IFERROR(__xludf.DUMMYFUNCTION("""COMPUTED_VALUE"""),0.0)</f>
        <v>0</v>
      </c>
      <c r="L25" s="5">
        <f>IFERROR(__xludf.DUMMYFUNCTION("""COMPUTED_VALUE"""),0.0)</f>
        <v>0</v>
      </c>
      <c r="M25" s="5">
        <f>IFERROR(__xludf.DUMMYFUNCTION("""COMPUTED_VALUE"""),0.0)</f>
        <v>0</v>
      </c>
      <c r="N25" s="5">
        <f>IFERROR(__xludf.DUMMYFUNCTION("""COMPUTED_VALUE"""),0.0)</f>
        <v>0</v>
      </c>
      <c r="O25" s="5">
        <f>IFERROR(__xludf.DUMMYFUNCTION("""COMPUTED_VALUE"""),0.0)</f>
        <v>0</v>
      </c>
      <c r="P25" s="5">
        <f>IFERROR(__xludf.DUMMYFUNCTION("""COMPUTED_VALUE"""),0.0)</f>
        <v>0</v>
      </c>
      <c r="Q25" s="6"/>
      <c r="R25" s="6">
        <f>IFERROR(__xludf.DUMMYFUNCTION("""COMPUTED_VALUE"""),12.0)</f>
        <v>12</v>
      </c>
    </row>
    <row r="26">
      <c r="A26" s="3">
        <f>IFERROR(__xludf.DUMMYFUNCTION("""COMPUTED_VALUE"""),46047.0)</f>
        <v>46047</v>
      </c>
      <c r="B26" s="4" t="str">
        <f>IFERROR(__xludf.DUMMYFUNCTION("""COMPUTED_VALUE"""),"  ")</f>
        <v/>
      </c>
      <c r="C26" s="4">
        <f>IFERROR(__xludf.DUMMYFUNCTION("""COMPUTED_VALUE"""),0.0)</f>
        <v>0</v>
      </c>
      <c r="D26" s="4">
        <f>IFERROR(__xludf.DUMMYFUNCTION("""COMPUTED_VALUE"""),0.0)</f>
        <v>0</v>
      </c>
      <c r="E26" s="5">
        <f>IFERROR(__xludf.DUMMYFUNCTION("""COMPUTED_VALUE"""),0.0)</f>
        <v>0</v>
      </c>
      <c r="F26" s="5">
        <f>IFERROR(__xludf.DUMMYFUNCTION("""COMPUTED_VALUE"""),0.0)</f>
        <v>0</v>
      </c>
      <c r="G26" s="5">
        <f>IFERROR(__xludf.DUMMYFUNCTION("""COMPUTED_VALUE"""),0.0)</f>
        <v>0</v>
      </c>
      <c r="H26" s="5">
        <f>IFERROR(__xludf.DUMMYFUNCTION("""COMPUTED_VALUE"""),0.0)</f>
        <v>0</v>
      </c>
      <c r="I26" s="5">
        <f>IFERROR(__xludf.DUMMYFUNCTION("""COMPUTED_VALUE"""),0.0)</f>
        <v>0</v>
      </c>
      <c r="J26" s="5">
        <f>IFERROR(__xludf.DUMMYFUNCTION("""COMPUTED_VALUE"""),0.0)</f>
        <v>0</v>
      </c>
      <c r="K26" s="5">
        <f>IFERROR(__xludf.DUMMYFUNCTION("""COMPUTED_VALUE"""),0.0)</f>
        <v>0</v>
      </c>
      <c r="L26" s="5">
        <f>IFERROR(__xludf.DUMMYFUNCTION("""COMPUTED_VALUE"""),0.0)</f>
        <v>0</v>
      </c>
      <c r="M26" s="5">
        <f>IFERROR(__xludf.DUMMYFUNCTION("""COMPUTED_VALUE"""),0.0)</f>
        <v>0</v>
      </c>
      <c r="N26" s="5">
        <f>IFERROR(__xludf.DUMMYFUNCTION("""COMPUTED_VALUE"""),0.0)</f>
        <v>0</v>
      </c>
      <c r="O26" s="5">
        <f>IFERROR(__xludf.DUMMYFUNCTION("""COMPUTED_VALUE"""),0.0)</f>
        <v>0</v>
      </c>
      <c r="P26" s="5">
        <f>IFERROR(__xludf.DUMMYFUNCTION("""COMPUTED_VALUE"""),0.0)</f>
        <v>0</v>
      </c>
      <c r="Q26" s="6"/>
      <c r="R26" s="6">
        <f>IFERROR(__xludf.DUMMYFUNCTION("""COMPUTED_VALUE"""),12.0)</f>
        <v>12</v>
      </c>
    </row>
    <row r="27">
      <c r="A27" s="3">
        <f>IFERROR(__xludf.DUMMYFUNCTION("""COMPUTED_VALUE"""),46048.0)</f>
        <v>46048</v>
      </c>
      <c r="B27" s="4" t="str">
        <f>IFERROR(__xludf.DUMMYFUNCTION("""COMPUTED_VALUE"""),"  ")</f>
        <v/>
      </c>
      <c r="C27" s="4">
        <f>IFERROR(__xludf.DUMMYFUNCTION("""COMPUTED_VALUE"""),0.0)</f>
        <v>0</v>
      </c>
      <c r="D27" s="4">
        <f>IFERROR(__xludf.DUMMYFUNCTION("""COMPUTED_VALUE"""),0.0)</f>
        <v>0</v>
      </c>
      <c r="E27" s="5">
        <f>IFERROR(__xludf.DUMMYFUNCTION("""COMPUTED_VALUE"""),0.0)</f>
        <v>0</v>
      </c>
      <c r="F27" s="5">
        <f>IFERROR(__xludf.DUMMYFUNCTION("""COMPUTED_VALUE"""),0.0)</f>
        <v>0</v>
      </c>
      <c r="G27" s="5">
        <f>IFERROR(__xludf.DUMMYFUNCTION("""COMPUTED_VALUE"""),0.0)</f>
        <v>0</v>
      </c>
      <c r="H27" s="5">
        <f>IFERROR(__xludf.DUMMYFUNCTION("""COMPUTED_VALUE"""),0.0)</f>
        <v>0</v>
      </c>
      <c r="I27" s="5">
        <f>IFERROR(__xludf.DUMMYFUNCTION("""COMPUTED_VALUE"""),0.0)</f>
        <v>0</v>
      </c>
      <c r="J27" s="5">
        <f>IFERROR(__xludf.DUMMYFUNCTION("""COMPUTED_VALUE"""),0.0)</f>
        <v>0</v>
      </c>
      <c r="K27" s="5">
        <f>IFERROR(__xludf.DUMMYFUNCTION("""COMPUTED_VALUE"""),0.0)</f>
        <v>0</v>
      </c>
      <c r="L27" s="5">
        <f>IFERROR(__xludf.DUMMYFUNCTION("""COMPUTED_VALUE"""),0.0)</f>
        <v>0</v>
      </c>
      <c r="M27" s="5">
        <f>IFERROR(__xludf.DUMMYFUNCTION("""COMPUTED_VALUE"""),0.0)</f>
        <v>0</v>
      </c>
      <c r="N27" s="5">
        <f>IFERROR(__xludf.DUMMYFUNCTION("""COMPUTED_VALUE"""),0.0)</f>
        <v>0</v>
      </c>
      <c r="O27" s="5">
        <f>IFERROR(__xludf.DUMMYFUNCTION("""COMPUTED_VALUE"""),0.0)</f>
        <v>0</v>
      </c>
      <c r="P27" s="5">
        <f>IFERROR(__xludf.DUMMYFUNCTION("""COMPUTED_VALUE"""),0.0)</f>
        <v>0</v>
      </c>
      <c r="Q27" s="6"/>
      <c r="R27" s="6">
        <f>IFERROR(__xludf.DUMMYFUNCTION("""COMPUTED_VALUE"""),12.0)</f>
        <v>12</v>
      </c>
    </row>
    <row r="28">
      <c r="A28" s="3">
        <f>IFERROR(__xludf.DUMMYFUNCTION("""COMPUTED_VALUE"""),46049.0)</f>
        <v>46049</v>
      </c>
      <c r="B28" s="4" t="str">
        <f>IFERROR(__xludf.DUMMYFUNCTION("""COMPUTED_VALUE"""),"  ")</f>
        <v/>
      </c>
      <c r="C28" s="4">
        <f>IFERROR(__xludf.DUMMYFUNCTION("""COMPUTED_VALUE"""),0.0)</f>
        <v>0</v>
      </c>
      <c r="D28" s="4">
        <f>IFERROR(__xludf.DUMMYFUNCTION("""COMPUTED_VALUE"""),0.0)</f>
        <v>0</v>
      </c>
      <c r="E28" s="5">
        <f>IFERROR(__xludf.DUMMYFUNCTION("""COMPUTED_VALUE"""),0.0)</f>
        <v>0</v>
      </c>
      <c r="F28" s="5">
        <f>IFERROR(__xludf.DUMMYFUNCTION("""COMPUTED_VALUE"""),0.0)</f>
        <v>0</v>
      </c>
      <c r="G28" s="5">
        <f>IFERROR(__xludf.DUMMYFUNCTION("""COMPUTED_VALUE"""),0.0)</f>
        <v>0</v>
      </c>
      <c r="H28" s="5">
        <f>IFERROR(__xludf.DUMMYFUNCTION("""COMPUTED_VALUE"""),0.0)</f>
        <v>0</v>
      </c>
      <c r="I28" s="5">
        <f>IFERROR(__xludf.DUMMYFUNCTION("""COMPUTED_VALUE"""),0.0)</f>
        <v>0</v>
      </c>
      <c r="J28" s="5">
        <f>IFERROR(__xludf.DUMMYFUNCTION("""COMPUTED_VALUE"""),0.0)</f>
        <v>0</v>
      </c>
      <c r="K28" s="5">
        <f>IFERROR(__xludf.DUMMYFUNCTION("""COMPUTED_VALUE"""),0.0)</f>
        <v>0</v>
      </c>
      <c r="L28" s="5">
        <f>IFERROR(__xludf.DUMMYFUNCTION("""COMPUTED_VALUE"""),0.0)</f>
        <v>0</v>
      </c>
      <c r="M28" s="5">
        <f>IFERROR(__xludf.DUMMYFUNCTION("""COMPUTED_VALUE"""),0.0)</f>
        <v>0</v>
      </c>
      <c r="N28" s="5">
        <f>IFERROR(__xludf.DUMMYFUNCTION("""COMPUTED_VALUE"""),0.0)</f>
        <v>0</v>
      </c>
      <c r="O28" s="5">
        <f>IFERROR(__xludf.DUMMYFUNCTION("""COMPUTED_VALUE"""),0.0)</f>
        <v>0</v>
      </c>
      <c r="P28" s="5">
        <f>IFERROR(__xludf.DUMMYFUNCTION("""COMPUTED_VALUE"""),0.0)</f>
        <v>0</v>
      </c>
      <c r="Q28" s="6"/>
      <c r="R28" s="6">
        <f>IFERROR(__xludf.DUMMYFUNCTION("""COMPUTED_VALUE"""),12.0)</f>
        <v>12</v>
      </c>
    </row>
    <row r="29">
      <c r="A29" s="3">
        <f>IFERROR(__xludf.DUMMYFUNCTION("""COMPUTED_VALUE"""),46050.0)</f>
        <v>46050</v>
      </c>
      <c r="B29" s="4" t="str">
        <f>IFERROR(__xludf.DUMMYFUNCTION("""COMPUTED_VALUE"""),"  ")</f>
        <v/>
      </c>
      <c r="C29" s="4">
        <f>IFERROR(__xludf.DUMMYFUNCTION("""COMPUTED_VALUE"""),0.0)</f>
        <v>0</v>
      </c>
      <c r="D29" s="4">
        <f>IFERROR(__xludf.DUMMYFUNCTION("""COMPUTED_VALUE"""),0.0)</f>
        <v>0</v>
      </c>
      <c r="E29" s="5">
        <f>IFERROR(__xludf.DUMMYFUNCTION("""COMPUTED_VALUE"""),0.0)</f>
        <v>0</v>
      </c>
      <c r="F29" s="5">
        <f>IFERROR(__xludf.DUMMYFUNCTION("""COMPUTED_VALUE"""),0.0)</f>
        <v>0</v>
      </c>
      <c r="G29" s="5">
        <f>IFERROR(__xludf.DUMMYFUNCTION("""COMPUTED_VALUE"""),0.0)</f>
        <v>0</v>
      </c>
      <c r="H29" s="5">
        <f>IFERROR(__xludf.DUMMYFUNCTION("""COMPUTED_VALUE"""),0.0)</f>
        <v>0</v>
      </c>
      <c r="I29" s="5">
        <f>IFERROR(__xludf.DUMMYFUNCTION("""COMPUTED_VALUE"""),0.0)</f>
        <v>0</v>
      </c>
      <c r="J29" s="5">
        <f>IFERROR(__xludf.DUMMYFUNCTION("""COMPUTED_VALUE"""),0.0)</f>
        <v>0</v>
      </c>
      <c r="K29" s="5">
        <f>IFERROR(__xludf.DUMMYFUNCTION("""COMPUTED_VALUE"""),0.0)</f>
        <v>0</v>
      </c>
      <c r="L29" s="5">
        <f>IFERROR(__xludf.DUMMYFUNCTION("""COMPUTED_VALUE"""),0.0)</f>
        <v>0</v>
      </c>
      <c r="M29" s="5">
        <f>IFERROR(__xludf.DUMMYFUNCTION("""COMPUTED_VALUE"""),0.0)</f>
        <v>0</v>
      </c>
      <c r="N29" s="5">
        <f>IFERROR(__xludf.DUMMYFUNCTION("""COMPUTED_VALUE"""),0.0)</f>
        <v>0</v>
      </c>
      <c r="O29" s="5">
        <f>IFERROR(__xludf.DUMMYFUNCTION("""COMPUTED_VALUE"""),0.0)</f>
        <v>0</v>
      </c>
      <c r="P29" s="5">
        <f>IFERROR(__xludf.DUMMYFUNCTION("""COMPUTED_VALUE"""),0.0)</f>
        <v>0</v>
      </c>
      <c r="Q29" s="6"/>
      <c r="R29" s="6">
        <f>IFERROR(__xludf.DUMMYFUNCTION("""COMPUTED_VALUE"""),12.0)</f>
        <v>12</v>
      </c>
    </row>
    <row r="30">
      <c r="A30" s="3">
        <f>IFERROR(__xludf.DUMMYFUNCTION("""COMPUTED_VALUE"""),46051.0)</f>
        <v>46051</v>
      </c>
      <c r="B30" s="4" t="str">
        <f>IFERROR(__xludf.DUMMYFUNCTION("""COMPUTED_VALUE"""),"  ")</f>
        <v/>
      </c>
      <c r="C30" s="4">
        <f>IFERROR(__xludf.DUMMYFUNCTION("""COMPUTED_VALUE"""),0.0)</f>
        <v>0</v>
      </c>
      <c r="D30" s="4">
        <f>IFERROR(__xludf.DUMMYFUNCTION("""COMPUTED_VALUE"""),0.0)</f>
        <v>0</v>
      </c>
      <c r="E30" s="5">
        <f>IFERROR(__xludf.DUMMYFUNCTION("""COMPUTED_VALUE"""),0.0)</f>
        <v>0</v>
      </c>
      <c r="F30" s="5">
        <f>IFERROR(__xludf.DUMMYFUNCTION("""COMPUTED_VALUE"""),0.0)</f>
        <v>0</v>
      </c>
      <c r="G30" s="5">
        <f>IFERROR(__xludf.DUMMYFUNCTION("""COMPUTED_VALUE"""),0.0)</f>
        <v>0</v>
      </c>
      <c r="H30" s="5">
        <f>IFERROR(__xludf.DUMMYFUNCTION("""COMPUTED_VALUE"""),0.0)</f>
        <v>0</v>
      </c>
      <c r="I30" s="5">
        <f>IFERROR(__xludf.DUMMYFUNCTION("""COMPUTED_VALUE"""),0.0)</f>
        <v>0</v>
      </c>
      <c r="J30" s="5">
        <f>IFERROR(__xludf.DUMMYFUNCTION("""COMPUTED_VALUE"""),0.0)</f>
        <v>0</v>
      </c>
      <c r="K30" s="5">
        <f>IFERROR(__xludf.DUMMYFUNCTION("""COMPUTED_VALUE"""),0.0)</f>
        <v>0</v>
      </c>
      <c r="L30" s="5">
        <f>IFERROR(__xludf.DUMMYFUNCTION("""COMPUTED_VALUE"""),0.0)</f>
        <v>0</v>
      </c>
      <c r="M30" s="5">
        <f>IFERROR(__xludf.DUMMYFUNCTION("""COMPUTED_VALUE"""),0.0)</f>
        <v>0</v>
      </c>
      <c r="N30" s="5">
        <f>IFERROR(__xludf.DUMMYFUNCTION("""COMPUTED_VALUE"""),0.0)</f>
        <v>0</v>
      </c>
      <c r="O30" s="5">
        <f>IFERROR(__xludf.DUMMYFUNCTION("""COMPUTED_VALUE"""),0.0)</f>
        <v>0</v>
      </c>
      <c r="P30" s="5">
        <f>IFERROR(__xludf.DUMMYFUNCTION("""COMPUTED_VALUE"""),0.0)</f>
        <v>0</v>
      </c>
      <c r="Q30" s="6"/>
      <c r="R30" s="6">
        <f>IFERROR(__xludf.DUMMYFUNCTION("""COMPUTED_VALUE"""),12.0)</f>
        <v>12</v>
      </c>
    </row>
    <row r="31">
      <c r="A31" s="3">
        <f>IFERROR(__xludf.DUMMYFUNCTION("""COMPUTED_VALUE"""),46052.0)</f>
        <v>46052</v>
      </c>
      <c r="B31" s="4" t="str">
        <f>IFERROR(__xludf.DUMMYFUNCTION("""COMPUTED_VALUE"""),"  ")</f>
        <v/>
      </c>
      <c r="C31" s="4">
        <f>IFERROR(__xludf.DUMMYFUNCTION("""COMPUTED_VALUE"""),0.0)</f>
        <v>0</v>
      </c>
      <c r="D31" s="4">
        <f>IFERROR(__xludf.DUMMYFUNCTION("""COMPUTED_VALUE"""),0.0)</f>
        <v>0</v>
      </c>
      <c r="E31" s="5">
        <f>IFERROR(__xludf.DUMMYFUNCTION("""COMPUTED_VALUE"""),0.0)</f>
        <v>0</v>
      </c>
      <c r="F31" s="5">
        <f>IFERROR(__xludf.DUMMYFUNCTION("""COMPUTED_VALUE"""),0.0)</f>
        <v>0</v>
      </c>
      <c r="G31" s="5">
        <f>IFERROR(__xludf.DUMMYFUNCTION("""COMPUTED_VALUE"""),0.0)</f>
        <v>0</v>
      </c>
      <c r="H31" s="5">
        <f>IFERROR(__xludf.DUMMYFUNCTION("""COMPUTED_VALUE"""),0.0)</f>
        <v>0</v>
      </c>
      <c r="I31" s="5">
        <f>IFERROR(__xludf.DUMMYFUNCTION("""COMPUTED_VALUE"""),0.0)</f>
        <v>0</v>
      </c>
      <c r="J31" s="5">
        <f>IFERROR(__xludf.DUMMYFUNCTION("""COMPUTED_VALUE"""),0.0)</f>
        <v>0</v>
      </c>
      <c r="K31" s="5">
        <f>IFERROR(__xludf.DUMMYFUNCTION("""COMPUTED_VALUE"""),0.0)</f>
        <v>0</v>
      </c>
      <c r="L31" s="5">
        <f>IFERROR(__xludf.DUMMYFUNCTION("""COMPUTED_VALUE"""),0.0)</f>
        <v>0</v>
      </c>
      <c r="M31" s="5">
        <f>IFERROR(__xludf.DUMMYFUNCTION("""COMPUTED_VALUE"""),0.0)</f>
        <v>0</v>
      </c>
      <c r="N31" s="5">
        <f>IFERROR(__xludf.DUMMYFUNCTION("""COMPUTED_VALUE"""),0.0)</f>
        <v>0</v>
      </c>
      <c r="O31" s="5">
        <f>IFERROR(__xludf.DUMMYFUNCTION("""COMPUTED_VALUE"""),0.0)</f>
        <v>0</v>
      </c>
      <c r="P31" s="5">
        <f>IFERROR(__xludf.DUMMYFUNCTION("""COMPUTED_VALUE"""),0.0)</f>
        <v>0</v>
      </c>
      <c r="Q31" s="6"/>
      <c r="R31" s="6">
        <f>IFERROR(__xludf.DUMMYFUNCTION("""COMPUTED_VALUE"""),12.0)</f>
        <v>12</v>
      </c>
    </row>
    <row r="32">
      <c r="A32" s="3">
        <f>IFERROR(__xludf.DUMMYFUNCTION("""COMPUTED_VALUE"""),46053.0)</f>
        <v>46053</v>
      </c>
      <c r="B32" s="4" t="str">
        <f>IFERROR(__xludf.DUMMYFUNCTION("""COMPUTED_VALUE"""),"  ")</f>
        <v/>
      </c>
      <c r="C32" s="4">
        <f>IFERROR(__xludf.DUMMYFUNCTION("""COMPUTED_VALUE"""),0.0)</f>
        <v>0</v>
      </c>
      <c r="D32" s="4">
        <f>IFERROR(__xludf.DUMMYFUNCTION("""COMPUTED_VALUE"""),0.0)</f>
        <v>0</v>
      </c>
      <c r="E32" s="5">
        <f>IFERROR(__xludf.DUMMYFUNCTION("""COMPUTED_VALUE"""),0.0)</f>
        <v>0</v>
      </c>
      <c r="F32" s="5">
        <f>IFERROR(__xludf.DUMMYFUNCTION("""COMPUTED_VALUE"""),0.0)</f>
        <v>0</v>
      </c>
      <c r="G32" s="5">
        <f>IFERROR(__xludf.DUMMYFUNCTION("""COMPUTED_VALUE"""),0.0)</f>
        <v>0</v>
      </c>
      <c r="H32" s="5">
        <f>IFERROR(__xludf.DUMMYFUNCTION("""COMPUTED_VALUE"""),0.0)</f>
        <v>0</v>
      </c>
      <c r="I32" s="5">
        <f>IFERROR(__xludf.DUMMYFUNCTION("""COMPUTED_VALUE"""),0.0)</f>
        <v>0</v>
      </c>
      <c r="J32" s="5">
        <f>IFERROR(__xludf.DUMMYFUNCTION("""COMPUTED_VALUE"""),0.0)</f>
        <v>0</v>
      </c>
      <c r="K32" s="5">
        <f>IFERROR(__xludf.DUMMYFUNCTION("""COMPUTED_VALUE"""),0.0)</f>
        <v>0</v>
      </c>
      <c r="L32" s="5">
        <f>IFERROR(__xludf.DUMMYFUNCTION("""COMPUTED_VALUE"""),0.0)</f>
        <v>0</v>
      </c>
      <c r="M32" s="5">
        <f>IFERROR(__xludf.DUMMYFUNCTION("""COMPUTED_VALUE"""),0.0)</f>
        <v>0</v>
      </c>
      <c r="N32" s="5">
        <f>IFERROR(__xludf.DUMMYFUNCTION("""COMPUTED_VALUE"""),0.0)</f>
        <v>0</v>
      </c>
      <c r="O32" s="5">
        <f>IFERROR(__xludf.DUMMYFUNCTION("""COMPUTED_VALUE"""),0.0)</f>
        <v>0</v>
      </c>
      <c r="P32" s="5">
        <f>IFERROR(__xludf.DUMMYFUNCTION("""COMPUTED_VALUE"""),0.0)</f>
        <v>0</v>
      </c>
      <c r="Q32" s="6"/>
      <c r="R32" s="6">
        <f>IFERROR(__xludf.DUMMYFUNCTION("""COMPUTED_VALUE"""),12.0)</f>
        <v>12</v>
      </c>
    </row>
  </sheetData>
  <drawing r:id="rId1"/>
</worksheet>
</file>