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ho" sheetId="1" r:id="rId4"/>
    <sheet state="visible" name="backup" sheetId="2" r:id="rId5"/>
    <sheet state="visible" name="Calculo " sheetId="3" r:id="rId6"/>
    <sheet state="visible" name="Calculo mensal" sheetId="4" r:id="rId7"/>
    <sheet state="visible" name="Anteriores" sheetId="5" r:id="rId8"/>
    <sheet state="visible" name="Página1" sheetId="6" r:id="rId9"/>
  </sheets>
  <definedNames/>
  <calcPr/>
  <extLst>
    <ext uri="GoogleSheetsCustomDataVersion2">
      <go:sheetsCustomData xmlns:go="http://customooxmlschemas.google.com/" r:id="rId10" roundtripDataChecksum="j4STtVWK4hFQ2bGXE42D7A28qW7w4zK+Ni2qE9NVKpc="/>
    </ext>
  </extLst>
</workbook>
</file>

<file path=xl/sharedStrings.xml><?xml version="1.0" encoding="utf-8"?>
<sst xmlns="http://schemas.openxmlformats.org/spreadsheetml/2006/main" count="1639" uniqueCount="54">
  <si>
    <t>META JUNHO</t>
  </si>
  <si>
    <t>FATURAMENTO BRUTO</t>
  </si>
  <si>
    <t>Dia</t>
  </si>
  <si>
    <t>Meta</t>
  </si>
  <si>
    <t>Realizado</t>
  </si>
  <si>
    <t>Meta negativa</t>
  </si>
  <si>
    <t>Nova</t>
  </si>
  <si>
    <t>segunda-feira</t>
  </si>
  <si>
    <t>Análises</t>
  </si>
  <si>
    <t>terça-feira</t>
  </si>
  <si>
    <t>Acompanhamento meta diária</t>
  </si>
  <si>
    <t>quarta-feira</t>
  </si>
  <si>
    <t>Meta Dia</t>
  </si>
  <si>
    <t>quinta-feira</t>
  </si>
  <si>
    <t>Hora</t>
  </si>
  <si>
    <t>Parciais</t>
  </si>
  <si>
    <t>Déficit</t>
  </si>
  <si>
    <t>sexta-feira</t>
  </si>
  <si>
    <t>sábado</t>
  </si>
  <si>
    <t>Meta semanal</t>
  </si>
  <si>
    <t>domingo</t>
  </si>
  <si>
    <t>Total</t>
  </si>
  <si>
    <t>Porcentagem</t>
  </si>
  <si>
    <t>Valor Porcentagem</t>
  </si>
  <si>
    <t>Diferença</t>
  </si>
  <si>
    <t>Dia da Semana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</si>
  <si>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</si>
  <si>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</si>
  <si>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</si>
  <si>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</si>
  <si>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</si>
  <si>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</si>
  <si>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</si>
  <si>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</si>
  <si>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</si>
  <si>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</si>
  <si>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</si>
  <si>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Janeiro</t>
  </si>
  <si>
    <t>Junho</t>
  </si>
  <si>
    <t>Julho</t>
  </si>
  <si>
    <t>Agosto</t>
  </si>
  <si>
    <t>Setembro</t>
  </si>
  <si>
    <t>Outubro</t>
  </si>
  <si>
    <t>Novembro</t>
  </si>
  <si>
    <t>Máximo</t>
  </si>
  <si>
    <t>Mínimo</t>
  </si>
  <si>
    <t>Dias</t>
  </si>
  <si>
    <t>Média</t>
  </si>
  <si>
    <t>Ponderada</t>
  </si>
  <si>
    <t xml:space="preserve">Crescimento </t>
  </si>
  <si>
    <t>Anterior</t>
  </si>
  <si>
    <t>%</t>
  </si>
  <si>
    <t>data</t>
  </si>
  <si>
    <t>meta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</si>
</sst>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-&quot;R$ &quot;* #,##0.00_-;&quot;-R$ &quot;* #,##0.00_-;_-&quot;R$ &quot;* \-??_-;_-@"/>
    <numFmt numFmtId="165" formatCode="_([$R$ -416]* #,##0.00_);_([$R$ -416]* \(#,##0.00\);_([$R$ -416]* \-??_);_(@_)"/>
    <numFmt numFmtId="166" formatCode="_-* #,##0.00_-;\-* #,##0.00_-;_-* \-??_-;_-@"/>
    <numFmt numFmtId="167" formatCode="_(&quot;R$ &quot;* #,##0.00_);_(&quot;R$ &quot;* \(#,##0.00\);_(&quot;R$ &quot;* \-??_);_(@_)"/>
    <numFmt numFmtId="168" formatCode="&quot;R$&quot;#,##0.00;[Red]&quot;-R$&quot;#,##0.00"/>
    <numFmt numFmtId="169" formatCode="_-* #,##0.00_-;\-* #,##0.00_-;_-* &quot;-&quot;??_-;_-@"/>
    <numFmt numFmtId="170" formatCode="yyyy\-mm\-dd"/>
  </numFmts>
  <fonts count="16">
    <font>
      <sz val="11.0"/>
      <color rgb="FF000000"/>
      <name val="Calibri"/>
      <scheme val="minor"/>
    </font>
    <font>
      <b/>
      <sz val="12.0"/>
      <color rgb="FF000000"/>
      <name val="Calibri"/>
    </font>
    <font/>
    <font>
      <sz val="12.0"/>
      <color rgb="FF000000"/>
      <name val="Calibri"/>
    </font>
    <font>
      <b/>
      <sz val="12.0"/>
      <color rgb="FFFFFFFF"/>
      <name val="Calibri"/>
    </font>
    <font>
      <sz val="12.0"/>
      <color rgb="FFA6A6A6"/>
      <name val="Calibri"/>
    </font>
    <font>
      <b/>
      <sz val="12.0"/>
      <color rgb="FF990000"/>
      <name val="Calibri"/>
    </font>
    <font>
      <sz val="12.0"/>
      <color rgb="FFFF0000"/>
      <name val="Calibri"/>
    </font>
    <font>
      <sz val="12.0"/>
      <color rgb="FFFF0000"/>
      <name val="Roboto"/>
    </font>
    <font>
      <u/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sz val="12.0"/>
      <color rgb="FF000000"/>
      <name val="Arial"/>
    </font>
    <font>
      <u/>
      <sz val="12.0"/>
      <color rgb="FF000000"/>
      <name val="Arial"/>
    </font>
    <font>
      <sz val="12.0"/>
      <color rgb="FFFF0000"/>
      <name val="Arial"/>
    </font>
    <font>
      <b/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84807"/>
        <bgColor rgb="FF984807"/>
      </patternFill>
    </fill>
  </fills>
  <borders count="3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5" fillId="0" fontId="3" numFmtId="164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1" numFmtId="0" xfId="0" applyAlignment="1" applyBorder="1" applyFont="1">
      <alignment horizontal="center"/>
    </xf>
    <xf borderId="12" fillId="0" fontId="2" numFmtId="0" xfId="0" applyBorder="1" applyFont="1"/>
    <xf borderId="4" fillId="0" fontId="1" numFmtId="0" xfId="0" applyAlignment="1" applyBorder="1" applyFont="1">
      <alignment horizontal="center"/>
    </xf>
    <xf borderId="4" fillId="0" fontId="1" numFmtId="164" xfId="0" applyAlignment="1" applyBorder="1" applyFont="1" applyNumberFormat="1">
      <alignment horizontal="center"/>
    </xf>
    <xf borderId="4" fillId="0" fontId="3" numFmtId="0" xfId="0" applyAlignment="1" applyBorder="1" applyFont="1">
      <alignment horizontal="center"/>
    </xf>
    <xf borderId="4" fillId="0" fontId="3" numFmtId="164" xfId="0" applyAlignment="1" applyBorder="1" applyFont="1" applyNumberFormat="1">
      <alignment horizontal="center"/>
    </xf>
    <xf borderId="4" fillId="0" fontId="1" numFmtId="165" xfId="0" applyBorder="1" applyFont="1" applyNumberFormat="1"/>
    <xf borderId="5" fillId="0" fontId="3" numFmtId="166" xfId="0" applyBorder="1" applyFont="1" applyNumberFormat="1"/>
    <xf borderId="4" fillId="0" fontId="3" numFmtId="164" xfId="0" applyBorder="1" applyFont="1" applyNumberFormat="1"/>
    <xf borderId="0" fillId="0" fontId="3" numFmtId="167" xfId="0" applyFont="1" applyNumberFormat="1"/>
    <xf borderId="0" fillId="0" fontId="3" numFmtId="164" xfId="0" applyAlignment="1" applyFont="1" applyNumberFormat="1">
      <alignment horizontal="center"/>
    </xf>
    <xf borderId="1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0" fillId="0" fontId="3" numFmtId="164" xfId="0" applyFont="1" applyNumberFormat="1"/>
    <xf borderId="4" fillId="0" fontId="3" numFmtId="166" xfId="0" applyBorder="1" applyFont="1" applyNumberFormat="1"/>
    <xf borderId="13" fillId="0" fontId="1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14" fillId="0" fontId="3" numFmtId="0" xfId="0" applyAlignment="1" applyBorder="1" applyFont="1">
      <alignment horizontal="center"/>
    </xf>
    <xf borderId="13" fillId="0" fontId="3" numFmtId="164" xfId="0" applyBorder="1" applyFont="1" applyNumberFormat="1"/>
    <xf borderId="0" fillId="0" fontId="3" numFmtId="164" xfId="0" applyAlignment="1" applyFont="1" applyNumberFormat="1">
      <alignment shrinkToFit="0" wrapText="1"/>
    </xf>
    <xf borderId="4" fillId="2" fontId="4" numFmtId="0" xfId="0" applyAlignment="1" applyBorder="1" applyFill="1" applyFont="1">
      <alignment horizontal="center"/>
    </xf>
    <xf borderId="10" fillId="0" fontId="3" numFmtId="166" xfId="0" applyBorder="1" applyFont="1" applyNumberFormat="1"/>
    <xf borderId="13" fillId="0" fontId="3" numFmtId="21" xfId="0" applyBorder="1" applyFont="1" applyNumberFormat="1"/>
    <xf borderId="4" fillId="0" fontId="3" numFmtId="21" xfId="0" applyBorder="1" applyFont="1" applyNumberFormat="1"/>
    <xf borderId="4" fillId="0" fontId="5" numFmtId="164" xfId="0" applyBorder="1" applyFont="1" applyNumberFormat="1"/>
    <xf borderId="4" fillId="0" fontId="5" numFmtId="164" xfId="0" applyAlignment="1" applyBorder="1" applyFont="1" applyNumberFormat="1">
      <alignment horizontal="center"/>
    </xf>
    <xf borderId="0" fillId="0" fontId="3" numFmtId="167" xfId="0" applyAlignment="1" applyFont="1" applyNumberFormat="1">
      <alignment horizontal="center"/>
    </xf>
    <xf borderId="5" fillId="0" fontId="3" numFmtId="0" xfId="0" applyBorder="1" applyFont="1"/>
    <xf borderId="10" fillId="0" fontId="3" numFmtId="164" xfId="0" applyAlignment="1" applyBorder="1" applyFont="1" applyNumberFormat="1">
      <alignment horizontal="center"/>
    </xf>
    <xf borderId="15" fillId="0" fontId="3" numFmtId="0" xfId="0" applyAlignment="1" applyBorder="1" applyFont="1">
      <alignment horizontal="center"/>
    </xf>
    <xf borderId="15" fillId="0" fontId="3" numFmtId="164" xfId="0" applyAlignment="1" applyBorder="1" applyFont="1" applyNumberFormat="1">
      <alignment horizontal="center"/>
    </xf>
    <xf borderId="10" fillId="0" fontId="3" numFmtId="0" xfId="0" applyBorder="1" applyFont="1"/>
    <xf borderId="4" fillId="0" fontId="6" numFmtId="165" xfId="0" applyBorder="1" applyFont="1" applyNumberFormat="1"/>
    <xf borderId="13" fillId="0" fontId="3" numFmtId="0" xfId="0" applyAlignment="1" applyBorder="1" applyFont="1">
      <alignment horizontal="center"/>
    </xf>
    <xf borderId="13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14" fillId="0" fontId="3" numFmtId="164" xfId="0" applyBorder="1" applyFont="1" applyNumberFormat="1"/>
    <xf borderId="13" fillId="0" fontId="3" numFmtId="4" xfId="0" applyAlignment="1" applyBorder="1" applyFont="1" applyNumberFormat="1">
      <alignment horizontal="center"/>
    </xf>
    <xf borderId="0" fillId="0" fontId="3" numFmtId="4" xfId="0" applyAlignment="1" applyFont="1" applyNumberFormat="1">
      <alignment horizontal="center"/>
    </xf>
    <xf borderId="4" fillId="0" fontId="1" numFmtId="167" xfId="0" applyBorder="1" applyFont="1" applyNumberFormat="1"/>
    <xf borderId="4" fillId="0" fontId="1" numFmtId="164" xfId="0" applyBorder="1" applyFont="1" applyNumberFormat="1"/>
    <xf borderId="0" fillId="0" fontId="3" numFmtId="166" xfId="0" applyAlignment="1" applyFont="1" applyNumberFormat="1">
      <alignment horizontal="center"/>
    </xf>
    <xf borderId="0" fillId="0" fontId="3" numFmtId="168" xfId="0" applyAlignment="1" applyFont="1" applyNumberFormat="1">
      <alignment horizontal="center"/>
    </xf>
    <xf borderId="11" fillId="0" fontId="3" numFmtId="0" xfId="0" applyAlignment="1" applyBorder="1" applyFont="1">
      <alignment horizontal="center"/>
    </xf>
    <xf borderId="16" fillId="0" fontId="2" numFmtId="0" xfId="0" applyBorder="1" applyFont="1"/>
    <xf borderId="0" fillId="0" fontId="3" numFmtId="0" xfId="0" applyFont="1"/>
    <xf borderId="6" fillId="0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/>
    </xf>
    <xf borderId="8" fillId="0" fontId="3" numFmtId="0" xfId="0" applyAlignment="1" applyBorder="1" applyFont="1">
      <alignment horizontal="center"/>
    </xf>
    <xf borderId="0" fillId="0" fontId="8" numFmtId="0" xfId="0" applyAlignment="1" applyFont="1">
      <alignment horizontal="right" shrinkToFit="0" wrapText="1"/>
    </xf>
    <xf borderId="0" fillId="0" fontId="9" numFmtId="0" xfId="0" applyAlignment="1" applyFont="1">
      <alignment horizontal="center"/>
    </xf>
    <xf borderId="0" fillId="0" fontId="10" numFmtId="9" xfId="0" applyFont="1" applyNumberFormat="1"/>
    <xf borderId="0" fillId="0" fontId="10" numFmtId="164" xfId="0" applyFont="1" applyNumberFormat="1"/>
    <xf borderId="0" fillId="0" fontId="11" numFmtId="0" xfId="0" applyFont="1"/>
    <xf borderId="0" fillId="0" fontId="12" numFmtId="164" xfId="0" applyFont="1" applyNumberFormat="1"/>
    <xf borderId="4" fillId="0" fontId="12" numFmtId="164" xfId="0" applyBorder="1" applyFont="1" applyNumberFormat="1"/>
    <xf borderId="10" fillId="0" fontId="12" numFmtId="164" xfId="0" applyBorder="1" applyFont="1" applyNumberFormat="1"/>
    <xf borderId="4" fillId="0" fontId="12" numFmtId="4" xfId="0" applyBorder="1" applyFont="1" applyNumberFormat="1"/>
    <xf borderId="17" fillId="0" fontId="12" numFmtId="164" xfId="0" applyBorder="1" applyFont="1" applyNumberFormat="1"/>
    <xf borderId="11" fillId="0" fontId="12" numFmtId="164" xfId="0" applyBorder="1" applyFont="1" applyNumberFormat="1"/>
    <xf borderId="4" fillId="0" fontId="12" numFmtId="164" xfId="0" applyAlignment="1" applyBorder="1" applyFont="1" applyNumberFormat="1">
      <alignment shrinkToFit="0" wrapText="1"/>
    </xf>
    <xf borderId="4" fillId="0" fontId="12" numFmtId="4" xfId="0" applyAlignment="1" applyBorder="1" applyFont="1" applyNumberFormat="1">
      <alignment shrinkToFit="0" wrapText="1"/>
    </xf>
    <xf borderId="18" fillId="0" fontId="12" numFmtId="164" xfId="0" applyBorder="1" applyFont="1" applyNumberFormat="1"/>
    <xf borderId="19" fillId="0" fontId="12" numFmtId="164" xfId="0" applyBorder="1" applyFont="1" applyNumberFormat="1"/>
    <xf borderId="4" fillId="0" fontId="13" numFmtId="4" xfId="0" applyBorder="1" applyFont="1" applyNumberFormat="1"/>
    <xf borderId="4" fillId="0" fontId="14" numFmtId="164" xfId="0" applyBorder="1" applyFont="1" applyNumberFormat="1"/>
    <xf borderId="5" fillId="0" fontId="12" numFmtId="164" xfId="0" applyBorder="1" applyFont="1" applyNumberFormat="1"/>
    <xf borderId="18" fillId="0" fontId="14" numFmtId="164" xfId="0" applyBorder="1" applyFont="1" applyNumberFormat="1"/>
    <xf borderId="4" fillId="0" fontId="15" numFmtId="164" xfId="0" applyBorder="1" applyFont="1" applyNumberFormat="1"/>
    <xf borderId="11" fillId="0" fontId="10" numFmtId="0" xfId="0" applyAlignment="1" applyBorder="1" applyFont="1">
      <alignment horizontal="center"/>
    </xf>
    <xf borderId="6" fillId="0" fontId="10" numFmtId="0" xfId="0" applyAlignment="1" applyBorder="1" applyFont="1">
      <alignment horizontal="center"/>
    </xf>
    <xf borderId="4" fillId="0" fontId="10" numFmtId="0" xfId="0" applyBorder="1" applyFont="1"/>
    <xf borderId="0" fillId="0" fontId="14" numFmtId="164" xfId="0" applyFont="1" applyNumberFormat="1"/>
    <xf borderId="0" fillId="0" fontId="10" numFmtId="0" xfId="0" applyAlignment="1" applyFont="1">
      <alignment horizontal="center"/>
    </xf>
    <xf borderId="0" fillId="0" fontId="10" numFmtId="169" xfId="0" applyFont="1" applyNumberFormat="1"/>
    <xf borderId="0" fillId="0" fontId="10" numFmtId="10" xfId="0" applyFont="1" applyNumberFormat="1"/>
    <xf borderId="11" fillId="0" fontId="12" numFmtId="17" xfId="0" applyAlignment="1" applyBorder="1" applyFont="1" applyNumberFormat="1">
      <alignment horizontal="center"/>
    </xf>
    <xf borderId="0" fillId="0" fontId="12" numFmtId="0" xfId="0" applyFont="1"/>
    <xf borderId="0" fillId="0" fontId="12" numFmtId="17" xfId="0" applyAlignment="1" applyFont="1" applyNumberFormat="1">
      <alignment horizontal="center"/>
    </xf>
    <xf borderId="7" fillId="0" fontId="12" numFmtId="17" xfId="0" applyAlignment="1" applyBorder="1" applyFont="1" applyNumberFormat="1">
      <alignment horizontal="center"/>
    </xf>
    <xf borderId="0" fillId="0" fontId="12" numFmtId="0" xfId="0" applyAlignment="1" applyFont="1">
      <alignment horizontal="center"/>
    </xf>
    <xf borderId="11" fillId="0" fontId="12" numFmtId="0" xfId="0" applyAlignment="1" applyBorder="1" applyFont="1">
      <alignment horizontal="center"/>
    </xf>
    <xf borderId="4" fillId="0" fontId="12" numFmtId="0" xfId="0" applyAlignment="1" applyBorder="1" applyFont="1">
      <alignment horizontal="center"/>
    </xf>
    <xf borderId="4" fillId="0" fontId="12" numFmtId="164" xfId="0" applyAlignment="1" applyBorder="1" applyFont="1" applyNumberFormat="1">
      <alignment horizontal="center"/>
    </xf>
    <xf borderId="20" fillId="0" fontId="12" numFmtId="0" xfId="0" applyAlignment="1" applyBorder="1" applyFont="1">
      <alignment horizontal="center"/>
    </xf>
    <xf borderId="21" fillId="0" fontId="2" numFmtId="0" xfId="0" applyBorder="1" applyFont="1"/>
    <xf borderId="22" fillId="0" fontId="12" numFmtId="0" xfId="0" applyAlignment="1" applyBorder="1" applyFont="1">
      <alignment horizontal="center"/>
    </xf>
    <xf borderId="22" fillId="0" fontId="12" numFmtId="164" xfId="0" applyAlignment="1" applyBorder="1" applyFont="1" applyNumberFormat="1">
      <alignment horizontal="center"/>
    </xf>
    <xf borderId="23" fillId="0" fontId="12" numFmtId="0" xfId="0" applyAlignment="1" applyBorder="1" applyFont="1">
      <alignment horizontal="center"/>
    </xf>
    <xf borderId="24" fillId="0" fontId="2" numFmtId="0" xfId="0" applyBorder="1" applyFont="1"/>
    <xf borderId="4" fillId="0" fontId="12" numFmtId="167" xfId="0" applyBorder="1" applyFont="1" applyNumberFormat="1"/>
    <xf borderId="4" fillId="0" fontId="12" numFmtId="9" xfId="0" applyBorder="1" applyFont="1" applyNumberFormat="1"/>
    <xf borderId="4" fillId="0" fontId="12" numFmtId="167" xfId="0" applyAlignment="1" applyBorder="1" applyFont="1" applyNumberFormat="1">
      <alignment horizontal="center"/>
    </xf>
    <xf borderId="4" fillId="0" fontId="12" numFmtId="9" xfId="0" applyAlignment="1" applyBorder="1" applyFont="1" applyNumberFormat="1">
      <alignment horizontal="center"/>
    </xf>
    <xf borderId="25" fillId="0" fontId="12" numFmtId="0" xfId="0" applyAlignment="1" applyBorder="1" applyFont="1">
      <alignment horizontal="center"/>
    </xf>
    <xf borderId="26" fillId="0" fontId="12" numFmtId="164" xfId="0" applyBorder="1" applyFont="1" applyNumberFormat="1"/>
    <xf borderId="27" fillId="0" fontId="12" numFmtId="0" xfId="0" applyAlignment="1" applyBorder="1" applyFont="1">
      <alignment horizontal="center"/>
    </xf>
    <xf borderId="19" fillId="0" fontId="12" numFmtId="0" xfId="0" applyAlignment="1" applyBorder="1" applyFont="1">
      <alignment horizontal="center"/>
    </xf>
    <xf borderId="28" fillId="0" fontId="12" numFmtId="164" xfId="0" applyBorder="1" applyFont="1" applyNumberFormat="1"/>
    <xf borderId="5" fillId="0" fontId="12" numFmtId="164" xfId="0" applyAlignment="1" applyBorder="1" applyFont="1" applyNumberFormat="1">
      <alignment horizontal="center"/>
    </xf>
    <xf borderId="0" fillId="0" fontId="12" numFmtId="9" xfId="0" applyAlignment="1" applyFont="1" applyNumberFormat="1">
      <alignment horizontal="center"/>
    </xf>
    <xf borderId="29" fillId="0" fontId="12" numFmtId="0" xfId="0" applyAlignment="1" applyBorder="1" applyFont="1">
      <alignment horizontal="center"/>
    </xf>
    <xf borderId="10" fillId="0" fontId="12" numFmtId="164" xfId="0" applyAlignment="1" applyBorder="1" applyFont="1" applyNumberFormat="1">
      <alignment horizontal="center"/>
    </xf>
    <xf borderId="30" fillId="0" fontId="12" numFmtId="0" xfId="0" applyAlignment="1" applyBorder="1" applyFont="1">
      <alignment horizontal="center"/>
    </xf>
    <xf borderId="31" fillId="0" fontId="12" numFmtId="164" xfId="0" applyBorder="1" applyFont="1" applyNumberFormat="1"/>
    <xf borderId="18" fillId="0" fontId="12" numFmtId="0" xfId="0" applyAlignment="1" applyBorder="1" applyFont="1">
      <alignment horizontal="center"/>
    </xf>
    <xf borderId="5" fillId="0" fontId="12" numFmtId="0" xfId="0" applyAlignment="1" applyBorder="1" applyFont="1">
      <alignment horizontal="center"/>
    </xf>
    <xf borderId="17" fillId="0" fontId="12" numFmtId="0" xfId="0" applyAlignment="1" applyBorder="1" applyFont="1">
      <alignment horizontal="center"/>
    </xf>
    <xf borderId="32" fillId="0" fontId="2" numFmtId="0" xfId="0" applyBorder="1" applyFont="1"/>
    <xf borderId="11" fillId="0" fontId="15" numFmtId="0" xfId="0" applyAlignment="1" applyBorder="1" applyFont="1">
      <alignment horizontal="center"/>
    </xf>
    <xf borderId="4" fillId="0" fontId="15" numFmtId="167" xfId="0" applyBorder="1" applyFont="1" applyNumberFormat="1"/>
    <xf borderId="4" fillId="0" fontId="3" numFmtId="4" xfId="0" applyAlignment="1" applyBorder="1" applyFont="1" applyNumberFormat="1">
      <alignment horizontal="center"/>
    </xf>
    <xf borderId="4" fillId="0" fontId="3" numFmtId="170" xfId="0" applyAlignment="1" applyBorder="1" applyFont="1" applyNumberFormat="1">
      <alignment horizontal="center"/>
    </xf>
  </cellXfs>
  <cellStyles count="1">
    <cellStyle xfId="0" name="Normal" builtinId="0"/>
  </cellStyles>
  <dxfs count="4">
    <dxf>
      <font>
        <b/>
        <color rgb="FF38761D"/>
      </font>
      <fill>
        <patternFill patternType="none"/>
      </fill>
      <border/>
    </dxf>
    <dxf>
      <font>
        <b/>
        <color rgb="FF990000"/>
      </font>
      <fill>
        <patternFill patternType="none"/>
      </fill>
      <border/>
    </dxf>
    <dxf>
      <font>
        <b/>
        <color rgb="FF274E13"/>
      </font>
      <fill>
        <patternFill patternType="solid">
          <fgColor rgb="FFFFFFFF"/>
          <bgColor rgb="FFFFFFFF"/>
        </patternFill>
      </fill>
      <border/>
    </dxf>
    <dxf>
      <font>
        <b/>
        <color rgb="FF990000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43"/>
    <col customWidth="1" min="2" max="2" width="13.29"/>
    <col customWidth="1" min="3" max="3" width="16.71"/>
    <col customWidth="1" min="4" max="4" width="16.57"/>
    <col customWidth="1" hidden="1" min="5" max="5" width="4.0"/>
    <col customWidth="1" min="6" max="6" width="14.29"/>
    <col customWidth="1" min="7" max="7" width="13.57"/>
    <col customWidth="1" min="8" max="8" width="14.71"/>
    <col customWidth="1" min="9" max="9" width="19.14"/>
    <col customWidth="1" min="10" max="10" width="3.0"/>
    <col customWidth="1" min="11" max="11" width="2.86"/>
    <col customWidth="1" min="12" max="12" width="8.86"/>
    <col customWidth="1" min="13" max="13" width="14.14"/>
    <col customWidth="1" min="14" max="14" width="9.0"/>
    <col customWidth="1" min="15" max="15" width="14.14"/>
    <col customWidth="1" min="16" max="16" width="2.57"/>
    <col customWidth="1" min="17" max="17" width="2.43"/>
    <col customWidth="1" min="18" max="18" width="11.86"/>
    <col customWidth="1" min="19" max="22" width="9.57"/>
  </cols>
  <sheetData>
    <row r="1" ht="15.0" customHeight="1">
      <c r="A1" s="1" t="s">
        <v>0</v>
      </c>
      <c r="B1" s="2"/>
      <c r="C1" s="2"/>
      <c r="D1" s="3"/>
      <c r="E1" s="4"/>
      <c r="F1" s="5"/>
      <c r="G1" s="6"/>
      <c r="H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>
      <c r="A2" s="7"/>
      <c r="B2" s="8"/>
      <c r="C2" s="8"/>
      <c r="D2" s="9"/>
      <c r="E2" s="4"/>
      <c r="F2" s="10"/>
      <c r="G2" s="6"/>
      <c r="H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ht="15.0" customHeight="1">
      <c r="A3" s="1" t="s">
        <v>1</v>
      </c>
      <c r="B3" s="2"/>
      <c r="C3" s="2"/>
      <c r="D3" s="3"/>
      <c r="E3" s="4"/>
      <c r="F3" s="10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>
      <c r="A4" s="7"/>
      <c r="B4" s="8"/>
      <c r="C4" s="8"/>
      <c r="D4" s="9"/>
      <c r="E4" s="4"/>
      <c r="F4" s="11"/>
      <c r="G4" s="6"/>
      <c r="H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ht="15.75" customHeight="1">
      <c r="A5" s="12" t="s">
        <v>2</v>
      </c>
      <c r="B5" s="13"/>
      <c r="C5" s="14" t="s">
        <v>3</v>
      </c>
      <c r="D5" s="15" t="s">
        <v>4</v>
      </c>
      <c r="E5" s="14" t="s">
        <v>5</v>
      </c>
      <c r="F5" s="15" t="s">
        <v>6</v>
      </c>
      <c r="G5" s="6"/>
      <c r="H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>
      <c r="A6" s="16">
        <v>1.0</v>
      </c>
      <c r="B6" s="16" t="s">
        <v>7</v>
      </c>
      <c r="C6" s="17">
        <v>2441.725916666667</v>
      </c>
      <c r="D6" s="18"/>
      <c r="E6" s="19">
        <f t="shared" ref="E6:E33" si="1">C6*-1</f>
        <v>-2441.725917</v>
      </c>
      <c r="F6" s="20">
        <f>C6-('Calculo '!$D$33*'Calculo '!B2)</f>
        <v>2441.725917</v>
      </c>
      <c r="G6" s="6"/>
      <c r="H6" s="21"/>
      <c r="J6" s="22"/>
      <c r="K6" s="23" t="s">
        <v>8</v>
      </c>
      <c r="L6" s="24"/>
      <c r="M6" s="24"/>
      <c r="N6" s="24"/>
      <c r="O6" s="25"/>
      <c r="P6" s="26"/>
      <c r="Q6" s="26"/>
      <c r="R6" s="26"/>
      <c r="S6" s="26"/>
      <c r="T6" s="26"/>
      <c r="U6" s="6"/>
      <c r="V6" s="22"/>
    </row>
    <row r="7">
      <c r="A7" s="16">
        <v>2.0</v>
      </c>
      <c r="B7" s="16" t="s">
        <v>9</v>
      </c>
      <c r="C7" s="17">
        <v>2595.8212500000004</v>
      </c>
      <c r="D7" s="18"/>
      <c r="E7" s="27">
        <f t="shared" si="1"/>
        <v>-2595.82125</v>
      </c>
      <c r="F7" s="20">
        <f>C7-('Calculo '!$D$33*'Calculo '!B3)</f>
        <v>2595.82125</v>
      </c>
      <c r="G7" s="6"/>
      <c r="H7" s="21"/>
      <c r="J7" s="6"/>
      <c r="K7" s="28"/>
      <c r="L7" s="29" t="s">
        <v>10</v>
      </c>
      <c r="M7" s="6"/>
      <c r="N7" s="6"/>
      <c r="O7" s="30"/>
      <c r="P7" s="26"/>
      <c r="Q7" s="26"/>
      <c r="R7" s="26"/>
      <c r="S7" s="26"/>
      <c r="T7" s="26"/>
      <c r="U7" s="6"/>
      <c r="V7" s="22"/>
    </row>
    <row r="8">
      <c r="A8" s="16">
        <v>3.0</v>
      </c>
      <c r="B8" s="16" t="s">
        <v>11</v>
      </c>
      <c r="C8" s="5">
        <v>3050.3744999999994</v>
      </c>
      <c r="D8" s="18"/>
      <c r="E8" s="27">
        <f t="shared" si="1"/>
        <v>-3050.3745</v>
      </c>
      <c r="F8" s="20">
        <f>C8-('Calculo '!$D$33*'Calculo '!B4)</f>
        <v>3050.3745</v>
      </c>
      <c r="G8" s="6"/>
      <c r="H8" s="6"/>
      <c r="J8" s="6"/>
      <c r="K8" s="31"/>
      <c r="L8" s="26" t="s">
        <v>12</v>
      </c>
      <c r="M8" s="32">
        <f t="array" ref="M8">INDEX(F2:F36,MATCH(1,INDEX((D2:D36="")*(F2:F36&lt;&gt;""),0),0))</f>
        <v>2441.725917</v>
      </c>
      <c r="N8" s="26"/>
      <c r="O8" s="30"/>
      <c r="P8" s="26"/>
      <c r="Q8" s="26"/>
      <c r="R8" s="26"/>
      <c r="S8" s="26"/>
      <c r="T8" s="26"/>
      <c r="U8" s="6"/>
      <c r="V8" s="22"/>
    </row>
    <row r="9">
      <c r="A9" s="16">
        <v>4.0</v>
      </c>
      <c r="B9" s="16" t="s">
        <v>13</v>
      </c>
      <c r="C9" s="17">
        <v>2625.0138750000006</v>
      </c>
      <c r="D9" s="18"/>
      <c r="E9" s="27">
        <f t="shared" si="1"/>
        <v>-2625.013875</v>
      </c>
      <c r="F9" s="20">
        <f>C9-('Calculo '!$D$33*'Calculo '!B5)</f>
        <v>2625.013875</v>
      </c>
      <c r="G9" s="6"/>
      <c r="H9" s="6"/>
      <c r="J9" s="6"/>
      <c r="K9" s="31"/>
      <c r="L9" s="33" t="s">
        <v>14</v>
      </c>
      <c r="M9" s="33" t="s">
        <v>3</v>
      </c>
      <c r="N9" s="33" t="s">
        <v>15</v>
      </c>
      <c r="O9" s="33" t="s">
        <v>16</v>
      </c>
      <c r="P9" s="6"/>
      <c r="Q9" s="26"/>
      <c r="R9" s="26"/>
      <c r="S9" s="26"/>
      <c r="T9" s="26"/>
      <c r="U9" s="6"/>
      <c r="V9" s="22"/>
    </row>
    <row r="10">
      <c r="A10" s="16">
        <v>5.0</v>
      </c>
      <c r="B10" s="16" t="s">
        <v>17</v>
      </c>
      <c r="C10" s="17">
        <v>2871.523875</v>
      </c>
      <c r="D10" s="18"/>
      <c r="E10" s="34">
        <f t="shared" si="1"/>
        <v>-2871.523875</v>
      </c>
      <c r="F10" s="20">
        <f>C10-('Calculo '!$D$33*'Calculo '!B6)</f>
        <v>2871.523875</v>
      </c>
      <c r="G10" s="6"/>
      <c r="H10" s="6"/>
      <c r="J10" s="6"/>
      <c r="K10" s="35"/>
      <c r="L10" s="36">
        <v>0.458333333333333</v>
      </c>
      <c r="M10" s="20">
        <f>M8/COUNT(L10:L22)</f>
        <v>203.4771597</v>
      </c>
      <c r="N10" s="37"/>
      <c r="O10" s="38">
        <f t="shared" ref="O10:O21" si="2">M10-N10</f>
        <v>203.4771597</v>
      </c>
      <c r="P10" s="26"/>
      <c r="Q10" s="26"/>
      <c r="R10" s="26"/>
      <c r="S10" s="26"/>
      <c r="T10" s="26"/>
      <c r="U10" s="26"/>
      <c r="V10" s="22"/>
    </row>
    <row r="11">
      <c r="A11" s="16">
        <v>6.0</v>
      </c>
      <c r="B11" s="16" t="s">
        <v>18</v>
      </c>
      <c r="C11" s="17">
        <v>4812.184208333333</v>
      </c>
      <c r="D11" s="18"/>
      <c r="E11" s="27">
        <f t="shared" si="1"/>
        <v>-4812.184208</v>
      </c>
      <c r="F11" s="20">
        <f>C11-('Calculo '!$D$33*'Calculo '!B7)</f>
        <v>4812.184208</v>
      </c>
      <c r="G11" s="6" t="s">
        <v>19</v>
      </c>
      <c r="H11" s="39">
        <f>SUM(C6:C12)</f>
        <v>22914.25288</v>
      </c>
      <c r="I11" s="40" t="str">
        <f>IF(H12&gt;0,"Parabéns!!!","-")</f>
        <v>-</v>
      </c>
      <c r="J11" s="6"/>
      <c r="K11" s="35"/>
      <c r="L11" s="36">
        <v>0.5</v>
      </c>
      <c r="M11" s="20">
        <f>M10*2</f>
        <v>406.9543194</v>
      </c>
      <c r="N11" s="37"/>
      <c r="O11" s="38">
        <f t="shared" si="2"/>
        <v>406.9543194</v>
      </c>
      <c r="P11" s="26"/>
      <c r="Q11" s="26"/>
      <c r="R11" s="26"/>
      <c r="S11" s="26"/>
      <c r="T11" s="26"/>
      <c r="U11" s="26"/>
      <c r="V11" s="22"/>
    </row>
    <row r="12">
      <c r="A12" s="16">
        <v>7.0</v>
      </c>
      <c r="B12" s="16" t="s">
        <v>20</v>
      </c>
      <c r="C12" s="41">
        <v>4517.609250000001</v>
      </c>
      <c r="D12" s="18"/>
      <c r="E12" s="27">
        <f t="shared" si="1"/>
        <v>-4517.60925</v>
      </c>
      <c r="F12" s="20">
        <f>C12-('Calculo '!$D$33*'Calculo '!B8)</f>
        <v>4517.60925</v>
      </c>
      <c r="G12" s="42" t="str">
        <f>IF(H12&gt;0,"Superávit","Déficit")</f>
        <v>Déficit</v>
      </c>
      <c r="H12" s="43">
        <f>SUM(D6:D12)-H11</f>
        <v>-22914.25288</v>
      </c>
      <c r="I12" s="44"/>
      <c r="J12" s="6"/>
      <c r="K12" s="35"/>
      <c r="L12" s="36">
        <v>0.541666666666667</v>
      </c>
      <c r="M12" s="20">
        <f t="shared" ref="M12:M21" si="3">M11+$M$10</f>
        <v>610.4314792</v>
      </c>
      <c r="N12" s="37"/>
      <c r="O12" s="38">
        <f t="shared" si="2"/>
        <v>610.4314792</v>
      </c>
      <c r="P12" s="26"/>
      <c r="Q12" s="26"/>
      <c r="R12" s="26"/>
      <c r="S12" s="26"/>
      <c r="T12" s="26"/>
      <c r="U12" s="6"/>
      <c r="V12" s="22"/>
    </row>
    <row r="13">
      <c r="A13" s="16">
        <v>8.0</v>
      </c>
      <c r="B13" s="16" t="s">
        <v>7</v>
      </c>
      <c r="C13" s="17">
        <v>2441.725916666667</v>
      </c>
      <c r="D13" s="18"/>
      <c r="E13" s="27">
        <f t="shared" si="1"/>
        <v>-2441.725917</v>
      </c>
      <c r="F13" s="20">
        <f>C13-('Calculo '!$D$33*'Calculo '!B9)</f>
        <v>2441.725917</v>
      </c>
      <c r="G13" s="6"/>
      <c r="H13" s="6"/>
      <c r="J13" s="6"/>
      <c r="K13" s="35"/>
      <c r="L13" s="36">
        <v>0.583333333333333</v>
      </c>
      <c r="M13" s="20">
        <f t="shared" si="3"/>
        <v>813.9086389</v>
      </c>
      <c r="N13" s="37"/>
      <c r="O13" s="38">
        <f t="shared" si="2"/>
        <v>813.9086389</v>
      </c>
      <c r="P13" s="6"/>
      <c r="Q13" s="6"/>
      <c r="R13" s="6"/>
      <c r="S13" s="6"/>
      <c r="T13" s="6"/>
      <c r="U13" s="6"/>
      <c r="V13" s="6"/>
    </row>
    <row r="14">
      <c r="A14" s="16">
        <v>9.0</v>
      </c>
      <c r="B14" s="16" t="s">
        <v>9</v>
      </c>
      <c r="C14" s="17">
        <v>2595.8212500000004</v>
      </c>
      <c r="D14" s="18"/>
      <c r="E14" s="27">
        <f t="shared" si="1"/>
        <v>-2595.82125</v>
      </c>
      <c r="F14" s="20">
        <f>C14-('Calculo '!$D$33*'Calculo '!B10)</f>
        <v>2595.82125</v>
      </c>
      <c r="G14" s="6"/>
      <c r="H14" s="6"/>
      <c r="J14" s="6"/>
      <c r="K14" s="35"/>
      <c r="L14" s="36">
        <v>0.625</v>
      </c>
      <c r="M14" s="20">
        <f t="shared" si="3"/>
        <v>1017.385799</v>
      </c>
      <c r="N14" s="37"/>
      <c r="O14" s="38">
        <f t="shared" si="2"/>
        <v>1017.385799</v>
      </c>
      <c r="P14" s="6"/>
      <c r="Q14" s="6"/>
      <c r="R14" s="6"/>
      <c r="S14" s="6"/>
      <c r="T14" s="6"/>
      <c r="U14" s="6"/>
      <c r="V14" s="6"/>
    </row>
    <row r="15">
      <c r="A15" s="16">
        <v>10.0</v>
      </c>
      <c r="B15" s="16" t="s">
        <v>11</v>
      </c>
      <c r="C15" s="5">
        <v>3050.3744999999994</v>
      </c>
      <c r="D15" s="45"/>
      <c r="E15" s="27">
        <f t="shared" si="1"/>
        <v>-3050.3745</v>
      </c>
      <c r="F15" s="20">
        <f>C15-('Calculo '!$D$33*'Calculo '!B11)</f>
        <v>3050.3745</v>
      </c>
      <c r="G15" s="6"/>
      <c r="H15" s="6"/>
      <c r="J15" s="6"/>
      <c r="K15" s="35"/>
      <c r="L15" s="36">
        <v>0.666666666666667</v>
      </c>
      <c r="M15" s="20">
        <f t="shared" si="3"/>
        <v>1220.862958</v>
      </c>
      <c r="N15" s="37"/>
      <c r="O15" s="38">
        <f t="shared" si="2"/>
        <v>1220.862958</v>
      </c>
      <c r="P15" s="6"/>
      <c r="Q15" s="6"/>
      <c r="R15" s="6"/>
      <c r="S15" s="6"/>
      <c r="T15" s="6"/>
      <c r="U15" s="6"/>
      <c r="V15" s="6"/>
    </row>
    <row r="16" ht="13.5" customHeight="1">
      <c r="A16" s="16">
        <v>11.0</v>
      </c>
      <c r="B16" s="16" t="s">
        <v>13</v>
      </c>
      <c r="C16" s="17">
        <v>2625.0138750000006</v>
      </c>
      <c r="D16" s="45"/>
      <c r="E16" s="27">
        <f t="shared" si="1"/>
        <v>-2625.013875</v>
      </c>
      <c r="F16" s="20">
        <f>C16-('Calculo '!$D$33*'Calculo '!B12)</f>
        <v>2625.013875</v>
      </c>
      <c r="G16" s="6"/>
      <c r="H16" s="6"/>
      <c r="I16" s="6"/>
      <c r="J16" s="6"/>
      <c r="K16" s="35"/>
      <c r="L16" s="36">
        <v>0.708333333333333</v>
      </c>
      <c r="M16" s="20">
        <f t="shared" si="3"/>
        <v>1424.340118</v>
      </c>
      <c r="N16" s="37"/>
      <c r="O16" s="38">
        <f t="shared" si="2"/>
        <v>1424.340118</v>
      </c>
      <c r="P16" s="6"/>
      <c r="Q16" s="6"/>
      <c r="R16" s="6"/>
      <c r="S16" s="6"/>
      <c r="T16" s="6"/>
      <c r="U16" s="6"/>
      <c r="V16" s="6"/>
    </row>
    <row r="17">
      <c r="A17" s="16">
        <v>12.0</v>
      </c>
      <c r="B17" s="16" t="s">
        <v>17</v>
      </c>
      <c r="C17" s="17">
        <v>2871.523875</v>
      </c>
      <c r="D17" s="18"/>
      <c r="E17" s="27">
        <f t="shared" si="1"/>
        <v>-2871.523875</v>
      </c>
      <c r="F17" s="20">
        <f>C17-('Calculo '!$D$33*'Calculo '!B13)</f>
        <v>2871.523875</v>
      </c>
      <c r="G17" s="6"/>
      <c r="H17" s="6"/>
      <c r="I17" s="6"/>
      <c r="J17" s="6"/>
      <c r="K17" s="35"/>
      <c r="L17" s="36">
        <v>0.75</v>
      </c>
      <c r="M17" s="20">
        <f t="shared" si="3"/>
        <v>1627.817278</v>
      </c>
      <c r="N17" s="37"/>
      <c r="O17" s="38">
        <f t="shared" si="2"/>
        <v>1627.817278</v>
      </c>
      <c r="P17" s="6"/>
      <c r="Q17" s="6"/>
      <c r="R17" s="6"/>
      <c r="S17" s="6"/>
      <c r="T17" s="6"/>
      <c r="U17" s="6"/>
      <c r="V17" s="6"/>
    </row>
    <row r="18">
      <c r="A18" s="16">
        <v>13.0</v>
      </c>
      <c r="B18" s="16" t="s">
        <v>18</v>
      </c>
      <c r="C18" s="17">
        <v>4812.184208333333</v>
      </c>
      <c r="D18" s="18"/>
      <c r="E18" s="27">
        <f t="shared" si="1"/>
        <v>-4812.184208</v>
      </c>
      <c r="F18" s="20">
        <f>C18-('Calculo '!$D$33*'Calculo '!B14)</f>
        <v>4812.184208</v>
      </c>
      <c r="J18" s="6"/>
      <c r="K18" s="35"/>
      <c r="L18" s="36">
        <v>0.791666666666667</v>
      </c>
      <c r="M18" s="20">
        <f t="shared" si="3"/>
        <v>1831.294438</v>
      </c>
      <c r="N18" s="37"/>
      <c r="O18" s="38">
        <f t="shared" si="2"/>
        <v>1831.294438</v>
      </c>
      <c r="P18" s="6"/>
      <c r="Q18" s="6"/>
      <c r="R18" s="6"/>
      <c r="S18" s="6"/>
      <c r="T18" s="6"/>
      <c r="U18" s="6"/>
      <c r="V18" s="6"/>
    </row>
    <row r="19">
      <c r="A19" s="16">
        <v>14.0</v>
      </c>
      <c r="B19" s="16" t="s">
        <v>20</v>
      </c>
      <c r="C19" s="41">
        <v>4517.609250000001</v>
      </c>
      <c r="D19" s="18"/>
      <c r="E19" s="27">
        <f t="shared" si="1"/>
        <v>-4517.60925</v>
      </c>
      <c r="F19" s="20">
        <f>C19-('Calculo '!$D$33*'Calculo '!B15)</f>
        <v>4517.60925</v>
      </c>
      <c r="G19" s="6" t="s">
        <v>19</v>
      </c>
      <c r="H19" s="39">
        <f>SUM(C13:C20)</f>
        <v>25355.97879</v>
      </c>
      <c r="I19" s="40" t="str">
        <f>IF(H20&gt;0,"Parabéns!!!","-")</f>
        <v>-</v>
      </c>
      <c r="J19" s="6"/>
      <c r="K19" s="35"/>
      <c r="L19" s="36">
        <v>0.833333333333333</v>
      </c>
      <c r="M19" s="20">
        <f t="shared" si="3"/>
        <v>2034.771597</v>
      </c>
      <c r="N19" s="37"/>
      <c r="O19" s="38">
        <f t="shared" si="2"/>
        <v>2034.771597</v>
      </c>
      <c r="P19" s="6"/>
      <c r="Q19" s="6"/>
      <c r="R19" s="6"/>
      <c r="S19" s="6"/>
      <c r="T19" s="6"/>
      <c r="U19" s="6"/>
      <c r="V19" s="6"/>
    </row>
    <row r="20">
      <c r="A20" s="16">
        <v>15.0</v>
      </c>
      <c r="B20" s="16" t="s">
        <v>7</v>
      </c>
      <c r="C20" s="17">
        <v>2441.725916666667</v>
      </c>
      <c r="D20" s="18"/>
      <c r="E20" s="27">
        <f t="shared" si="1"/>
        <v>-2441.725917</v>
      </c>
      <c r="F20" s="20">
        <f>C20-('Calculo '!$D$33*'Calculo '!B16)</f>
        <v>2441.725917</v>
      </c>
      <c r="G20" s="42" t="str">
        <f>IF(H20&gt;0,"Superávit","Déficit")</f>
        <v>Déficit</v>
      </c>
      <c r="H20" s="43">
        <f>SUM(D13:D20)-H19</f>
        <v>-25355.97879</v>
      </c>
      <c r="I20" s="44"/>
      <c r="J20" s="6"/>
      <c r="K20" s="35"/>
      <c r="L20" s="36">
        <v>0.875</v>
      </c>
      <c r="M20" s="20">
        <f t="shared" si="3"/>
        <v>2238.248757</v>
      </c>
      <c r="N20" s="37"/>
      <c r="O20" s="38">
        <f t="shared" si="2"/>
        <v>2238.248757</v>
      </c>
      <c r="P20" s="6"/>
      <c r="Q20" s="6"/>
      <c r="R20" s="6"/>
      <c r="S20" s="6"/>
      <c r="T20" s="6"/>
      <c r="U20" s="6"/>
      <c r="V20" s="6"/>
    </row>
    <row r="21" ht="15.75" customHeight="1">
      <c r="A21" s="16">
        <v>16.0</v>
      </c>
      <c r="B21" s="16" t="s">
        <v>9</v>
      </c>
      <c r="C21" s="17">
        <v>2595.8212500000004</v>
      </c>
      <c r="D21" s="18"/>
      <c r="E21" s="27">
        <f t="shared" si="1"/>
        <v>-2595.82125</v>
      </c>
      <c r="F21" s="20">
        <f>C21-('Calculo '!$D$33*'Calculo '!B17)</f>
        <v>2595.82125</v>
      </c>
      <c r="G21" s="6"/>
      <c r="H21" s="6"/>
      <c r="J21" s="6"/>
      <c r="K21" s="35"/>
      <c r="L21" s="36">
        <v>0.916666666666667</v>
      </c>
      <c r="M21" s="20">
        <f t="shared" si="3"/>
        <v>2441.725917</v>
      </c>
      <c r="N21" s="37"/>
      <c r="O21" s="38">
        <f t="shared" si="2"/>
        <v>2441.725917</v>
      </c>
      <c r="P21" s="6"/>
      <c r="Q21" s="6"/>
      <c r="R21" s="6"/>
      <c r="S21" s="6"/>
      <c r="T21" s="6"/>
      <c r="U21" s="6"/>
      <c r="V21" s="6"/>
    </row>
    <row r="22" ht="15.75" customHeight="1">
      <c r="A22" s="16">
        <v>17.0</v>
      </c>
      <c r="B22" s="16" t="s">
        <v>11</v>
      </c>
      <c r="C22" s="5">
        <v>3050.3744999999994</v>
      </c>
      <c r="D22" s="18"/>
      <c r="E22" s="27">
        <f t="shared" si="1"/>
        <v>-3050.3745</v>
      </c>
      <c r="F22" s="20">
        <f>C22-('Calculo '!$D$33*'Calculo '!B18)</f>
        <v>3050.3745</v>
      </c>
      <c r="G22" s="6"/>
      <c r="H22" s="6"/>
      <c r="J22" s="6"/>
      <c r="K22" s="46"/>
      <c r="L22" s="6"/>
      <c r="M22" s="6"/>
      <c r="N22" s="6"/>
      <c r="O22" s="30"/>
      <c r="P22" s="6"/>
      <c r="Q22" s="6"/>
      <c r="R22" s="6"/>
      <c r="S22" s="6"/>
      <c r="T22" s="6"/>
      <c r="U22" s="6"/>
      <c r="V22" s="6"/>
    </row>
    <row r="23" ht="15.75" customHeight="1">
      <c r="A23" s="16">
        <v>18.0</v>
      </c>
      <c r="B23" s="16" t="s">
        <v>13</v>
      </c>
      <c r="C23" s="17">
        <v>2625.0138750000006</v>
      </c>
      <c r="D23" s="18"/>
      <c r="E23" s="27">
        <f t="shared" si="1"/>
        <v>-2625.013875</v>
      </c>
      <c r="F23" s="20">
        <f>C23-('Calculo '!$D$33*'Calculo '!B19)</f>
        <v>2625.013875</v>
      </c>
      <c r="G23" s="6"/>
      <c r="H23" s="6"/>
      <c r="I23" s="6"/>
      <c r="J23" s="6"/>
      <c r="K23" s="46"/>
      <c r="L23" s="6"/>
      <c r="M23" s="6"/>
      <c r="N23" s="6"/>
      <c r="O23" s="30"/>
      <c r="P23" s="6"/>
      <c r="Q23" s="6"/>
      <c r="R23" s="6"/>
      <c r="S23" s="6"/>
      <c r="T23" s="6"/>
      <c r="U23" s="6"/>
      <c r="V23" s="6"/>
    </row>
    <row r="24" ht="15.75" customHeight="1">
      <c r="A24" s="16">
        <v>19.0</v>
      </c>
      <c r="B24" s="16" t="s">
        <v>17</v>
      </c>
      <c r="C24" s="17">
        <v>2871.523875</v>
      </c>
      <c r="D24" s="18"/>
      <c r="E24" s="27">
        <f t="shared" si="1"/>
        <v>-2871.523875</v>
      </c>
      <c r="F24" s="20">
        <f>C24-('Calculo '!$D$33*'Calculo '!B20)</f>
        <v>2871.523875</v>
      </c>
      <c r="G24" s="6"/>
      <c r="H24" s="6"/>
      <c r="I24" s="6"/>
      <c r="J24" s="6"/>
      <c r="K24" s="46"/>
      <c r="L24" s="6"/>
      <c r="M24" s="6"/>
      <c r="N24" s="6"/>
      <c r="O24" s="30"/>
      <c r="P24" s="6"/>
      <c r="Q24" s="6"/>
      <c r="R24" s="6"/>
      <c r="S24" s="6"/>
      <c r="T24" s="6"/>
      <c r="U24" s="6"/>
      <c r="V24" s="6"/>
    </row>
    <row r="25" ht="15.75" customHeight="1">
      <c r="A25" s="16">
        <v>20.0</v>
      </c>
      <c r="B25" s="16" t="s">
        <v>18</v>
      </c>
      <c r="C25" s="17">
        <v>4812.184208333333</v>
      </c>
      <c r="D25" s="18"/>
      <c r="E25" s="27">
        <f t="shared" si="1"/>
        <v>-4812.184208</v>
      </c>
      <c r="F25" s="20">
        <f>C25-('Calculo '!$D$33*'Calculo '!B21)</f>
        <v>4812.184208</v>
      </c>
      <c r="J25" s="6"/>
      <c r="K25" s="46"/>
      <c r="L25" s="6"/>
      <c r="M25" s="6"/>
      <c r="N25" s="6"/>
      <c r="O25" s="30"/>
      <c r="P25" s="6"/>
      <c r="Q25" s="6"/>
      <c r="R25" s="6"/>
      <c r="S25" s="6"/>
      <c r="T25" s="6"/>
      <c r="U25" s="6"/>
      <c r="V25" s="6"/>
    </row>
    <row r="26" ht="15.75" customHeight="1">
      <c r="A26" s="16">
        <v>21.0</v>
      </c>
      <c r="B26" s="16" t="s">
        <v>20</v>
      </c>
      <c r="C26" s="41">
        <v>4517.609250000001</v>
      </c>
      <c r="D26" s="18"/>
      <c r="E26" s="27">
        <f t="shared" si="1"/>
        <v>-4517.60925</v>
      </c>
      <c r="F26" s="20">
        <f>C26-('Calculo '!$D$33*'Calculo '!B22)</f>
        <v>4517.60925</v>
      </c>
      <c r="J26" s="6"/>
      <c r="K26" s="46"/>
      <c r="L26" s="6"/>
      <c r="M26" s="6"/>
      <c r="N26" s="6"/>
      <c r="O26" s="30"/>
      <c r="P26" s="6"/>
      <c r="Q26" s="6"/>
      <c r="R26" s="6"/>
      <c r="S26" s="6"/>
      <c r="T26" s="6"/>
      <c r="U26" s="6"/>
      <c r="V26" s="6"/>
    </row>
    <row r="27" ht="15.75" customHeight="1">
      <c r="A27" s="16">
        <v>22.0</v>
      </c>
      <c r="B27" s="16" t="s">
        <v>7</v>
      </c>
      <c r="C27" s="17">
        <v>2441.725916666667</v>
      </c>
      <c r="D27" s="18"/>
      <c r="E27" s="27">
        <f t="shared" si="1"/>
        <v>-2441.725917</v>
      </c>
      <c r="F27" s="20">
        <f>C27-('Calculo '!$D$33*'Calculo '!B23)</f>
        <v>2441.725917</v>
      </c>
      <c r="G27" s="6" t="s">
        <v>19</v>
      </c>
      <c r="H27" s="39">
        <f>SUM(C21:C28)</f>
        <v>25510.07413</v>
      </c>
      <c r="I27" s="40" t="str">
        <f>IF(H28&gt;0,"Parabéns!!!","-")</f>
        <v>-</v>
      </c>
      <c r="J27" s="6"/>
      <c r="K27" s="47"/>
      <c r="L27" s="48"/>
      <c r="M27" s="6"/>
      <c r="N27" s="6"/>
      <c r="O27" s="30"/>
      <c r="P27" s="6"/>
      <c r="Q27" s="6"/>
      <c r="R27" s="6"/>
      <c r="S27" s="6"/>
      <c r="T27" s="6"/>
      <c r="U27" s="6"/>
      <c r="V27" s="6"/>
    </row>
    <row r="28" ht="15.75" customHeight="1">
      <c r="A28" s="16">
        <v>23.0</v>
      </c>
      <c r="B28" s="16" t="s">
        <v>9</v>
      </c>
      <c r="C28" s="17">
        <v>2595.8212500000004</v>
      </c>
      <c r="D28" s="18"/>
      <c r="E28" s="27">
        <f t="shared" si="1"/>
        <v>-2595.82125</v>
      </c>
      <c r="F28" s="20">
        <f>C28-('Calculo '!$D$33*'Calculo '!B24)</f>
        <v>2595.82125</v>
      </c>
      <c r="G28" s="42" t="str">
        <f>IF(H28&gt;0,"Superávit","Déficit")</f>
        <v>Déficit</v>
      </c>
      <c r="H28" s="43">
        <f>SUM(D21:D28)-H27</f>
        <v>-25510.07413</v>
      </c>
      <c r="I28" s="44"/>
      <c r="J28" s="6"/>
      <c r="K28" s="46"/>
      <c r="L28" s="6"/>
      <c r="M28" s="26"/>
      <c r="N28" s="26"/>
      <c r="O28" s="49"/>
      <c r="P28" s="6"/>
      <c r="Q28" s="6"/>
      <c r="R28" s="6"/>
      <c r="S28" s="6"/>
      <c r="T28" s="6"/>
      <c r="U28" s="6"/>
      <c r="V28" s="6"/>
    </row>
    <row r="29" ht="15.75" customHeight="1">
      <c r="A29" s="16">
        <v>24.0</v>
      </c>
      <c r="B29" s="16" t="s">
        <v>11</v>
      </c>
      <c r="C29" s="5">
        <v>3050.3744999999994</v>
      </c>
      <c r="D29" s="18"/>
      <c r="E29" s="27">
        <f t="shared" si="1"/>
        <v>-3050.3745</v>
      </c>
      <c r="F29" s="20">
        <f>C29-('Calculo '!$D$33*'Calculo '!B25)</f>
        <v>3050.3745</v>
      </c>
      <c r="G29" s="6"/>
      <c r="H29" s="6"/>
      <c r="J29" s="6"/>
      <c r="K29" s="50"/>
      <c r="L29" s="51"/>
      <c r="M29" s="26"/>
      <c r="N29" s="26"/>
      <c r="O29" s="49"/>
      <c r="P29" s="6"/>
      <c r="Q29" s="6"/>
      <c r="R29" s="6"/>
      <c r="S29" s="6"/>
      <c r="T29" s="6"/>
      <c r="U29" s="6"/>
      <c r="V29" s="6"/>
    </row>
    <row r="30" ht="15.75" customHeight="1">
      <c r="A30" s="16">
        <v>25.0</v>
      </c>
      <c r="B30" s="16" t="s">
        <v>13</v>
      </c>
      <c r="C30" s="17">
        <v>2625.0138750000006</v>
      </c>
      <c r="D30" s="45"/>
      <c r="E30" s="27">
        <f t="shared" si="1"/>
        <v>-2625.013875</v>
      </c>
      <c r="F30" s="20">
        <f>C30-('Calculo '!$D$33*'Calculo '!B26)</f>
        <v>2625.013875</v>
      </c>
      <c r="G30" s="6"/>
      <c r="H30" s="6"/>
      <c r="I30" s="6"/>
      <c r="J30" s="6"/>
      <c r="K30" s="46"/>
      <c r="L30" s="51"/>
      <c r="M30" s="26"/>
      <c r="N30" s="26"/>
      <c r="O30" s="49"/>
      <c r="P30" s="6"/>
      <c r="Q30" s="6"/>
      <c r="R30" s="6"/>
      <c r="S30" s="6"/>
      <c r="T30" s="6"/>
      <c r="U30" s="6"/>
      <c r="V30" s="6"/>
    </row>
    <row r="31" ht="15.75" customHeight="1">
      <c r="A31" s="16">
        <v>26.0</v>
      </c>
      <c r="B31" s="16" t="s">
        <v>17</v>
      </c>
      <c r="C31" s="17">
        <v>2871.523875</v>
      </c>
      <c r="D31" s="18"/>
      <c r="E31" s="27">
        <f t="shared" si="1"/>
        <v>-2871.523875</v>
      </c>
      <c r="F31" s="20">
        <f>C31-('Calculo '!$D$33*'Calculo '!B27)</f>
        <v>2871.523875</v>
      </c>
      <c r="G31" s="6"/>
      <c r="H31" s="48"/>
      <c r="J31" s="6"/>
      <c r="K31" s="46"/>
      <c r="L31" s="51"/>
      <c r="M31" s="26"/>
      <c r="N31" s="26"/>
      <c r="O31" s="49"/>
      <c r="P31" s="6"/>
      <c r="Q31" s="6"/>
      <c r="R31" s="6"/>
      <c r="S31" s="6"/>
      <c r="T31" s="6"/>
      <c r="U31" s="6"/>
      <c r="V31" s="6"/>
    </row>
    <row r="32" ht="15.75" customHeight="1">
      <c r="A32" s="16">
        <v>27.0</v>
      </c>
      <c r="B32" s="16" t="s">
        <v>18</v>
      </c>
      <c r="C32" s="17">
        <v>4812.184208333333</v>
      </c>
      <c r="D32" s="18"/>
      <c r="E32" s="27">
        <f t="shared" si="1"/>
        <v>-4812.184208</v>
      </c>
      <c r="F32" s="20">
        <f>C32-('Calculo '!$D$33*'Calculo '!B28)</f>
        <v>4812.184208</v>
      </c>
      <c r="J32" s="6"/>
      <c r="K32" s="46"/>
      <c r="L32" s="51"/>
      <c r="M32" s="26"/>
      <c r="N32" s="26"/>
      <c r="O32" s="49"/>
      <c r="P32" s="6"/>
      <c r="Q32" s="6"/>
      <c r="R32" s="6"/>
      <c r="S32" s="6"/>
      <c r="T32" s="6"/>
      <c r="U32" s="6"/>
      <c r="V32" s="6"/>
    </row>
    <row r="33" ht="15.75" customHeight="1">
      <c r="A33" s="16">
        <v>28.0</v>
      </c>
      <c r="B33" s="16" t="s">
        <v>20</v>
      </c>
      <c r="C33" s="41">
        <v>4517.609250000001</v>
      </c>
      <c r="D33" s="18"/>
      <c r="E33" s="27">
        <f t="shared" si="1"/>
        <v>-4517.60925</v>
      </c>
      <c r="F33" s="20">
        <f>C33-('Calculo '!$D$33*'Calculo '!B29)</f>
        <v>4517.60925</v>
      </c>
      <c r="J33" s="6"/>
      <c r="K33" s="46"/>
      <c r="L33" s="51"/>
      <c r="M33" s="26"/>
      <c r="N33" s="26"/>
      <c r="O33" s="30"/>
      <c r="P33" s="6"/>
      <c r="Q33" s="6"/>
      <c r="R33" s="6"/>
      <c r="S33" s="6"/>
      <c r="T33" s="6"/>
      <c r="U33" s="6"/>
      <c r="V33" s="6"/>
    </row>
    <row r="34" ht="15.75" customHeight="1">
      <c r="A34" s="16">
        <v>29.0</v>
      </c>
      <c r="B34" s="16" t="s">
        <v>7</v>
      </c>
      <c r="C34" s="17">
        <v>2441.725916666667</v>
      </c>
      <c r="D34" s="18"/>
      <c r="E34" s="27"/>
      <c r="F34" s="20">
        <f>C34-('Calculo '!$D$33*'Calculo '!B30)</f>
        <v>2441.725917</v>
      </c>
      <c r="G34" s="6" t="s">
        <v>19</v>
      </c>
      <c r="H34" s="39">
        <f>SUM(C29:C35)</f>
        <v>22914.25288</v>
      </c>
      <c r="I34" s="40" t="str">
        <f>IF(H28&gt;0,"Parabéns!!!","-")</f>
        <v>-</v>
      </c>
      <c r="J34" s="6"/>
      <c r="K34" s="46"/>
      <c r="L34" s="51"/>
      <c r="M34" s="26"/>
      <c r="N34" s="26"/>
      <c r="O34" s="30"/>
      <c r="P34" s="6"/>
      <c r="Q34" s="6"/>
      <c r="R34" s="6"/>
      <c r="S34" s="6"/>
      <c r="T34" s="6"/>
      <c r="U34" s="6"/>
      <c r="V34" s="6"/>
    </row>
    <row r="35" ht="15.75" customHeight="1">
      <c r="A35" s="16">
        <v>30.0</v>
      </c>
      <c r="B35" s="16" t="s">
        <v>9</v>
      </c>
      <c r="C35" s="17">
        <v>2595.8212500000004</v>
      </c>
      <c r="D35" s="18"/>
      <c r="E35" s="27"/>
      <c r="F35" s="20">
        <f>C35-('Calculo '!$D$33*'Calculo '!B31)</f>
        <v>2595.82125</v>
      </c>
      <c r="G35" s="42" t="str">
        <f>IF(H35&gt;0,"Superávit","Déficit")</f>
        <v>Déficit</v>
      </c>
      <c r="H35" s="43">
        <f>SUM(D29:D35)-H34</f>
        <v>-22914.25288</v>
      </c>
      <c r="I35" s="44"/>
      <c r="J35" s="6"/>
      <c r="K35" s="46"/>
      <c r="L35" s="51"/>
      <c r="M35" s="26"/>
      <c r="N35" s="26"/>
      <c r="O35" s="49"/>
      <c r="P35" s="6"/>
      <c r="Q35" s="6"/>
      <c r="R35" s="6"/>
      <c r="S35" s="6"/>
      <c r="T35" s="6"/>
      <c r="U35" s="6"/>
      <c r="V35" s="6"/>
    </row>
    <row r="36" ht="15.75" customHeight="1">
      <c r="A36" s="16"/>
      <c r="B36" s="16"/>
      <c r="C36" s="5"/>
      <c r="D36" s="18"/>
      <c r="E36" s="27"/>
      <c r="F36" s="20"/>
      <c r="J36" s="6"/>
      <c r="K36" s="46"/>
      <c r="L36" s="51"/>
      <c r="M36" s="6"/>
      <c r="N36" s="6"/>
      <c r="O36" s="30"/>
      <c r="P36" s="6"/>
      <c r="Q36" s="6"/>
      <c r="R36" s="6"/>
      <c r="S36" s="6"/>
      <c r="T36" s="6"/>
      <c r="U36" s="6"/>
      <c r="V36" s="6"/>
    </row>
    <row r="37" ht="15.75" customHeight="1">
      <c r="A37" s="12" t="s">
        <v>21</v>
      </c>
      <c r="B37" s="13"/>
      <c r="C37" s="52">
        <f t="shared" ref="C37:D37" si="4">SUM(C6:C36)</f>
        <v>96694.55867</v>
      </c>
      <c r="D37" s="53">
        <f t="shared" si="4"/>
        <v>0</v>
      </c>
      <c r="E37" s="4"/>
      <c r="F37" s="20"/>
      <c r="G37" s="22"/>
      <c r="H37" s="54"/>
      <c r="J37" s="6"/>
      <c r="K37" s="46"/>
      <c r="L37" s="6"/>
      <c r="M37" s="55"/>
      <c r="N37" s="6"/>
      <c r="O37" s="30"/>
      <c r="P37" s="6"/>
      <c r="Q37" s="6"/>
      <c r="R37" s="6"/>
      <c r="S37" s="6"/>
      <c r="T37" s="6"/>
      <c r="U37" s="6"/>
      <c r="V37" s="6"/>
    </row>
    <row r="38" ht="15.75" customHeight="1">
      <c r="A38" s="56" t="str">
        <f>IF(D38&gt;0,"Superávit","Déficit")</f>
        <v>Déficit</v>
      </c>
      <c r="B38" s="57"/>
      <c r="C38" s="13"/>
      <c r="D38" s="17">
        <f>D37-B56</f>
        <v>0</v>
      </c>
      <c r="E38" s="4"/>
      <c r="F38" s="20"/>
      <c r="G38" s="6"/>
      <c r="H38" s="6"/>
      <c r="J38" s="6"/>
      <c r="K38" s="46"/>
      <c r="L38" s="6"/>
      <c r="M38" s="55"/>
      <c r="N38" s="6"/>
      <c r="O38" s="30"/>
      <c r="P38" s="6"/>
      <c r="Q38" s="6"/>
      <c r="R38" s="6"/>
      <c r="S38" s="6"/>
      <c r="T38" s="6"/>
      <c r="U38" s="6"/>
      <c r="V38" s="6"/>
    </row>
    <row r="39" ht="15.75" customHeight="1">
      <c r="A39" s="6"/>
      <c r="B39" s="6"/>
      <c r="C39" s="58"/>
      <c r="D39" s="26"/>
      <c r="E39" s="58"/>
      <c r="F39" s="26">
        <f>F40+D37</f>
        <v>0</v>
      </c>
      <c r="G39" s="6"/>
      <c r="H39" s="6"/>
      <c r="J39" s="6"/>
      <c r="K39" s="46"/>
      <c r="L39" s="6"/>
      <c r="M39" s="6"/>
      <c r="N39" s="6"/>
      <c r="O39" s="30"/>
      <c r="P39" s="6"/>
      <c r="Q39" s="6"/>
      <c r="R39" s="6"/>
      <c r="S39" s="6"/>
      <c r="T39" s="6"/>
      <c r="U39" s="6"/>
      <c r="V39" s="6"/>
    </row>
    <row r="40" ht="15.75" customHeight="1">
      <c r="A40" s="6"/>
      <c r="B40" s="6"/>
      <c r="C40" s="58"/>
      <c r="D40" s="26">
        <f>D37/24</f>
        <v>0</v>
      </c>
      <c r="E40" s="58"/>
      <c r="F40" s="26">
        <f>D40*6</f>
        <v>0</v>
      </c>
      <c r="G40" s="6"/>
      <c r="H40" s="6"/>
      <c r="J40" s="6"/>
      <c r="K40" s="59"/>
      <c r="L40" s="60"/>
      <c r="M40" s="60"/>
      <c r="N40" s="60"/>
      <c r="O40" s="61"/>
      <c r="P40" s="6"/>
      <c r="Q40" s="6"/>
      <c r="R40" s="6"/>
      <c r="S40" s="6"/>
      <c r="T40" s="6"/>
      <c r="U40" s="6"/>
      <c r="V40" s="6"/>
    </row>
    <row r="41" ht="15.75" customHeight="1">
      <c r="A41" s="6"/>
      <c r="B41" s="6"/>
      <c r="C41" s="58"/>
      <c r="D41" s="26"/>
      <c r="E41" s="58"/>
      <c r="F41" s="26"/>
      <c r="G41" s="6"/>
      <c r="H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75" customHeight="1">
      <c r="A42" s="6"/>
      <c r="B42" s="6"/>
      <c r="C42" s="58"/>
      <c r="E42" s="58"/>
      <c r="F42" s="26"/>
      <c r="G42" s="6"/>
      <c r="H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75" customHeight="1">
      <c r="A43" s="6"/>
      <c r="B43" s="6"/>
      <c r="C43" s="58"/>
      <c r="E43" s="58"/>
      <c r="F43" s="26"/>
      <c r="G43" s="6"/>
      <c r="H43" s="6"/>
      <c r="J43" s="48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75" customHeight="1">
      <c r="A44" s="6"/>
      <c r="B44" s="6"/>
      <c r="C44" s="58"/>
      <c r="E44" s="58"/>
      <c r="F44" s="26"/>
      <c r="G44" s="6"/>
      <c r="H44" s="6"/>
      <c r="J44" s="48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75" customHeight="1">
      <c r="A45" s="6"/>
      <c r="B45" s="6"/>
      <c r="C45" s="58"/>
      <c r="E45" s="58"/>
      <c r="F45" s="26"/>
      <c r="G45" s="6"/>
      <c r="H45" s="6"/>
      <c r="J45" s="48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75" customHeight="1">
      <c r="A46" s="6"/>
      <c r="B46" s="6"/>
      <c r="C46" s="58"/>
      <c r="E46" s="58"/>
      <c r="F46" s="26"/>
      <c r="G46" s="6"/>
      <c r="H46" s="6"/>
      <c r="J46" s="48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75" customHeight="1">
      <c r="A47" s="6"/>
      <c r="B47" s="6"/>
      <c r="C47" s="58"/>
      <c r="E47" s="58"/>
      <c r="F47" s="26"/>
      <c r="G47" s="6"/>
      <c r="H47" s="6"/>
      <c r="J47" s="48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75" customHeight="1">
      <c r="A48" s="6"/>
      <c r="B48" s="6"/>
      <c r="C48" s="58"/>
      <c r="E48" s="58"/>
      <c r="F48" s="26"/>
      <c r="G48" s="6"/>
      <c r="H48" s="6"/>
      <c r="J48" s="48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5.75" customHeight="1">
      <c r="A49" s="6"/>
      <c r="B49" s="6"/>
      <c r="C49" s="58"/>
      <c r="E49" s="58"/>
      <c r="F49" s="26"/>
      <c r="G49" s="6"/>
      <c r="H49" s="6"/>
      <c r="I49" s="62"/>
      <c r="J49" s="48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5.75" customHeight="1">
      <c r="A50" s="6"/>
      <c r="B50" s="6"/>
      <c r="C50" s="58"/>
      <c r="E50" s="58"/>
      <c r="F50" s="26"/>
      <c r="G50" s="6"/>
      <c r="I50" s="62"/>
      <c r="J50" s="48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5.75" customHeight="1">
      <c r="A51" s="6"/>
      <c r="B51" s="6"/>
      <c r="C51" s="58"/>
      <c r="E51" s="58"/>
      <c r="F51" s="26"/>
      <c r="G51" s="6"/>
      <c r="I51" s="62"/>
      <c r="J51" s="48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ht="15.75" customHeight="1">
      <c r="A52" s="6"/>
      <c r="B52" s="6"/>
      <c r="C52" s="58"/>
      <c r="E52" s="58"/>
      <c r="F52" s="26"/>
      <c r="G52" s="6"/>
      <c r="I52" s="62"/>
      <c r="J52" s="48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ht="15.75" customHeight="1">
      <c r="A53" s="6"/>
      <c r="B53" s="6"/>
      <c r="C53" s="58"/>
      <c r="E53" s="58"/>
      <c r="F53" s="26"/>
      <c r="G53" s="6"/>
      <c r="I53" s="62"/>
      <c r="J53" s="48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ht="15.75" customHeight="1">
      <c r="A54" s="6"/>
      <c r="B54" s="6"/>
      <c r="C54" s="58"/>
      <c r="E54" s="58"/>
      <c r="F54" s="26"/>
      <c r="G54" s="6"/>
      <c r="I54" s="62"/>
      <c r="J54" s="48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ht="15.75" customHeight="1">
      <c r="A55" s="6"/>
      <c r="B55" s="6"/>
      <c r="C55" s="58"/>
      <c r="E55" s="58"/>
      <c r="F55" s="26"/>
      <c r="G55" s="6"/>
      <c r="H55" s="6"/>
      <c r="I55" s="62"/>
      <c r="J55" s="48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ht="15.75" customHeight="1">
      <c r="A56" s="6"/>
      <c r="B56" s="6">
        <f>SUMIF(D6:D36,"&lt;&gt;",C6:C36)</f>
        <v>0</v>
      </c>
      <c r="C56" s="58"/>
      <c r="E56" s="58"/>
      <c r="F56" s="26"/>
      <c r="G56" s="6"/>
      <c r="H56" s="6"/>
      <c r="I56" s="62"/>
      <c r="J56" s="48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ht="15.75" customHeight="1">
      <c r="A57" s="6"/>
      <c r="B57" s="6"/>
      <c r="C57" s="58"/>
      <c r="E57" s="58"/>
      <c r="F57" s="26"/>
      <c r="G57" s="6"/>
      <c r="H57" s="6"/>
      <c r="I57" s="62"/>
      <c r="J57" s="48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ht="15.75" customHeight="1">
      <c r="A58" s="6"/>
      <c r="B58" s="6"/>
      <c r="C58" s="58"/>
      <c r="E58" s="58"/>
      <c r="F58" s="26"/>
      <c r="G58" s="6"/>
      <c r="H58" s="6"/>
      <c r="I58" s="62"/>
      <c r="J58" s="48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ht="15.75" customHeight="1">
      <c r="A59" s="6"/>
      <c r="B59" s="6"/>
      <c r="C59" s="58"/>
      <c r="E59" s="58"/>
      <c r="F59" s="26"/>
      <c r="G59" s="6"/>
      <c r="H59" s="6"/>
      <c r="I59" s="62"/>
      <c r="J59" s="48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ht="15.75" customHeight="1">
      <c r="A60" s="6"/>
      <c r="B60" s="6"/>
      <c r="C60" s="58"/>
      <c r="E60" s="58"/>
      <c r="F60" s="26"/>
      <c r="G60" s="6"/>
      <c r="H60" s="6"/>
      <c r="I60" s="62"/>
      <c r="J60" s="48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ht="15.75" customHeight="1">
      <c r="A61" s="6"/>
      <c r="B61" s="6"/>
      <c r="C61" s="58"/>
      <c r="E61" s="58"/>
      <c r="F61" s="26"/>
      <c r="G61" s="6"/>
      <c r="H61" s="6"/>
      <c r="I61" s="62"/>
      <c r="J61" s="48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ht="15.75" customHeight="1">
      <c r="A62" s="6"/>
      <c r="B62" s="6"/>
      <c r="C62" s="58"/>
      <c r="E62" s="58"/>
      <c r="F62" s="26"/>
      <c r="G62" s="6"/>
      <c r="H62" s="6"/>
      <c r="I62" s="62"/>
      <c r="J62" s="48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ht="15.75" customHeight="1">
      <c r="A63" s="6"/>
      <c r="B63" s="6"/>
      <c r="C63" s="58"/>
      <c r="E63" s="58"/>
      <c r="F63" s="26"/>
      <c r="G63" s="6"/>
      <c r="H63" s="6"/>
      <c r="I63" s="62"/>
      <c r="J63" s="48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ht="15.75" customHeight="1">
      <c r="A64" s="6"/>
      <c r="B64" s="6"/>
      <c r="C64" s="58"/>
      <c r="E64" s="58"/>
      <c r="F64" s="26"/>
      <c r="G64" s="6"/>
      <c r="H64" s="6"/>
      <c r="I64" s="62"/>
      <c r="J64" s="48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ht="15.75" customHeight="1">
      <c r="A65" s="6"/>
      <c r="B65" s="6"/>
      <c r="C65" s="58"/>
      <c r="E65" s="58"/>
      <c r="F65" s="26"/>
      <c r="G65" s="63"/>
      <c r="H65" s="6"/>
      <c r="I65" s="62"/>
      <c r="J65" s="48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ht="15.75" customHeight="1">
      <c r="A66" s="6"/>
      <c r="B66" s="6"/>
      <c r="C66" s="58"/>
      <c r="E66" s="58"/>
      <c r="F66" s="26"/>
      <c r="G66" s="6"/>
      <c r="H66" s="6"/>
      <c r="I66" s="62"/>
      <c r="J66" s="48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ht="15.75" customHeight="1">
      <c r="A67" s="6"/>
      <c r="B67" s="6"/>
      <c r="C67" s="58"/>
      <c r="E67" s="58"/>
      <c r="F67" s="26"/>
      <c r="G67" s="6"/>
      <c r="H67" s="6"/>
      <c r="I67" s="62"/>
      <c r="J67" s="48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ht="15.75" customHeight="1">
      <c r="A68" s="6"/>
      <c r="B68" s="6"/>
      <c r="C68" s="58"/>
      <c r="E68" s="58"/>
      <c r="F68" s="26"/>
      <c r="G68" s="6"/>
      <c r="H68" s="6"/>
      <c r="I68" s="62"/>
      <c r="J68" s="48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ht="15.75" customHeight="1">
      <c r="A69" s="6"/>
      <c r="B69" s="6"/>
      <c r="C69" s="58"/>
      <c r="E69" s="58"/>
      <c r="F69" s="26"/>
      <c r="G69" s="6"/>
      <c r="H69" s="6"/>
      <c r="I69" s="62"/>
      <c r="J69" s="48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ht="15.75" customHeight="1">
      <c r="A70" s="6"/>
      <c r="B70" s="6"/>
      <c r="C70" s="58"/>
      <c r="E70" s="58"/>
      <c r="F70" s="26"/>
      <c r="G70" s="6"/>
      <c r="H70" s="6"/>
      <c r="I70" s="62"/>
      <c r="J70" s="48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ht="15.75" customHeight="1">
      <c r="A71" s="6"/>
      <c r="B71" s="6"/>
      <c r="C71" s="58"/>
      <c r="E71" s="58"/>
      <c r="F71" s="26"/>
      <c r="G71" s="6"/>
      <c r="H71" s="6"/>
      <c r="I71" s="62"/>
      <c r="J71" s="48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ht="15.75" customHeight="1">
      <c r="A72" s="6"/>
      <c r="B72" s="6"/>
      <c r="C72" s="58"/>
      <c r="D72" s="26"/>
      <c r="E72" s="58"/>
      <c r="F72" s="26"/>
      <c r="G72" s="6"/>
      <c r="H72" s="6"/>
      <c r="I72" s="62"/>
      <c r="J72" s="48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ht="15.75" customHeight="1">
      <c r="A73" s="6"/>
      <c r="B73" s="6"/>
      <c r="C73" s="58"/>
      <c r="D73" s="26"/>
      <c r="E73" s="58"/>
      <c r="F73" s="26"/>
      <c r="G73" s="6"/>
      <c r="H73" s="6"/>
      <c r="I73" s="62"/>
      <c r="J73" s="48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ht="15.75" customHeight="1">
      <c r="A74" s="6"/>
      <c r="B74" s="6"/>
      <c r="C74" s="58"/>
      <c r="D74" s="26"/>
      <c r="E74" s="58"/>
      <c r="F74" s="26"/>
      <c r="G74" s="6"/>
      <c r="H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ht="15.75" customHeight="1">
      <c r="A75" s="6"/>
      <c r="B75" s="6"/>
      <c r="C75" s="58"/>
      <c r="D75" s="26"/>
      <c r="E75" s="58"/>
      <c r="F75" s="26"/>
      <c r="G75" s="6"/>
      <c r="H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ht="15.75" customHeight="1">
      <c r="A76" s="6"/>
      <c r="B76" s="6"/>
      <c r="C76" s="58"/>
      <c r="D76" s="26"/>
      <c r="E76" s="58"/>
      <c r="F76" s="26"/>
      <c r="G76" s="6"/>
      <c r="H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ht="15.75" customHeight="1">
      <c r="A77" s="6"/>
      <c r="B77" s="6"/>
      <c r="C77" s="58"/>
      <c r="D77" s="26"/>
      <c r="E77" s="58"/>
      <c r="F77" s="26"/>
      <c r="G77" s="6"/>
      <c r="H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ht="15.75" customHeight="1">
      <c r="A78" s="6"/>
      <c r="B78" s="6"/>
      <c r="C78" s="58"/>
      <c r="D78" s="26"/>
      <c r="E78" s="58"/>
      <c r="F78" s="26"/>
      <c r="G78" s="6"/>
      <c r="H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ht="15.75" customHeight="1">
      <c r="A79" s="6"/>
      <c r="B79" s="6"/>
      <c r="C79" s="58"/>
      <c r="D79" s="26"/>
      <c r="E79" s="58"/>
      <c r="F79" s="26"/>
      <c r="G79" s="6"/>
      <c r="H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ht="15.75" customHeight="1">
      <c r="A80" s="6"/>
      <c r="B80" s="6"/>
      <c r="C80" s="58"/>
      <c r="D80" s="26"/>
      <c r="E80" s="58"/>
      <c r="F80" s="26"/>
      <c r="G80" s="6"/>
      <c r="H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ht="15.75" customHeight="1">
      <c r="A81" s="6"/>
      <c r="B81" s="6"/>
      <c r="C81" s="58"/>
      <c r="D81" s="26"/>
      <c r="E81" s="58"/>
      <c r="F81" s="26"/>
      <c r="G81" s="6"/>
      <c r="H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ht="15.75" customHeight="1">
      <c r="A82" s="6"/>
      <c r="B82" s="6"/>
      <c r="C82" s="58"/>
      <c r="D82" s="26"/>
      <c r="E82" s="58"/>
      <c r="F82" s="26"/>
      <c r="G82" s="6"/>
      <c r="H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ht="15.75" customHeight="1">
      <c r="A83" s="6"/>
      <c r="B83" s="6"/>
      <c r="C83" s="58"/>
      <c r="D83" s="26"/>
      <c r="E83" s="58"/>
      <c r="F83" s="26"/>
      <c r="G83" s="6"/>
      <c r="H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ht="15.75" customHeight="1">
      <c r="A84" s="6"/>
      <c r="B84" s="6"/>
      <c r="C84" s="58"/>
      <c r="D84" s="26"/>
      <c r="E84" s="58"/>
      <c r="F84" s="26"/>
      <c r="G84" s="6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ht="15.75" customHeight="1">
      <c r="A85" s="6"/>
      <c r="B85" s="6"/>
      <c r="C85" s="58"/>
      <c r="D85" s="26"/>
      <c r="E85" s="58"/>
      <c r="F85" s="26"/>
      <c r="G85" s="6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ht="15.75" customHeight="1">
      <c r="A86" s="6"/>
      <c r="B86" s="6"/>
      <c r="C86" s="58"/>
      <c r="D86" s="26"/>
      <c r="E86" s="58"/>
      <c r="F86" s="26"/>
      <c r="G86" s="6"/>
      <c r="H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ht="15.75" customHeight="1">
      <c r="A87" s="6"/>
      <c r="B87" s="6"/>
      <c r="C87" s="58"/>
      <c r="D87" s="26"/>
      <c r="E87" s="58"/>
      <c r="F87" s="26"/>
      <c r="G87" s="6"/>
      <c r="H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ht="15.75" customHeight="1">
      <c r="A88" s="6"/>
      <c r="B88" s="6"/>
      <c r="C88" s="58"/>
      <c r="D88" s="26"/>
      <c r="E88" s="58"/>
      <c r="F88" s="26"/>
      <c r="G88" s="6"/>
      <c r="H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ht="15.75" customHeight="1">
      <c r="A89" s="6"/>
      <c r="B89" s="6"/>
      <c r="C89" s="58"/>
      <c r="D89" s="26"/>
      <c r="E89" s="58"/>
      <c r="F89" s="26"/>
      <c r="G89" s="6"/>
      <c r="H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ht="15.75" customHeight="1">
      <c r="A90" s="6"/>
      <c r="B90" s="6"/>
      <c r="C90" s="58"/>
      <c r="D90" s="26"/>
      <c r="E90" s="58"/>
      <c r="F90" s="26"/>
      <c r="G90" s="6"/>
      <c r="H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ht="15.75" customHeight="1">
      <c r="A91" s="6"/>
      <c r="B91" s="6"/>
      <c r="C91" s="58"/>
      <c r="D91" s="26"/>
      <c r="E91" s="58"/>
      <c r="F91" s="26"/>
      <c r="G91" s="6"/>
      <c r="H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ht="15.75" customHeight="1">
      <c r="A92" s="6"/>
      <c r="B92" s="6"/>
      <c r="C92" s="58"/>
      <c r="D92" s="26"/>
      <c r="E92" s="58"/>
      <c r="F92" s="26"/>
      <c r="G92" s="6"/>
      <c r="H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ht="15.75" customHeight="1">
      <c r="A93" s="6"/>
      <c r="B93" s="6"/>
      <c r="C93" s="58"/>
      <c r="D93" s="26"/>
      <c r="E93" s="58"/>
      <c r="F93" s="26"/>
      <c r="G93" s="6"/>
      <c r="H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ht="15.75" customHeight="1">
      <c r="A94" s="6"/>
      <c r="B94" s="6"/>
      <c r="C94" s="58"/>
      <c r="D94" s="26"/>
      <c r="E94" s="58"/>
      <c r="F94" s="26"/>
      <c r="G94" s="6"/>
      <c r="H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ht="15.75" customHeight="1">
      <c r="A95" s="6"/>
      <c r="B95" s="6"/>
      <c r="C95" s="58"/>
      <c r="D95" s="26"/>
      <c r="E95" s="58"/>
      <c r="F95" s="26"/>
      <c r="G95" s="6"/>
      <c r="H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ht="15.75" customHeight="1">
      <c r="A96" s="6"/>
      <c r="B96" s="6"/>
      <c r="C96" s="58"/>
      <c r="D96" s="26"/>
      <c r="E96" s="58"/>
      <c r="F96" s="26"/>
      <c r="G96" s="6"/>
      <c r="H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ht="15.75" customHeight="1">
      <c r="A97" s="6"/>
      <c r="B97" s="6"/>
      <c r="C97" s="58"/>
      <c r="D97" s="26"/>
      <c r="E97" s="58"/>
      <c r="F97" s="26"/>
      <c r="G97" s="6"/>
      <c r="H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ht="15.75" customHeight="1">
      <c r="A98" s="6"/>
      <c r="B98" s="6"/>
      <c r="C98" s="58"/>
      <c r="D98" s="26"/>
      <c r="E98" s="58"/>
      <c r="F98" s="26"/>
      <c r="G98" s="6"/>
      <c r="H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ht="15.75" customHeight="1">
      <c r="A99" s="6"/>
      <c r="B99" s="6"/>
      <c r="C99" s="58"/>
      <c r="D99" s="26"/>
      <c r="E99" s="58"/>
      <c r="F99" s="26"/>
      <c r="G99" s="6"/>
      <c r="H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ht="15.75" customHeight="1">
      <c r="A100" s="6"/>
      <c r="B100" s="6"/>
      <c r="C100" s="58"/>
      <c r="D100" s="26"/>
      <c r="E100" s="58"/>
      <c r="F100" s="26"/>
      <c r="G100" s="6"/>
      <c r="H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D2"/>
    <mergeCell ref="F1:F4"/>
    <mergeCell ref="A3:D4"/>
    <mergeCell ref="A5:B5"/>
    <mergeCell ref="A37:B37"/>
    <mergeCell ref="A38:C38"/>
  </mergeCells>
  <conditionalFormatting sqref="D6:D36">
    <cfRule type="expression" dxfId="0" priority="1">
      <formula>$D6&gt;=$F6</formula>
    </cfRule>
  </conditionalFormatting>
  <conditionalFormatting sqref="D6:D36">
    <cfRule type="expression" dxfId="1" priority="2">
      <formula>$D6&lt;$F6</formula>
    </cfRule>
  </conditionalFormatting>
  <printOptions/>
  <pageMargins bottom="0.7875" footer="0.0" header="0.0" left="0.511805555555556" right="0.511805555555556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43"/>
    <col customWidth="1" min="2" max="2" width="13.29"/>
    <col customWidth="1" min="3" max="3" width="16.71"/>
    <col customWidth="1" min="4" max="4" width="16.57"/>
    <col customWidth="1" hidden="1" min="5" max="5" width="4.0"/>
    <col customWidth="1" min="6" max="6" width="14.29"/>
    <col customWidth="1" min="7" max="7" width="13.57"/>
    <col customWidth="1" min="8" max="8" width="14.71"/>
    <col customWidth="1" min="9" max="9" width="19.14"/>
    <col customWidth="1" min="10" max="10" width="3.0"/>
    <col customWidth="1" min="11" max="11" width="2.86"/>
    <col customWidth="1" min="12" max="12" width="8.86"/>
    <col customWidth="1" min="13" max="13" width="14.14"/>
    <col customWidth="1" min="14" max="14" width="9.0"/>
    <col customWidth="1" min="15" max="15" width="14.14"/>
    <col customWidth="1" min="16" max="16" width="2.57"/>
    <col customWidth="1" min="17" max="17" width="2.43"/>
    <col customWidth="1" min="18" max="18" width="11.86"/>
    <col customWidth="1" min="19" max="22" width="9.57"/>
  </cols>
  <sheetData>
    <row r="1" ht="15.0" customHeight="1">
      <c r="A1" s="1" t="s">
        <v>0</v>
      </c>
      <c r="B1" s="2"/>
      <c r="C1" s="2"/>
      <c r="D1" s="3"/>
      <c r="E1" s="4"/>
      <c r="F1" s="5"/>
      <c r="G1" s="6"/>
      <c r="H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>
      <c r="A2" s="7"/>
      <c r="B2" s="8"/>
      <c r="C2" s="8"/>
      <c r="D2" s="9"/>
      <c r="E2" s="4"/>
      <c r="F2" s="10"/>
      <c r="G2" s="6"/>
      <c r="H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ht="15.0" customHeight="1">
      <c r="A3" s="1" t="s">
        <v>1</v>
      </c>
      <c r="B3" s="2"/>
      <c r="C3" s="2"/>
      <c r="D3" s="3"/>
      <c r="E3" s="4"/>
      <c r="F3" s="10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>
      <c r="A4" s="7"/>
      <c r="B4" s="8"/>
      <c r="C4" s="8"/>
      <c r="D4" s="9"/>
      <c r="E4" s="4"/>
      <c r="F4" s="11"/>
      <c r="G4" s="6"/>
      <c r="H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ht="15.75" customHeight="1">
      <c r="A5" s="12" t="s">
        <v>2</v>
      </c>
      <c r="B5" s="13"/>
      <c r="C5" s="14" t="s">
        <v>3</v>
      </c>
      <c r="D5" s="15" t="s">
        <v>4</v>
      </c>
      <c r="E5" s="14" t="s">
        <v>5</v>
      </c>
      <c r="F5" s="15" t="s">
        <v>6</v>
      </c>
      <c r="G5" s="6"/>
      <c r="H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>
      <c r="A6" s="16">
        <v>1.0</v>
      </c>
      <c r="B6" s="16" t="s">
        <v>7</v>
      </c>
      <c r="C6" s="17">
        <v>2441.725916666667</v>
      </c>
      <c r="D6" s="18"/>
      <c r="E6" s="19">
        <f t="shared" ref="E6:E33" si="1">C6*-1</f>
        <v>-2441.725917</v>
      </c>
      <c r="F6" s="20">
        <f>C6-('Calculo '!$D$33*'Calculo '!B2)</f>
        <v>2441.725917</v>
      </c>
      <c r="G6" s="6"/>
      <c r="H6" s="21"/>
      <c r="J6" s="22"/>
      <c r="K6" s="23" t="s">
        <v>8</v>
      </c>
      <c r="L6" s="24"/>
      <c r="M6" s="24"/>
      <c r="N6" s="24"/>
      <c r="O6" s="25"/>
      <c r="P6" s="26"/>
      <c r="Q6" s="26"/>
      <c r="R6" s="26"/>
      <c r="S6" s="26"/>
      <c r="T6" s="26"/>
      <c r="U6" s="6"/>
      <c r="V6" s="22"/>
    </row>
    <row r="7">
      <c r="A7" s="16">
        <v>2.0</v>
      </c>
      <c r="B7" s="16" t="s">
        <v>9</v>
      </c>
      <c r="C7" s="17">
        <v>2595.8212500000004</v>
      </c>
      <c r="D7" s="18"/>
      <c r="E7" s="27">
        <f t="shared" si="1"/>
        <v>-2595.82125</v>
      </c>
      <c r="F7" s="20">
        <f>C7-('Calculo '!$D$33*'Calculo '!B3)</f>
        <v>2595.82125</v>
      </c>
      <c r="G7" s="6"/>
      <c r="H7" s="21"/>
      <c r="J7" s="6"/>
      <c r="K7" s="28"/>
      <c r="L7" s="29" t="s">
        <v>10</v>
      </c>
      <c r="M7" s="6"/>
      <c r="N7" s="6"/>
      <c r="O7" s="30"/>
      <c r="P7" s="26"/>
      <c r="Q7" s="26"/>
      <c r="R7" s="26"/>
      <c r="S7" s="26"/>
      <c r="T7" s="26"/>
      <c r="U7" s="6"/>
      <c r="V7" s="22"/>
    </row>
    <row r="8">
      <c r="A8" s="16">
        <v>3.0</v>
      </c>
      <c r="B8" s="16" t="s">
        <v>11</v>
      </c>
      <c r="C8" s="5">
        <v>3050.3744999999994</v>
      </c>
      <c r="D8" s="18"/>
      <c r="E8" s="27">
        <f t="shared" si="1"/>
        <v>-3050.3745</v>
      </c>
      <c r="F8" s="20">
        <f>C8-('Calculo '!$D$33*'Calculo '!B4)</f>
        <v>3050.3745</v>
      </c>
      <c r="G8" s="6"/>
      <c r="H8" s="6"/>
      <c r="J8" s="6"/>
      <c r="K8" s="31"/>
      <c r="L8" s="26" t="s">
        <v>12</v>
      </c>
      <c r="M8" s="32">
        <f t="array" ref="M8">INDEX(F2:F36,MATCH(1,INDEX((D2:D36="")*(F2:F36&lt;&gt;""),0),0))</f>
        <v>2441.725917</v>
      </c>
      <c r="N8" s="26"/>
      <c r="O8" s="30"/>
      <c r="P8" s="26"/>
      <c r="Q8" s="26"/>
      <c r="R8" s="26"/>
      <c r="S8" s="26"/>
      <c r="T8" s="26"/>
      <c r="U8" s="6"/>
      <c r="V8" s="22"/>
    </row>
    <row r="9">
      <c r="A9" s="16">
        <v>4.0</v>
      </c>
      <c r="B9" s="16" t="s">
        <v>13</v>
      </c>
      <c r="C9" s="17">
        <v>2625.0138750000006</v>
      </c>
      <c r="D9" s="18"/>
      <c r="E9" s="27">
        <f t="shared" si="1"/>
        <v>-2625.013875</v>
      </c>
      <c r="F9" s="20">
        <f>C9-('Calculo '!$D$33*'Calculo '!B5)</f>
        <v>2625.013875</v>
      </c>
      <c r="G9" s="6"/>
      <c r="H9" s="6"/>
      <c r="J9" s="6"/>
      <c r="K9" s="31"/>
      <c r="L9" s="33" t="s">
        <v>14</v>
      </c>
      <c r="M9" s="33" t="s">
        <v>3</v>
      </c>
      <c r="N9" s="33" t="s">
        <v>15</v>
      </c>
      <c r="O9" s="33" t="s">
        <v>16</v>
      </c>
      <c r="P9" s="6"/>
      <c r="Q9" s="26"/>
      <c r="R9" s="26"/>
      <c r="S9" s="26"/>
      <c r="T9" s="26"/>
      <c r="U9" s="6"/>
      <c r="V9" s="22"/>
    </row>
    <row r="10">
      <c r="A10" s="16">
        <v>5.0</v>
      </c>
      <c r="B10" s="16" t="s">
        <v>17</v>
      </c>
      <c r="C10" s="17">
        <v>2871.523875</v>
      </c>
      <c r="D10" s="18"/>
      <c r="E10" s="34">
        <f t="shared" si="1"/>
        <v>-2871.523875</v>
      </c>
      <c r="F10" s="20">
        <f>C10-('Calculo '!$D$33*'Calculo '!B6)</f>
        <v>2871.523875</v>
      </c>
      <c r="G10" s="6"/>
      <c r="H10" s="6"/>
      <c r="J10" s="6"/>
      <c r="K10" s="35"/>
      <c r="L10" s="36">
        <v>0.458333333333333</v>
      </c>
      <c r="M10" s="20">
        <f>M8/COUNT(L10:L22)</f>
        <v>203.4771597</v>
      </c>
      <c r="N10" s="37"/>
      <c r="O10" s="38">
        <f t="shared" ref="O10:O21" si="2">M10-N10</f>
        <v>203.4771597</v>
      </c>
      <c r="P10" s="26"/>
      <c r="Q10" s="26"/>
      <c r="R10" s="26"/>
      <c r="S10" s="26"/>
      <c r="T10" s="26"/>
      <c r="U10" s="26"/>
      <c r="V10" s="22"/>
    </row>
    <row r="11">
      <c r="A11" s="16">
        <v>6.0</v>
      </c>
      <c r="B11" s="16" t="s">
        <v>18</v>
      </c>
      <c r="C11" s="17">
        <v>4812.184208333333</v>
      </c>
      <c r="D11" s="18"/>
      <c r="E11" s="27">
        <f t="shared" si="1"/>
        <v>-4812.184208</v>
      </c>
      <c r="F11" s="20">
        <f>C11-('Calculo '!$D$33*'Calculo '!B7)</f>
        <v>4812.184208</v>
      </c>
      <c r="G11" s="6" t="s">
        <v>19</v>
      </c>
      <c r="H11" s="39">
        <f>SUM(C6:C12)</f>
        <v>22914.25288</v>
      </c>
      <c r="I11" s="40" t="str">
        <f>IF(H12&gt;0,"Parabéns!!!","-")</f>
        <v>-</v>
      </c>
      <c r="J11" s="6"/>
      <c r="K11" s="35"/>
      <c r="L11" s="36">
        <v>0.5</v>
      </c>
      <c r="M11" s="20">
        <f>M10*2</f>
        <v>406.9543194</v>
      </c>
      <c r="N11" s="37"/>
      <c r="O11" s="38">
        <f t="shared" si="2"/>
        <v>406.9543194</v>
      </c>
      <c r="P11" s="26"/>
      <c r="Q11" s="26"/>
      <c r="R11" s="26"/>
      <c r="S11" s="26"/>
      <c r="T11" s="26"/>
      <c r="U11" s="26"/>
      <c r="V11" s="22"/>
    </row>
    <row r="12">
      <c r="A12" s="16">
        <v>7.0</v>
      </c>
      <c r="B12" s="16" t="s">
        <v>20</v>
      </c>
      <c r="C12" s="41">
        <v>4517.609250000001</v>
      </c>
      <c r="D12" s="18"/>
      <c r="E12" s="27">
        <f t="shared" si="1"/>
        <v>-4517.60925</v>
      </c>
      <c r="F12" s="20">
        <f>C12-('Calculo '!$D$33*'Calculo '!B8)</f>
        <v>4517.60925</v>
      </c>
      <c r="G12" s="42" t="str">
        <f>IF(H12&gt;0,"Superávit","Déficit")</f>
        <v>Déficit</v>
      </c>
      <c r="H12" s="43">
        <f>SUM(D6:D12)-H11</f>
        <v>-22914.25288</v>
      </c>
      <c r="I12" s="44"/>
      <c r="J12" s="6"/>
      <c r="K12" s="35"/>
      <c r="L12" s="36">
        <v>0.541666666666667</v>
      </c>
      <c r="M12" s="20">
        <f t="shared" ref="M12:M21" si="3">M11+$M$10</f>
        <v>610.4314792</v>
      </c>
      <c r="N12" s="37"/>
      <c r="O12" s="38">
        <f t="shared" si="2"/>
        <v>610.4314792</v>
      </c>
      <c r="P12" s="26"/>
      <c r="Q12" s="26"/>
      <c r="R12" s="26"/>
      <c r="S12" s="26"/>
      <c r="T12" s="26"/>
      <c r="U12" s="6"/>
      <c r="V12" s="22"/>
    </row>
    <row r="13">
      <c r="A13" s="16">
        <v>8.0</v>
      </c>
      <c r="B13" s="16" t="s">
        <v>7</v>
      </c>
      <c r="C13" s="17">
        <v>2441.725916666667</v>
      </c>
      <c r="D13" s="18"/>
      <c r="E13" s="27">
        <f t="shared" si="1"/>
        <v>-2441.725917</v>
      </c>
      <c r="F13" s="20">
        <f>C13-('Calculo '!$D$33*'Calculo '!B9)</f>
        <v>2441.725917</v>
      </c>
      <c r="G13" s="6"/>
      <c r="H13" s="6"/>
      <c r="J13" s="6"/>
      <c r="K13" s="35"/>
      <c r="L13" s="36">
        <v>0.583333333333333</v>
      </c>
      <c r="M13" s="20">
        <f t="shared" si="3"/>
        <v>813.9086389</v>
      </c>
      <c r="N13" s="37"/>
      <c r="O13" s="38">
        <f t="shared" si="2"/>
        <v>813.9086389</v>
      </c>
      <c r="P13" s="6"/>
      <c r="Q13" s="6"/>
      <c r="R13" s="6"/>
      <c r="S13" s="6"/>
      <c r="T13" s="6"/>
      <c r="U13" s="6"/>
      <c r="V13" s="6"/>
    </row>
    <row r="14">
      <c r="A14" s="16">
        <v>9.0</v>
      </c>
      <c r="B14" s="16" t="s">
        <v>9</v>
      </c>
      <c r="C14" s="17">
        <v>2595.8212500000004</v>
      </c>
      <c r="D14" s="18"/>
      <c r="E14" s="27">
        <f t="shared" si="1"/>
        <v>-2595.82125</v>
      </c>
      <c r="F14" s="20">
        <f>C14-('Calculo '!$D$33*'Calculo '!B10)</f>
        <v>2595.82125</v>
      </c>
      <c r="G14" s="6"/>
      <c r="H14" s="6"/>
      <c r="J14" s="6"/>
      <c r="K14" s="35"/>
      <c r="L14" s="36">
        <v>0.625</v>
      </c>
      <c r="M14" s="20">
        <f t="shared" si="3"/>
        <v>1017.385799</v>
      </c>
      <c r="N14" s="37"/>
      <c r="O14" s="38">
        <f t="shared" si="2"/>
        <v>1017.385799</v>
      </c>
      <c r="P14" s="6"/>
      <c r="Q14" s="6"/>
      <c r="R14" s="6"/>
      <c r="S14" s="6"/>
      <c r="T14" s="6"/>
      <c r="U14" s="6"/>
      <c r="V14" s="6"/>
    </row>
    <row r="15">
      <c r="A15" s="16">
        <v>10.0</v>
      </c>
      <c r="B15" s="16" t="s">
        <v>11</v>
      </c>
      <c r="C15" s="5">
        <v>3050.3744999999994</v>
      </c>
      <c r="D15" s="45"/>
      <c r="E15" s="27">
        <f t="shared" si="1"/>
        <v>-3050.3745</v>
      </c>
      <c r="F15" s="20">
        <f>C15-('Calculo '!$D$33*'Calculo '!B11)</f>
        <v>3050.3745</v>
      </c>
      <c r="G15" s="6"/>
      <c r="H15" s="6"/>
      <c r="J15" s="6"/>
      <c r="K15" s="35"/>
      <c r="L15" s="36">
        <v>0.666666666666667</v>
      </c>
      <c r="M15" s="20">
        <f t="shared" si="3"/>
        <v>1220.862958</v>
      </c>
      <c r="N15" s="37"/>
      <c r="O15" s="38">
        <f t="shared" si="2"/>
        <v>1220.862958</v>
      </c>
      <c r="P15" s="6"/>
      <c r="Q15" s="6"/>
      <c r="R15" s="6"/>
      <c r="S15" s="6"/>
      <c r="T15" s="6"/>
      <c r="U15" s="6"/>
      <c r="V15" s="6"/>
    </row>
    <row r="16" ht="13.5" customHeight="1">
      <c r="A16" s="16">
        <v>11.0</v>
      </c>
      <c r="B16" s="16" t="s">
        <v>13</v>
      </c>
      <c r="C16" s="17">
        <v>2625.0138750000006</v>
      </c>
      <c r="D16" s="45"/>
      <c r="E16" s="27">
        <f t="shared" si="1"/>
        <v>-2625.013875</v>
      </c>
      <c r="F16" s="20">
        <f>C16-('Calculo '!$D$33*'Calculo '!B12)</f>
        <v>2625.013875</v>
      </c>
      <c r="G16" s="6"/>
      <c r="H16" s="6"/>
      <c r="I16" s="6"/>
      <c r="J16" s="6"/>
      <c r="K16" s="35"/>
      <c r="L16" s="36">
        <v>0.708333333333333</v>
      </c>
      <c r="M16" s="20">
        <f t="shared" si="3"/>
        <v>1424.340118</v>
      </c>
      <c r="N16" s="37"/>
      <c r="O16" s="38">
        <f t="shared" si="2"/>
        <v>1424.340118</v>
      </c>
      <c r="P16" s="6"/>
      <c r="Q16" s="6"/>
      <c r="R16" s="6"/>
      <c r="S16" s="6"/>
      <c r="T16" s="6"/>
      <c r="U16" s="6"/>
      <c r="V16" s="6"/>
    </row>
    <row r="17">
      <c r="A17" s="16">
        <v>12.0</v>
      </c>
      <c r="B17" s="16" t="s">
        <v>17</v>
      </c>
      <c r="C17" s="17">
        <v>2871.523875</v>
      </c>
      <c r="D17" s="18"/>
      <c r="E17" s="27">
        <f t="shared" si="1"/>
        <v>-2871.523875</v>
      </c>
      <c r="F17" s="20">
        <f>C17-('Calculo '!$D$33*'Calculo '!B13)</f>
        <v>2871.523875</v>
      </c>
      <c r="G17" s="6"/>
      <c r="H17" s="6"/>
      <c r="I17" s="6"/>
      <c r="J17" s="6"/>
      <c r="K17" s="35"/>
      <c r="L17" s="36">
        <v>0.75</v>
      </c>
      <c r="M17" s="20">
        <f t="shared" si="3"/>
        <v>1627.817278</v>
      </c>
      <c r="N17" s="37"/>
      <c r="O17" s="38">
        <f t="shared" si="2"/>
        <v>1627.817278</v>
      </c>
      <c r="P17" s="6"/>
      <c r="Q17" s="6"/>
      <c r="R17" s="6"/>
      <c r="S17" s="6"/>
      <c r="T17" s="6"/>
      <c r="U17" s="6"/>
      <c r="V17" s="6"/>
    </row>
    <row r="18">
      <c r="A18" s="16">
        <v>13.0</v>
      </c>
      <c r="B18" s="16" t="s">
        <v>18</v>
      </c>
      <c r="C18" s="17">
        <v>4812.184208333333</v>
      </c>
      <c r="D18" s="18"/>
      <c r="E18" s="27">
        <f t="shared" si="1"/>
        <v>-4812.184208</v>
      </c>
      <c r="F18" s="20">
        <f>C18-('Calculo '!$D$33*'Calculo '!B14)</f>
        <v>4812.184208</v>
      </c>
      <c r="J18" s="6"/>
      <c r="K18" s="35"/>
      <c r="L18" s="36">
        <v>0.791666666666667</v>
      </c>
      <c r="M18" s="20">
        <f t="shared" si="3"/>
        <v>1831.294438</v>
      </c>
      <c r="N18" s="37"/>
      <c r="O18" s="38">
        <f t="shared" si="2"/>
        <v>1831.294438</v>
      </c>
      <c r="P18" s="6"/>
      <c r="Q18" s="6"/>
      <c r="R18" s="6"/>
      <c r="S18" s="6"/>
      <c r="T18" s="6"/>
      <c r="U18" s="6"/>
      <c r="V18" s="6"/>
    </row>
    <row r="19">
      <c r="A19" s="16">
        <v>14.0</v>
      </c>
      <c r="B19" s="16" t="s">
        <v>20</v>
      </c>
      <c r="C19" s="41">
        <v>4517.609250000001</v>
      </c>
      <c r="D19" s="18"/>
      <c r="E19" s="27">
        <f t="shared" si="1"/>
        <v>-4517.60925</v>
      </c>
      <c r="F19" s="20">
        <f>C19-('Calculo '!$D$33*'Calculo '!B15)</f>
        <v>4517.60925</v>
      </c>
      <c r="G19" s="6" t="s">
        <v>19</v>
      </c>
      <c r="H19" s="39">
        <f>SUM(C13:C20)</f>
        <v>25355.97879</v>
      </c>
      <c r="I19" s="40" t="str">
        <f>IF(H20&gt;0,"Parabéns!!!","-")</f>
        <v>-</v>
      </c>
      <c r="J19" s="6"/>
      <c r="K19" s="35"/>
      <c r="L19" s="36">
        <v>0.833333333333333</v>
      </c>
      <c r="M19" s="20">
        <f t="shared" si="3"/>
        <v>2034.771597</v>
      </c>
      <c r="N19" s="37"/>
      <c r="O19" s="38">
        <f t="shared" si="2"/>
        <v>2034.771597</v>
      </c>
      <c r="P19" s="6"/>
      <c r="Q19" s="6"/>
      <c r="R19" s="6"/>
      <c r="S19" s="6"/>
      <c r="T19" s="6"/>
      <c r="U19" s="6"/>
      <c r="V19" s="6"/>
    </row>
    <row r="20">
      <c r="A20" s="16">
        <v>15.0</v>
      </c>
      <c r="B20" s="16" t="s">
        <v>7</v>
      </c>
      <c r="C20" s="17">
        <v>2441.725916666667</v>
      </c>
      <c r="D20" s="18"/>
      <c r="E20" s="27">
        <f t="shared" si="1"/>
        <v>-2441.725917</v>
      </c>
      <c r="F20" s="20">
        <f>C20-('Calculo '!$D$33*'Calculo '!B16)</f>
        <v>2441.725917</v>
      </c>
      <c r="G20" s="42" t="str">
        <f>IF(H20&gt;0,"Superávit","Déficit")</f>
        <v>Déficit</v>
      </c>
      <c r="H20" s="43">
        <f>SUM(D13:D20)-H19</f>
        <v>-25355.97879</v>
      </c>
      <c r="I20" s="44"/>
      <c r="J20" s="6"/>
      <c r="K20" s="35"/>
      <c r="L20" s="36">
        <v>0.875</v>
      </c>
      <c r="M20" s="20">
        <f t="shared" si="3"/>
        <v>2238.248757</v>
      </c>
      <c r="N20" s="37"/>
      <c r="O20" s="38">
        <f t="shared" si="2"/>
        <v>2238.248757</v>
      </c>
      <c r="P20" s="6"/>
      <c r="Q20" s="6"/>
      <c r="R20" s="6"/>
      <c r="S20" s="6"/>
      <c r="T20" s="6"/>
      <c r="U20" s="6"/>
      <c r="V20" s="6"/>
    </row>
    <row r="21" ht="15.75" customHeight="1">
      <c r="A21" s="16">
        <v>16.0</v>
      </c>
      <c r="B21" s="16" t="s">
        <v>9</v>
      </c>
      <c r="C21" s="17">
        <v>2595.8212500000004</v>
      </c>
      <c r="D21" s="18"/>
      <c r="E21" s="27">
        <f t="shared" si="1"/>
        <v>-2595.82125</v>
      </c>
      <c r="F21" s="20">
        <f>C21-('Calculo '!$D$33*'Calculo '!B17)</f>
        <v>2595.82125</v>
      </c>
      <c r="G21" s="6"/>
      <c r="H21" s="6"/>
      <c r="J21" s="6"/>
      <c r="K21" s="35"/>
      <c r="L21" s="36">
        <v>0.916666666666667</v>
      </c>
      <c r="M21" s="20">
        <f t="shared" si="3"/>
        <v>2441.725917</v>
      </c>
      <c r="N21" s="37"/>
      <c r="O21" s="38">
        <f t="shared" si="2"/>
        <v>2441.725917</v>
      </c>
      <c r="P21" s="6"/>
      <c r="Q21" s="6"/>
      <c r="R21" s="6"/>
      <c r="S21" s="6"/>
      <c r="T21" s="6"/>
      <c r="U21" s="6"/>
      <c r="V21" s="6"/>
    </row>
    <row r="22" ht="15.75" customHeight="1">
      <c r="A22" s="16">
        <v>17.0</v>
      </c>
      <c r="B22" s="16" t="s">
        <v>11</v>
      </c>
      <c r="C22" s="5">
        <v>3050.3744999999994</v>
      </c>
      <c r="D22" s="18"/>
      <c r="E22" s="27">
        <f t="shared" si="1"/>
        <v>-3050.3745</v>
      </c>
      <c r="F22" s="20">
        <f>C22-('Calculo '!$D$33*'Calculo '!B18)</f>
        <v>3050.3745</v>
      </c>
      <c r="G22" s="6"/>
      <c r="H22" s="6"/>
      <c r="J22" s="6"/>
      <c r="K22" s="46"/>
      <c r="L22" s="6"/>
      <c r="M22" s="6"/>
      <c r="N22" s="6"/>
      <c r="O22" s="30"/>
      <c r="P22" s="6"/>
      <c r="Q22" s="6"/>
      <c r="R22" s="6"/>
      <c r="S22" s="6"/>
      <c r="T22" s="6"/>
      <c r="U22" s="6"/>
      <c r="V22" s="6"/>
    </row>
    <row r="23" ht="15.75" customHeight="1">
      <c r="A23" s="16">
        <v>18.0</v>
      </c>
      <c r="B23" s="16" t="s">
        <v>13</v>
      </c>
      <c r="C23" s="17">
        <v>2625.0138750000006</v>
      </c>
      <c r="D23" s="18"/>
      <c r="E23" s="27">
        <f t="shared" si="1"/>
        <v>-2625.013875</v>
      </c>
      <c r="F23" s="20">
        <f>C23-('Calculo '!$D$33*'Calculo '!B19)</f>
        <v>2625.013875</v>
      </c>
      <c r="G23" s="6"/>
      <c r="H23" s="6"/>
      <c r="I23" s="6"/>
      <c r="J23" s="6"/>
      <c r="K23" s="46"/>
      <c r="L23" s="6"/>
      <c r="M23" s="6"/>
      <c r="N23" s="6"/>
      <c r="O23" s="30"/>
      <c r="P23" s="6"/>
      <c r="Q23" s="6"/>
      <c r="R23" s="6"/>
      <c r="S23" s="6"/>
      <c r="T23" s="6"/>
      <c r="U23" s="6"/>
      <c r="V23" s="6"/>
    </row>
    <row r="24" ht="15.75" customHeight="1">
      <c r="A24" s="16">
        <v>19.0</v>
      </c>
      <c r="B24" s="16" t="s">
        <v>17</v>
      </c>
      <c r="C24" s="17">
        <v>2871.523875</v>
      </c>
      <c r="D24" s="18"/>
      <c r="E24" s="27">
        <f t="shared" si="1"/>
        <v>-2871.523875</v>
      </c>
      <c r="F24" s="20">
        <f>C24-('Calculo '!$D$33*'Calculo '!B20)</f>
        <v>2871.523875</v>
      </c>
      <c r="G24" s="6"/>
      <c r="H24" s="6"/>
      <c r="I24" s="6"/>
      <c r="J24" s="6"/>
      <c r="K24" s="46"/>
      <c r="L24" s="6"/>
      <c r="M24" s="6"/>
      <c r="N24" s="6"/>
      <c r="O24" s="30"/>
      <c r="P24" s="6"/>
      <c r="Q24" s="6"/>
      <c r="R24" s="6"/>
      <c r="S24" s="6"/>
      <c r="T24" s="6"/>
      <c r="U24" s="6"/>
      <c r="V24" s="6"/>
    </row>
    <row r="25" ht="15.75" customHeight="1">
      <c r="A25" s="16">
        <v>20.0</v>
      </c>
      <c r="B25" s="16" t="s">
        <v>18</v>
      </c>
      <c r="C25" s="17">
        <v>4812.184208333333</v>
      </c>
      <c r="D25" s="18"/>
      <c r="E25" s="27">
        <f t="shared" si="1"/>
        <v>-4812.184208</v>
      </c>
      <c r="F25" s="20">
        <f>C25-('Calculo '!$D$33*'Calculo '!B21)</f>
        <v>4812.184208</v>
      </c>
      <c r="J25" s="6"/>
      <c r="K25" s="46"/>
      <c r="L25" s="6"/>
      <c r="M25" s="6"/>
      <c r="N25" s="6"/>
      <c r="O25" s="30"/>
      <c r="P25" s="6"/>
      <c r="Q25" s="6"/>
      <c r="R25" s="6"/>
      <c r="S25" s="6"/>
      <c r="T25" s="6"/>
      <c r="U25" s="6"/>
      <c r="V25" s="6"/>
    </row>
    <row r="26" ht="15.75" customHeight="1">
      <c r="A26" s="16">
        <v>21.0</v>
      </c>
      <c r="B26" s="16" t="s">
        <v>20</v>
      </c>
      <c r="C26" s="41">
        <v>4517.609250000001</v>
      </c>
      <c r="D26" s="18"/>
      <c r="E26" s="27">
        <f t="shared" si="1"/>
        <v>-4517.60925</v>
      </c>
      <c r="F26" s="20">
        <f>C26-('Calculo '!$D$33*'Calculo '!B22)</f>
        <v>4517.60925</v>
      </c>
      <c r="J26" s="6"/>
      <c r="K26" s="46"/>
      <c r="L26" s="6"/>
      <c r="M26" s="6"/>
      <c r="N26" s="6"/>
      <c r="O26" s="30"/>
      <c r="P26" s="6"/>
      <c r="Q26" s="6"/>
      <c r="R26" s="6"/>
      <c r="S26" s="6"/>
      <c r="T26" s="6"/>
      <c r="U26" s="6"/>
      <c r="V26" s="6"/>
    </row>
    <row r="27" ht="15.75" customHeight="1">
      <c r="A27" s="16">
        <v>22.0</v>
      </c>
      <c r="B27" s="16" t="s">
        <v>7</v>
      </c>
      <c r="C27" s="17">
        <v>2441.725916666667</v>
      </c>
      <c r="D27" s="18"/>
      <c r="E27" s="27">
        <f t="shared" si="1"/>
        <v>-2441.725917</v>
      </c>
      <c r="F27" s="20">
        <f>C27-('Calculo '!$D$33*'Calculo '!B23)</f>
        <v>2441.725917</v>
      </c>
      <c r="G27" s="6" t="s">
        <v>19</v>
      </c>
      <c r="H27" s="39">
        <f>SUM(C21:C28)</f>
        <v>25510.07413</v>
      </c>
      <c r="I27" s="40" t="str">
        <f>IF(H28&gt;0,"Parabéns!!!","-")</f>
        <v>-</v>
      </c>
      <c r="J27" s="6"/>
      <c r="K27" s="47"/>
      <c r="L27" s="48"/>
      <c r="M27" s="6"/>
      <c r="N27" s="6"/>
      <c r="O27" s="30"/>
      <c r="P27" s="6"/>
      <c r="Q27" s="6"/>
      <c r="R27" s="6"/>
      <c r="S27" s="6"/>
      <c r="T27" s="6"/>
      <c r="U27" s="6"/>
      <c r="V27" s="6"/>
    </row>
    <row r="28" ht="15.75" customHeight="1">
      <c r="A28" s="16">
        <v>23.0</v>
      </c>
      <c r="B28" s="16" t="s">
        <v>9</v>
      </c>
      <c r="C28" s="17">
        <v>2595.8212500000004</v>
      </c>
      <c r="D28" s="18"/>
      <c r="E28" s="27">
        <f t="shared" si="1"/>
        <v>-2595.82125</v>
      </c>
      <c r="F28" s="20">
        <f>C28-('Calculo '!$D$33*'Calculo '!B24)</f>
        <v>2595.82125</v>
      </c>
      <c r="G28" s="42" t="str">
        <f>IF(H28&gt;0,"Superávit","Déficit")</f>
        <v>Déficit</v>
      </c>
      <c r="H28" s="43">
        <f>SUM(D21:D28)-H27</f>
        <v>-25510.07413</v>
      </c>
      <c r="I28" s="44"/>
      <c r="J28" s="6"/>
      <c r="K28" s="46"/>
      <c r="L28" s="6"/>
      <c r="M28" s="26"/>
      <c r="N28" s="26"/>
      <c r="O28" s="49"/>
      <c r="P28" s="6"/>
      <c r="Q28" s="6"/>
      <c r="R28" s="6"/>
      <c r="S28" s="6"/>
      <c r="T28" s="6"/>
      <c r="U28" s="6"/>
      <c r="V28" s="6"/>
    </row>
    <row r="29" ht="15.75" customHeight="1">
      <c r="A29" s="16">
        <v>24.0</v>
      </c>
      <c r="B29" s="16" t="s">
        <v>11</v>
      </c>
      <c r="C29" s="5">
        <v>3050.3744999999994</v>
      </c>
      <c r="D29" s="18"/>
      <c r="E29" s="27">
        <f t="shared" si="1"/>
        <v>-3050.3745</v>
      </c>
      <c r="F29" s="20">
        <f>C29-('Calculo '!$D$33*'Calculo '!B25)</f>
        <v>3050.3745</v>
      </c>
      <c r="G29" s="6"/>
      <c r="H29" s="6"/>
      <c r="J29" s="6"/>
      <c r="K29" s="50"/>
      <c r="L29" s="51"/>
      <c r="M29" s="26"/>
      <c r="N29" s="26"/>
      <c r="O29" s="49"/>
      <c r="P29" s="6"/>
      <c r="Q29" s="6"/>
      <c r="R29" s="6"/>
      <c r="S29" s="6"/>
      <c r="T29" s="6"/>
      <c r="U29" s="6"/>
      <c r="V29" s="6"/>
    </row>
    <row r="30" ht="15.75" customHeight="1">
      <c r="A30" s="16">
        <v>25.0</v>
      </c>
      <c r="B30" s="16" t="s">
        <v>13</v>
      </c>
      <c r="C30" s="17">
        <v>2625.0138750000006</v>
      </c>
      <c r="D30" s="45"/>
      <c r="E30" s="27">
        <f t="shared" si="1"/>
        <v>-2625.013875</v>
      </c>
      <c r="F30" s="20">
        <f>C30-('Calculo '!$D$33*'Calculo '!B26)</f>
        <v>2625.013875</v>
      </c>
      <c r="G30" s="6"/>
      <c r="H30" s="6"/>
      <c r="I30" s="6"/>
      <c r="J30" s="6"/>
      <c r="K30" s="46"/>
      <c r="L30" s="51"/>
      <c r="M30" s="26"/>
      <c r="N30" s="26"/>
      <c r="O30" s="49"/>
      <c r="P30" s="6"/>
      <c r="Q30" s="6"/>
      <c r="R30" s="6"/>
      <c r="S30" s="6"/>
      <c r="T30" s="6"/>
      <c r="U30" s="6"/>
      <c r="V30" s="6"/>
    </row>
    <row r="31" ht="15.75" customHeight="1">
      <c r="A31" s="16">
        <v>26.0</v>
      </c>
      <c r="B31" s="16" t="s">
        <v>17</v>
      </c>
      <c r="C31" s="17">
        <v>2871.523875</v>
      </c>
      <c r="D31" s="18"/>
      <c r="E31" s="27">
        <f t="shared" si="1"/>
        <v>-2871.523875</v>
      </c>
      <c r="F31" s="20">
        <f>C31-('Calculo '!$D$33*'Calculo '!B27)</f>
        <v>2871.523875</v>
      </c>
      <c r="G31" s="6"/>
      <c r="H31" s="48"/>
      <c r="J31" s="6"/>
      <c r="K31" s="46"/>
      <c r="L31" s="51"/>
      <c r="M31" s="26"/>
      <c r="N31" s="26"/>
      <c r="O31" s="49"/>
      <c r="P31" s="6"/>
      <c r="Q31" s="6"/>
      <c r="R31" s="6"/>
      <c r="S31" s="6"/>
      <c r="T31" s="6"/>
      <c r="U31" s="6"/>
      <c r="V31" s="6"/>
    </row>
    <row r="32" ht="15.75" customHeight="1">
      <c r="A32" s="16">
        <v>27.0</v>
      </c>
      <c r="B32" s="16" t="s">
        <v>18</v>
      </c>
      <c r="C32" s="17">
        <v>4812.184208333333</v>
      </c>
      <c r="D32" s="18"/>
      <c r="E32" s="27">
        <f t="shared" si="1"/>
        <v>-4812.184208</v>
      </c>
      <c r="F32" s="20">
        <f>C32-('Calculo '!$D$33*'Calculo '!B28)</f>
        <v>4812.184208</v>
      </c>
      <c r="J32" s="6"/>
      <c r="K32" s="46"/>
      <c r="L32" s="51"/>
      <c r="M32" s="26"/>
      <c r="N32" s="26"/>
      <c r="O32" s="49"/>
      <c r="P32" s="6"/>
      <c r="Q32" s="6"/>
      <c r="R32" s="6"/>
      <c r="S32" s="6"/>
      <c r="T32" s="6"/>
      <c r="U32" s="6"/>
      <c r="V32" s="6"/>
    </row>
    <row r="33" ht="15.75" customHeight="1">
      <c r="A33" s="16">
        <v>28.0</v>
      </c>
      <c r="B33" s="16" t="s">
        <v>20</v>
      </c>
      <c r="C33" s="41">
        <v>4517.609250000001</v>
      </c>
      <c r="D33" s="18"/>
      <c r="E33" s="27">
        <f t="shared" si="1"/>
        <v>-4517.60925</v>
      </c>
      <c r="F33" s="20">
        <f>C33-('Calculo '!$D$33*'Calculo '!B29)</f>
        <v>4517.60925</v>
      </c>
      <c r="J33" s="6"/>
      <c r="K33" s="46"/>
      <c r="L33" s="51"/>
      <c r="M33" s="26"/>
      <c r="N33" s="26"/>
      <c r="O33" s="30"/>
      <c r="P33" s="6"/>
      <c r="Q33" s="6"/>
      <c r="R33" s="6"/>
      <c r="S33" s="6"/>
      <c r="T33" s="6"/>
      <c r="U33" s="6"/>
      <c r="V33" s="6"/>
    </row>
    <row r="34" ht="15.75" customHeight="1">
      <c r="A34" s="16">
        <v>29.0</v>
      </c>
      <c r="B34" s="16" t="s">
        <v>7</v>
      </c>
      <c r="C34" s="17">
        <v>2441.725916666667</v>
      </c>
      <c r="D34" s="18"/>
      <c r="E34" s="27"/>
      <c r="F34" s="20">
        <f>C34-('Calculo '!$D$33*'Calculo '!B30)</f>
        <v>2441.725917</v>
      </c>
      <c r="G34" s="6" t="s">
        <v>19</v>
      </c>
      <c r="H34" s="39">
        <f>SUM(C29:C35)</f>
        <v>22914.25288</v>
      </c>
      <c r="I34" s="40" t="str">
        <f>IF(H28&gt;0,"Parabéns!!!","-")</f>
        <v>-</v>
      </c>
      <c r="J34" s="6"/>
      <c r="K34" s="46"/>
      <c r="L34" s="51"/>
      <c r="M34" s="26"/>
      <c r="N34" s="26"/>
      <c r="O34" s="30"/>
      <c r="P34" s="6"/>
      <c r="Q34" s="6"/>
      <c r="R34" s="6"/>
      <c r="S34" s="6"/>
      <c r="T34" s="6"/>
      <c r="U34" s="6"/>
      <c r="V34" s="6"/>
    </row>
    <row r="35" ht="15.75" customHeight="1">
      <c r="A35" s="16">
        <v>30.0</v>
      </c>
      <c r="B35" s="16" t="s">
        <v>9</v>
      </c>
      <c r="C35" s="17">
        <v>2595.8212500000004</v>
      </c>
      <c r="D35" s="18"/>
      <c r="E35" s="27"/>
      <c r="F35" s="20">
        <f>C35-('Calculo '!$D$33*'Calculo '!B31)</f>
        <v>2595.82125</v>
      </c>
      <c r="G35" s="42" t="str">
        <f>IF(H35&gt;0,"Superávit","Déficit")</f>
        <v>Déficit</v>
      </c>
      <c r="H35" s="43">
        <f>SUM(D29:D35)-H34</f>
        <v>-22914.25288</v>
      </c>
      <c r="I35" s="44"/>
      <c r="J35" s="6"/>
      <c r="K35" s="46"/>
      <c r="L35" s="51"/>
      <c r="M35" s="26"/>
      <c r="N35" s="26"/>
      <c r="O35" s="49"/>
      <c r="P35" s="6"/>
      <c r="Q35" s="6"/>
      <c r="R35" s="6"/>
      <c r="S35" s="6"/>
      <c r="T35" s="6"/>
      <c r="U35" s="6"/>
      <c r="V35" s="6"/>
    </row>
    <row r="36" ht="15.75" customHeight="1">
      <c r="A36" s="16"/>
      <c r="B36" s="16"/>
      <c r="C36" s="5"/>
      <c r="D36" s="18"/>
      <c r="E36" s="27"/>
      <c r="F36" s="20"/>
      <c r="J36" s="6"/>
      <c r="K36" s="46"/>
      <c r="L36" s="51"/>
      <c r="M36" s="6"/>
      <c r="N36" s="6"/>
      <c r="O36" s="30"/>
      <c r="P36" s="6"/>
      <c r="Q36" s="6"/>
      <c r="R36" s="6"/>
      <c r="S36" s="6"/>
      <c r="T36" s="6"/>
      <c r="U36" s="6"/>
      <c r="V36" s="6"/>
    </row>
    <row r="37" ht="15.75" customHeight="1">
      <c r="A37" s="12" t="s">
        <v>21</v>
      </c>
      <c r="B37" s="13"/>
      <c r="C37" s="52">
        <f t="shared" ref="C37:D37" si="4">SUM(C6:C36)</f>
        <v>96694.55867</v>
      </c>
      <c r="D37" s="53">
        <f t="shared" si="4"/>
        <v>0</v>
      </c>
      <c r="E37" s="4"/>
      <c r="F37" s="20"/>
      <c r="G37" s="22"/>
      <c r="H37" s="54"/>
      <c r="J37" s="6"/>
      <c r="K37" s="46"/>
      <c r="L37" s="6"/>
      <c r="M37" s="55"/>
      <c r="N37" s="6"/>
      <c r="O37" s="30"/>
      <c r="P37" s="6"/>
      <c r="Q37" s="6"/>
      <c r="R37" s="6"/>
      <c r="S37" s="6"/>
      <c r="T37" s="6"/>
      <c r="U37" s="6"/>
      <c r="V37" s="6"/>
    </row>
    <row r="38" ht="15.75" customHeight="1">
      <c r="A38" s="56" t="str">
        <f>IF(D38&gt;0,"Superávit","Déficit")</f>
        <v>Déficit</v>
      </c>
      <c r="B38" s="57"/>
      <c r="C38" s="13"/>
      <c r="D38" s="17">
        <f>D37-B56</f>
        <v>0</v>
      </c>
      <c r="E38" s="4"/>
      <c r="F38" s="20"/>
      <c r="G38" s="6"/>
      <c r="H38" s="6"/>
      <c r="J38" s="6"/>
      <c r="K38" s="46"/>
      <c r="L38" s="6"/>
      <c r="M38" s="55"/>
      <c r="N38" s="6"/>
      <c r="O38" s="30"/>
      <c r="P38" s="6"/>
      <c r="Q38" s="6"/>
      <c r="R38" s="6"/>
      <c r="S38" s="6"/>
      <c r="T38" s="6"/>
      <c r="U38" s="6"/>
      <c r="V38" s="6"/>
    </row>
    <row r="39" ht="15.75" customHeight="1">
      <c r="A39" s="6"/>
      <c r="B39" s="6"/>
      <c r="C39" s="58"/>
      <c r="D39" s="26"/>
      <c r="E39" s="58"/>
      <c r="F39" s="26"/>
      <c r="G39" s="6"/>
      <c r="H39" s="6"/>
      <c r="J39" s="6"/>
      <c r="K39" s="46"/>
      <c r="L39" s="6"/>
      <c r="M39" s="6"/>
      <c r="N39" s="6"/>
      <c r="O39" s="30"/>
      <c r="P39" s="6"/>
      <c r="Q39" s="6"/>
      <c r="R39" s="6"/>
      <c r="S39" s="6"/>
      <c r="T39" s="6"/>
      <c r="U39" s="6"/>
      <c r="V39" s="6"/>
    </row>
    <row r="40" ht="15.75" customHeight="1">
      <c r="A40" s="6"/>
      <c r="B40" s="6"/>
      <c r="C40" s="58"/>
      <c r="D40" s="26"/>
      <c r="E40" s="58"/>
      <c r="F40" s="26"/>
      <c r="G40" s="6"/>
      <c r="H40" s="6"/>
      <c r="J40" s="6"/>
      <c r="K40" s="59"/>
      <c r="L40" s="60"/>
      <c r="M40" s="60"/>
      <c r="N40" s="60"/>
      <c r="O40" s="61"/>
      <c r="P40" s="6"/>
      <c r="Q40" s="6"/>
      <c r="R40" s="6"/>
      <c r="S40" s="6"/>
      <c r="T40" s="6"/>
      <c r="U40" s="6"/>
      <c r="V40" s="6"/>
    </row>
    <row r="41" ht="15.75" customHeight="1">
      <c r="A41" s="6"/>
      <c r="B41" s="6"/>
      <c r="C41" s="58"/>
      <c r="D41" s="26"/>
      <c r="E41" s="58"/>
      <c r="F41" s="26"/>
      <c r="G41" s="6"/>
      <c r="H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75" customHeight="1">
      <c r="A42" s="6"/>
      <c r="B42" s="6"/>
      <c r="C42" s="58"/>
      <c r="E42" s="58"/>
      <c r="F42" s="26"/>
      <c r="G42" s="6"/>
      <c r="H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75" customHeight="1">
      <c r="A43" s="6"/>
      <c r="B43" s="6"/>
      <c r="C43" s="58"/>
      <c r="E43" s="58"/>
      <c r="F43" s="26"/>
      <c r="G43" s="6"/>
      <c r="H43" s="6"/>
      <c r="J43" s="48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75" customHeight="1">
      <c r="A44" s="6"/>
      <c r="B44" s="6"/>
      <c r="C44" s="58"/>
      <c r="E44" s="58"/>
      <c r="F44" s="26"/>
      <c r="G44" s="6"/>
      <c r="H44" s="6"/>
      <c r="J44" s="48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75" customHeight="1">
      <c r="A45" s="6"/>
      <c r="B45" s="6"/>
      <c r="C45" s="58"/>
      <c r="E45" s="58"/>
      <c r="F45" s="26"/>
      <c r="G45" s="6"/>
      <c r="H45" s="6"/>
      <c r="J45" s="48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75" customHeight="1">
      <c r="A46" s="6"/>
      <c r="B46" s="6"/>
      <c r="C46" s="58"/>
      <c r="E46" s="58"/>
      <c r="F46" s="26"/>
      <c r="G46" s="6"/>
      <c r="H46" s="6"/>
      <c r="J46" s="48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75" customHeight="1">
      <c r="A47" s="6"/>
      <c r="B47" s="6"/>
      <c r="C47" s="58"/>
      <c r="E47" s="58"/>
      <c r="F47" s="26"/>
      <c r="G47" s="6"/>
      <c r="H47" s="6"/>
      <c r="J47" s="48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75" customHeight="1">
      <c r="A48" s="6"/>
      <c r="B48" s="6"/>
      <c r="C48" s="58"/>
      <c r="E48" s="58"/>
      <c r="F48" s="26"/>
      <c r="G48" s="6"/>
      <c r="H48" s="6"/>
      <c r="J48" s="48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5.75" customHeight="1">
      <c r="A49" s="6"/>
      <c r="B49" s="6"/>
      <c r="C49" s="58"/>
      <c r="E49" s="58"/>
      <c r="F49" s="26"/>
      <c r="G49" s="6"/>
      <c r="H49" s="6"/>
      <c r="I49" s="62"/>
      <c r="J49" s="48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5.75" customHeight="1">
      <c r="A50" s="6"/>
      <c r="B50" s="6"/>
      <c r="C50" s="58"/>
      <c r="E50" s="58"/>
      <c r="F50" s="26"/>
      <c r="G50" s="6"/>
      <c r="I50" s="62"/>
      <c r="J50" s="48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5.75" customHeight="1">
      <c r="A51" s="6"/>
      <c r="B51" s="6"/>
      <c r="C51" s="58"/>
      <c r="E51" s="58"/>
      <c r="F51" s="26"/>
      <c r="G51" s="6"/>
      <c r="I51" s="62"/>
      <c r="J51" s="48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ht="15.75" customHeight="1">
      <c r="A52" s="6"/>
      <c r="B52" s="6"/>
      <c r="C52" s="58"/>
      <c r="E52" s="58"/>
      <c r="F52" s="26"/>
      <c r="G52" s="6"/>
      <c r="I52" s="62"/>
      <c r="J52" s="48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ht="15.75" customHeight="1">
      <c r="A53" s="6"/>
      <c r="B53" s="6"/>
      <c r="C53" s="58"/>
      <c r="E53" s="58"/>
      <c r="F53" s="26"/>
      <c r="G53" s="6"/>
      <c r="I53" s="62"/>
      <c r="J53" s="48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ht="15.75" customHeight="1">
      <c r="A54" s="6"/>
      <c r="B54" s="6"/>
      <c r="C54" s="58"/>
      <c r="E54" s="58"/>
      <c r="F54" s="26"/>
      <c r="G54" s="6"/>
      <c r="I54" s="62"/>
      <c r="J54" s="48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ht="15.75" customHeight="1">
      <c r="A55" s="6"/>
      <c r="B55" s="6"/>
      <c r="C55" s="58"/>
      <c r="E55" s="58"/>
      <c r="F55" s="26"/>
      <c r="G55" s="6"/>
      <c r="H55" s="6"/>
      <c r="I55" s="62"/>
      <c r="J55" s="48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ht="15.75" customHeight="1">
      <c r="A56" s="6"/>
      <c r="B56" s="6">
        <f>SUMIF(D6:D36,"&lt;&gt;",C6:C36)</f>
        <v>0</v>
      </c>
      <c r="C56" s="58"/>
      <c r="E56" s="58"/>
      <c r="F56" s="26"/>
      <c r="G56" s="6"/>
      <c r="H56" s="6"/>
      <c r="I56" s="62"/>
      <c r="J56" s="48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ht="15.75" customHeight="1">
      <c r="A57" s="6"/>
      <c r="B57" s="6"/>
      <c r="C57" s="58"/>
      <c r="E57" s="58"/>
      <c r="F57" s="26"/>
      <c r="G57" s="6"/>
      <c r="H57" s="6"/>
      <c r="I57" s="62"/>
      <c r="J57" s="48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ht="15.75" customHeight="1">
      <c r="A58" s="6"/>
      <c r="B58" s="6"/>
      <c r="C58" s="58"/>
      <c r="E58" s="58"/>
      <c r="F58" s="26"/>
      <c r="G58" s="6"/>
      <c r="H58" s="6"/>
      <c r="I58" s="62"/>
      <c r="J58" s="48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ht="15.75" customHeight="1">
      <c r="A59" s="6"/>
      <c r="B59" s="6"/>
      <c r="C59" s="58"/>
      <c r="E59" s="58"/>
      <c r="F59" s="26"/>
      <c r="G59" s="6"/>
      <c r="H59" s="6"/>
      <c r="I59" s="62"/>
      <c r="J59" s="48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ht="15.75" customHeight="1">
      <c r="A60" s="6"/>
      <c r="B60" s="6"/>
      <c r="C60" s="58"/>
      <c r="E60" s="58"/>
      <c r="F60" s="26"/>
      <c r="G60" s="6"/>
      <c r="H60" s="6"/>
      <c r="I60" s="62"/>
      <c r="J60" s="48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ht="15.75" customHeight="1">
      <c r="A61" s="6"/>
      <c r="B61" s="6"/>
      <c r="C61" s="58"/>
      <c r="E61" s="58"/>
      <c r="F61" s="26"/>
      <c r="G61" s="6"/>
      <c r="H61" s="6"/>
      <c r="I61" s="62"/>
      <c r="J61" s="48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ht="15.75" customHeight="1">
      <c r="A62" s="6"/>
      <c r="B62" s="6"/>
      <c r="C62" s="58"/>
      <c r="E62" s="58"/>
      <c r="F62" s="26"/>
      <c r="G62" s="6"/>
      <c r="H62" s="6"/>
      <c r="I62" s="62"/>
      <c r="J62" s="48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ht="15.75" customHeight="1">
      <c r="A63" s="6"/>
      <c r="B63" s="6"/>
      <c r="C63" s="58"/>
      <c r="E63" s="58"/>
      <c r="F63" s="26"/>
      <c r="G63" s="6"/>
      <c r="H63" s="6"/>
      <c r="I63" s="62"/>
      <c r="J63" s="48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ht="15.75" customHeight="1">
      <c r="A64" s="6"/>
      <c r="B64" s="6"/>
      <c r="C64" s="58"/>
      <c r="E64" s="58"/>
      <c r="F64" s="26"/>
      <c r="G64" s="6"/>
      <c r="H64" s="6"/>
      <c r="I64" s="62"/>
      <c r="J64" s="48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ht="15.75" customHeight="1">
      <c r="A65" s="6"/>
      <c r="B65" s="6"/>
      <c r="C65" s="58"/>
      <c r="E65" s="58"/>
      <c r="F65" s="26"/>
      <c r="G65" s="63"/>
      <c r="H65" s="6"/>
      <c r="I65" s="62"/>
      <c r="J65" s="48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ht="15.75" customHeight="1">
      <c r="A66" s="6"/>
      <c r="B66" s="6"/>
      <c r="C66" s="58"/>
      <c r="E66" s="58"/>
      <c r="F66" s="26"/>
      <c r="G66" s="6"/>
      <c r="H66" s="6"/>
      <c r="I66" s="62"/>
      <c r="J66" s="48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ht="15.75" customHeight="1">
      <c r="A67" s="6"/>
      <c r="B67" s="6"/>
      <c r="C67" s="58"/>
      <c r="E67" s="58"/>
      <c r="F67" s="26"/>
      <c r="G67" s="6"/>
      <c r="H67" s="6"/>
      <c r="I67" s="62"/>
      <c r="J67" s="48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ht="15.75" customHeight="1">
      <c r="A68" s="6"/>
      <c r="B68" s="6"/>
      <c r="C68" s="58"/>
      <c r="E68" s="58"/>
      <c r="F68" s="26"/>
      <c r="G68" s="6"/>
      <c r="H68" s="6"/>
      <c r="I68" s="62"/>
      <c r="J68" s="48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ht="15.75" customHeight="1">
      <c r="A69" s="6"/>
      <c r="B69" s="6"/>
      <c r="C69" s="58"/>
      <c r="E69" s="58"/>
      <c r="F69" s="26"/>
      <c r="G69" s="6"/>
      <c r="H69" s="6"/>
      <c r="I69" s="62"/>
      <c r="J69" s="48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ht="15.75" customHeight="1">
      <c r="A70" s="6"/>
      <c r="B70" s="6"/>
      <c r="C70" s="58"/>
      <c r="E70" s="58"/>
      <c r="F70" s="26"/>
      <c r="G70" s="6"/>
      <c r="H70" s="6"/>
      <c r="I70" s="62"/>
      <c r="J70" s="48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ht="15.75" customHeight="1">
      <c r="A71" s="6"/>
      <c r="B71" s="6"/>
      <c r="C71" s="58"/>
      <c r="E71" s="58"/>
      <c r="F71" s="26"/>
      <c r="G71" s="6"/>
      <c r="H71" s="6"/>
      <c r="I71" s="62"/>
      <c r="J71" s="48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ht="15.75" customHeight="1">
      <c r="A72" s="6"/>
      <c r="B72" s="6"/>
      <c r="C72" s="58"/>
      <c r="D72" s="26"/>
      <c r="E72" s="58"/>
      <c r="F72" s="26"/>
      <c r="G72" s="6"/>
      <c r="H72" s="6"/>
      <c r="I72" s="62"/>
      <c r="J72" s="48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ht="15.75" customHeight="1">
      <c r="A73" s="6"/>
      <c r="B73" s="6"/>
      <c r="C73" s="58"/>
      <c r="D73" s="26"/>
      <c r="E73" s="58"/>
      <c r="F73" s="26"/>
      <c r="G73" s="6"/>
      <c r="H73" s="6"/>
      <c r="I73" s="62"/>
      <c r="J73" s="48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ht="15.75" customHeight="1">
      <c r="A74" s="6"/>
      <c r="B74" s="6"/>
      <c r="C74" s="58"/>
      <c r="D74" s="26"/>
      <c r="E74" s="58"/>
      <c r="F74" s="26"/>
      <c r="G74" s="6"/>
      <c r="H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ht="15.75" customHeight="1">
      <c r="A75" s="6"/>
      <c r="B75" s="6"/>
      <c r="C75" s="58"/>
      <c r="D75" s="26"/>
      <c r="E75" s="58"/>
      <c r="F75" s="26"/>
      <c r="G75" s="6"/>
      <c r="H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ht="15.75" customHeight="1">
      <c r="A76" s="6"/>
      <c r="B76" s="6"/>
      <c r="C76" s="58"/>
      <c r="D76" s="26"/>
      <c r="E76" s="58"/>
      <c r="F76" s="26"/>
      <c r="G76" s="6"/>
      <c r="H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ht="15.75" customHeight="1">
      <c r="A77" s="6"/>
      <c r="B77" s="6"/>
      <c r="C77" s="58"/>
      <c r="D77" s="26"/>
      <c r="E77" s="58"/>
      <c r="F77" s="26"/>
      <c r="G77" s="6"/>
      <c r="H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ht="15.75" customHeight="1">
      <c r="A78" s="6"/>
      <c r="B78" s="6"/>
      <c r="C78" s="58"/>
      <c r="D78" s="26"/>
      <c r="E78" s="58"/>
      <c r="F78" s="26"/>
      <c r="G78" s="6"/>
      <c r="H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ht="15.75" customHeight="1">
      <c r="A79" s="6"/>
      <c r="B79" s="6"/>
      <c r="C79" s="58"/>
      <c r="D79" s="26"/>
      <c r="E79" s="58"/>
      <c r="F79" s="26"/>
      <c r="G79" s="6"/>
      <c r="H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ht="15.75" customHeight="1">
      <c r="A80" s="6"/>
      <c r="B80" s="6"/>
      <c r="C80" s="58"/>
      <c r="D80" s="26"/>
      <c r="E80" s="58"/>
      <c r="F80" s="26"/>
      <c r="G80" s="6"/>
      <c r="H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ht="15.75" customHeight="1">
      <c r="A81" s="6"/>
      <c r="B81" s="6"/>
      <c r="C81" s="58"/>
      <c r="D81" s="26"/>
      <c r="E81" s="58"/>
      <c r="F81" s="26"/>
      <c r="G81" s="6"/>
      <c r="H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ht="15.75" customHeight="1">
      <c r="A82" s="6"/>
      <c r="B82" s="6"/>
      <c r="C82" s="58"/>
      <c r="D82" s="26"/>
      <c r="E82" s="58"/>
      <c r="F82" s="26"/>
      <c r="G82" s="6"/>
      <c r="H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ht="15.75" customHeight="1">
      <c r="A83" s="6"/>
      <c r="B83" s="6"/>
      <c r="C83" s="58"/>
      <c r="D83" s="26"/>
      <c r="E83" s="58"/>
      <c r="F83" s="26"/>
      <c r="G83" s="6"/>
      <c r="H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ht="15.75" customHeight="1">
      <c r="A84" s="6"/>
      <c r="B84" s="6"/>
      <c r="C84" s="58"/>
      <c r="D84" s="26"/>
      <c r="E84" s="58"/>
      <c r="F84" s="26"/>
      <c r="G84" s="6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ht="15.75" customHeight="1">
      <c r="A85" s="6"/>
      <c r="B85" s="6"/>
      <c r="C85" s="58"/>
      <c r="D85" s="26"/>
      <c r="E85" s="58"/>
      <c r="F85" s="26"/>
      <c r="G85" s="6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ht="15.75" customHeight="1">
      <c r="A86" s="6"/>
      <c r="B86" s="6"/>
      <c r="C86" s="58"/>
      <c r="D86" s="26"/>
      <c r="E86" s="58"/>
      <c r="F86" s="26"/>
      <c r="G86" s="6"/>
      <c r="H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ht="15.75" customHeight="1">
      <c r="A87" s="6"/>
      <c r="B87" s="6"/>
      <c r="C87" s="58"/>
      <c r="D87" s="26"/>
      <c r="E87" s="58"/>
      <c r="F87" s="26"/>
      <c r="G87" s="6"/>
      <c r="H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ht="15.75" customHeight="1">
      <c r="A88" s="6"/>
      <c r="B88" s="6"/>
      <c r="C88" s="58"/>
      <c r="D88" s="26"/>
      <c r="E88" s="58"/>
      <c r="F88" s="26"/>
      <c r="G88" s="6"/>
      <c r="H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ht="15.75" customHeight="1">
      <c r="A89" s="6"/>
      <c r="B89" s="6"/>
      <c r="C89" s="58"/>
      <c r="D89" s="26"/>
      <c r="E89" s="58"/>
      <c r="F89" s="26"/>
      <c r="G89" s="6"/>
      <c r="H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ht="15.75" customHeight="1">
      <c r="A90" s="6"/>
      <c r="B90" s="6"/>
      <c r="C90" s="58"/>
      <c r="D90" s="26"/>
      <c r="E90" s="58"/>
      <c r="F90" s="26"/>
      <c r="G90" s="6"/>
      <c r="H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ht="15.75" customHeight="1">
      <c r="A91" s="6"/>
      <c r="B91" s="6"/>
      <c r="C91" s="58"/>
      <c r="D91" s="26"/>
      <c r="E91" s="58"/>
      <c r="F91" s="26"/>
      <c r="G91" s="6"/>
      <c r="H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ht="15.75" customHeight="1">
      <c r="A92" s="6"/>
      <c r="B92" s="6"/>
      <c r="C92" s="58"/>
      <c r="D92" s="26"/>
      <c r="E92" s="58"/>
      <c r="F92" s="26"/>
      <c r="G92" s="6"/>
      <c r="H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ht="15.75" customHeight="1">
      <c r="A93" s="6"/>
      <c r="B93" s="6"/>
      <c r="C93" s="58"/>
      <c r="D93" s="26"/>
      <c r="E93" s="58"/>
      <c r="F93" s="26"/>
      <c r="G93" s="6"/>
      <c r="H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ht="15.75" customHeight="1">
      <c r="A94" s="6"/>
      <c r="B94" s="6"/>
      <c r="C94" s="58"/>
      <c r="D94" s="26"/>
      <c r="E94" s="58"/>
      <c r="F94" s="26"/>
      <c r="G94" s="6"/>
      <c r="H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ht="15.75" customHeight="1">
      <c r="A95" s="6"/>
      <c r="B95" s="6"/>
      <c r="C95" s="58"/>
      <c r="D95" s="26"/>
      <c r="E95" s="58"/>
      <c r="F95" s="26"/>
      <c r="G95" s="6"/>
      <c r="H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ht="15.75" customHeight="1">
      <c r="A96" s="6"/>
      <c r="B96" s="6"/>
      <c r="C96" s="58"/>
      <c r="D96" s="26"/>
      <c r="E96" s="58"/>
      <c r="F96" s="26"/>
      <c r="G96" s="6"/>
      <c r="H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ht="15.75" customHeight="1">
      <c r="A97" s="6"/>
      <c r="B97" s="6"/>
      <c r="C97" s="58"/>
      <c r="D97" s="26"/>
      <c r="E97" s="58"/>
      <c r="F97" s="26"/>
      <c r="G97" s="6"/>
      <c r="H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ht="15.75" customHeight="1">
      <c r="A98" s="6"/>
      <c r="B98" s="6"/>
      <c r="C98" s="58"/>
      <c r="D98" s="26"/>
      <c r="E98" s="58"/>
      <c r="F98" s="26"/>
      <c r="G98" s="6"/>
      <c r="H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ht="15.75" customHeight="1">
      <c r="A99" s="6"/>
      <c r="B99" s="6"/>
      <c r="C99" s="58"/>
      <c r="D99" s="26"/>
      <c r="E99" s="58"/>
      <c r="F99" s="26"/>
      <c r="G99" s="6"/>
      <c r="H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ht="15.75" customHeight="1">
      <c r="A100" s="6"/>
      <c r="B100" s="6"/>
      <c r="C100" s="58"/>
      <c r="D100" s="26"/>
      <c r="E100" s="58"/>
      <c r="F100" s="26"/>
      <c r="G100" s="6"/>
      <c r="H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D2"/>
    <mergeCell ref="F1:F4"/>
    <mergeCell ref="A3:D4"/>
    <mergeCell ref="A5:B5"/>
    <mergeCell ref="A37:B37"/>
    <mergeCell ref="A38:C38"/>
  </mergeCells>
  <conditionalFormatting sqref="D6:D36">
    <cfRule type="expression" dxfId="0" priority="1">
      <formula>$D6&gt;=$F6</formula>
    </cfRule>
  </conditionalFormatting>
  <conditionalFormatting sqref="D6:D36">
    <cfRule type="expression" dxfId="1" priority="2">
      <formula>$D6&lt;$F6</formula>
    </cfRule>
  </conditionalFormatting>
  <printOptions/>
  <pageMargins bottom="0.7875" footer="0.0" header="0.0" left="0.511805555555556" right="0.511805555555556" top="0.78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8.57"/>
    <col customWidth="1" min="3" max="3" width="12.14"/>
    <col customWidth="1" min="4" max="4" width="6.57"/>
    <col customWidth="1" min="5" max="6" width="6.0"/>
  </cols>
  <sheetData>
    <row r="1">
      <c r="B1" s="64" t="s">
        <v>22</v>
      </c>
      <c r="C1" s="65" t="s">
        <v>23</v>
      </c>
      <c r="D1" s="66" t="s">
        <v>24</v>
      </c>
    </row>
    <row r="2">
      <c r="A2" s="66">
        <v>1.0</v>
      </c>
      <c r="B2" s="64">
        <f>Junho!C6/'Calculo '!C2</f>
        <v>0.02525194748</v>
      </c>
      <c r="C2" s="65">
        <f>Junho!$C$37-Junho!$D$37+E2</f>
        <v>96694.55867</v>
      </c>
      <c r="D2" s="66">
        <f>SUMIF(Junho!C6:D6,"&lt;&gt;",Junho!D6:E6)</f>
        <v>0</v>
      </c>
      <c r="E2" s="66">
        <f>SUM(D2)</f>
        <v>0</v>
      </c>
    </row>
    <row r="3">
      <c r="A3" s="66">
        <v>2.0</v>
      </c>
      <c r="B3" s="64">
        <f>Junho!C7/'Calculo '!C3</f>
        <v>0.02684557731</v>
      </c>
      <c r="C3" s="65">
        <f>Junho!$C$37-Junho!$D$37+E3</f>
        <v>96694.55867</v>
      </c>
      <c r="D3" s="66">
        <f>SUMIF(Junho!C7:D7,"&lt;&gt;",Junho!D7:E7)</f>
        <v>0</v>
      </c>
      <c r="E3" s="66">
        <f t="shared" ref="E3:E32" si="1">SUM($D$2:D3)</f>
        <v>0</v>
      </c>
    </row>
    <row r="4">
      <c r="A4" s="66">
        <v>3.0</v>
      </c>
      <c r="B4" s="64">
        <f>Junho!C8/'Calculo '!C4</f>
        <v>0.03154649592</v>
      </c>
      <c r="C4" s="65">
        <f>Junho!$C$37-Junho!$D$37+E4</f>
        <v>96694.55867</v>
      </c>
      <c r="D4" s="66">
        <f>SUMIF(Junho!C8:D8,"&lt;&gt;",Junho!D8:E8)</f>
        <v>0</v>
      </c>
      <c r="E4" s="66">
        <f t="shared" si="1"/>
        <v>0</v>
      </c>
    </row>
    <row r="5">
      <c r="A5" s="66">
        <v>4.0</v>
      </c>
      <c r="B5" s="64">
        <f>Junho!C9/'Calculo '!C5</f>
        <v>0.02714748287</v>
      </c>
      <c r="C5" s="65">
        <f>Junho!$C$37-Junho!$D$37+E5</f>
        <v>96694.55867</v>
      </c>
      <c r="D5" s="66">
        <f>SUMIF(Junho!C9:D9,"&lt;&gt;",Junho!D9:E9)</f>
        <v>0</v>
      </c>
      <c r="E5" s="66">
        <f t="shared" si="1"/>
        <v>0</v>
      </c>
    </row>
    <row r="6">
      <c r="A6" s="66">
        <v>5.0</v>
      </c>
      <c r="B6" s="64">
        <f>Junho!C10/'Calculo '!C6</f>
        <v>0.02969685073</v>
      </c>
      <c r="C6" s="65">
        <f>Junho!$C$37-Junho!$D$37+E6</f>
        <v>96694.55867</v>
      </c>
      <c r="D6" s="66">
        <f>SUMIF(Junho!C10:D10,"&lt;&gt;",Junho!D10:E10)</f>
        <v>0</v>
      </c>
      <c r="E6" s="66">
        <f t="shared" si="1"/>
        <v>0</v>
      </c>
    </row>
    <row r="7">
      <c r="A7" s="66">
        <v>6.0</v>
      </c>
      <c r="B7" s="64">
        <f>Junho!C11/'Calculo '!C7</f>
        <v>0.04976685632</v>
      </c>
      <c r="C7" s="65">
        <f>Junho!$C$37-Junho!$D$37+E7</f>
        <v>96694.55867</v>
      </c>
      <c r="D7" s="66">
        <f>SUMIF(Junho!C11:D11,"&lt;&gt;",Junho!D11:E11)</f>
        <v>0</v>
      </c>
      <c r="E7" s="66">
        <f t="shared" si="1"/>
        <v>0</v>
      </c>
    </row>
    <row r="8">
      <c r="A8" s="66">
        <v>7.0</v>
      </c>
      <c r="B8" s="64">
        <f>Junho!C12/'Calculo '!C8</f>
        <v>0.04672040818</v>
      </c>
      <c r="C8" s="65">
        <f>Junho!$C$37-Junho!$D$37+E8</f>
        <v>96694.55867</v>
      </c>
      <c r="D8" s="66">
        <f>SUMIF(Junho!C12:D12,"&lt;&gt;",Junho!D12:E12)</f>
        <v>0</v>
      </c>
      <c r="E8" s="66">
        <f t="shared" si="1"/>
        <v>0</v>
      </c>
    </row>
    <row r="9">
      <c r="A9" s="66">
        <v>8.0</v>
      </c>
      <c r="B9" s="64">
        <f>Junho!C13/'Calculo '!C9</f>
        <v>0.02525194748</v>
      </c>
      <c r="C9" s="65">
        <f>Junho!$C$37-Junho!$D$37+E9</f>
        <v>96694.55867</v>
      </c>
      <c r="D9" s="66">
        <f>SUMIF(Junho!C13:D13,"&lt;&gt;",Junho!D13:E13)</f>
        <v>0</v>
      </c>
      <c r="E9" s="66">
        <f t="shared" si="1"/>
        <v>0</v>
      </c>
    </row>
    <row r="10">
      <c r="A10" s="66">
        <v>9.0</v>
      </c>
      <c r="B10" s="64">
        <f>Junho!C14/'Calculo '!C10</f>
        <v>0.02684557731</v>
      </c>
      <c r="C10" s="65">
        <f>Junho!$C$37-Junho!$D$37+E10</f>
        <v>96694.55867</v>
      </c>
      <c r="D10" s="66">
        <f>SUMIF(Junho!C14:D14,"&lt;&gt;",Junho!D14:E14)</f>
        <v>0</v>
      </c>
      <c r="E10" s="66">
        <f t="shared" si="1"/>
        <v>0</v>
      </c>
    </row>
    <row r="11">
      <c r="A11" s="66">
        <v>10.0</v>
      </c>
      <c r="B11" s="64">
        <f>Junho!C15/'Calculo '!C11</f>
        <v>0.03154649592</v>
      </c>
      <c r="C11" s="65">
        <f>Junho!$C$37-Junho!$D$37+E11</f>
        <v>96694.55867</v>
      </c>
      <c r="D11" s="66">
        <f>SUMIF(Junho!C15:D15,"&lt;&gt;",Junho!D15:E15)</f>
        <v>0</v>
      </c>
      <c r="E11" s="66">
        <f t="shared" si="1"/>
        <v>0</v>
      </c>
    </row>
    <row r="12">
      <c r="A12" s="66">
        <v>11.0</v>
      </c>
      <c r="B12" s="64">
        <f>Junho!C16/'Calculo '!C12</f>
        <v>0.02714748287</v>
      </c>
      <c r="C12" s="65">
        <f>Junho!$C$37-Junho!$D$37+E12</f>
        <v>96694.55867</v>
      </c>
      <c r="D12" s="66">
        <f>SUMIF(Junho!C16:D16,"&lt;&gt;",Junho!D16:E16)</f>
        <v>0</v>
      </c>
      <c r="E12" s="66">
        <f t="shared" si="1"/>
        <v>0</v>
      </c>
    </row>
    <row r="13">
      <c r="A13" s="66">
        <v>12.0</v>
      </c>
      <c r="B13" s="64">
        <f>Junho!C17/'Calculo '!C13</f>
        <v>0.02969685073</v>
      </c>
      <c r="C13" s="65">
        <f>Junho!$C$37-Junho!$D$37+E13</f>
        <v>96694.55867</v>
      </c>
      <c r="D13" s="66">
        <f>SUMIF(Junho!C17:D17,"&lt;&gt;",Junho!D17:E17)</f>
        <v>0</v>
      </c>
      <c r="E13" s="66">
        <f t="shared" si="1"/>
        <v>0</v>
      </c>
    </row>
    <row r="14">
      <c r="A14" s="66">
        <v>13.0</v>
      </c>
      <c r="B14" s="64">
        <f>Junho!C18/'Calculo '!C14</f>
        <v>0.04976685632</v>
      </c>
      <c r="C14" s="65">
        <f>Junho!$C$37-Junho!$D$37+E14</f>
        <v>96694.55867</v>
      </c>
      <c r="D14" s="66">
        <f>SUMIF(Junho!C18:D18,"&lt;&gt;",Junho!D18:E18)</f>
        <v>0</v>
      </c>
      <c r="E14" s="66">
        <f t="shared" si="1"/>
        <v>0</v>
      </c>
    </row>
    <row r="15">
      <c r="A15" s="66">
        <v>14.0</v>
      </c>
      <c r="B15" s="64">
        <f>Junho!C19/'Calculo '!C15</f>
        <v>0.04672040818</v>
      </c>
      <c r="C15" s="65">
        <f>Junho!$C$37-Junho!$D$37+E15</f>
        <v>96694.55867</v>
      </c>
      <c r="D15" s="66">
        <f>SUMIF(Junho!C19:D19,"&lt;&gt;",Junho!D19:E19)</f>
        <v>0</v>
      </c>
      <c r="E15" s="66">
        <f t="shared" si="1"/>
        <v>0</v>
      </c>
    </row>
    <row r="16">
      <c r="A16" s="66">
        <v>15.0</v>
      </c>
      <c r="B16" s="64">
        <f>Junho!C20/'Calculo '!C16</f>
        <v>0.02525194748</v>
      </c>
      <c r="C16" s="65">
        <f>Junho!$C$37-Junho!$D$37+E16</f>
        <v>96694.55867</v>
      </c>
      <c r="D16" s="66">
        <f>SUMIF(Junho!C20:D20,"&lt;&gt;",Junho!D20:E20)</f>
        <v>0</v>
      </c>
      <c r="E16" s="66">
        <f t="shared" si="1"/>
        <v>0</v>
      </c>
    </row>
    <row r="17">
      <c r="A17" s="66">
        <v>16.0</v>
      </c>
      <c r="B17" s="64">
        <f>Junho!C21/'Calculo '!C17</f>
        <v>0.02684557731</v>
      </c>
      <c r="C17" s="65">
        <f>Junho!$C$37-Junho!$D$37+E17</f>
        <v>96694.55867</v>
      </c>
      <c r="D17" s="66">
        <f>SUMIF(Junho!C21:D21,"&lt;&gt;",Junho!D21:E21)</f>
        <v>0</v>
      </c>
      <c r="E17" s="66">
        <f t="shared" si="1"/>
        <v>0</v>
      </c>
    </row>
    <row r="18">
      <c r="A18" s="66">
        <v>17.0</v>
      </c>
      <c r="B18" s="64">
        <f>Junho!C22/'Calculo '!C18</f>
        <v>0.03154649592</v>
      </c>
      <c r="C18" s="65">
        <f>Junho!$C$37-Junho!$D$37+E18</f>
        <v>96694.55867</v>
      </c>
      <c r="D18" s="66">
        <f>SUMIF(Junho!C22:D22,"&lt;&gt;",Junho!D22:E22)</f>
        <v>0</v>
      </c>
      <c r="E18" s="66">
        <f t="shared" si="1"/>
        <v>0</v>
      </c>
    </row>
    <row r="19">
      <c r="A19" s="66">
        <v>18.0</v>
      </c>
      <c r="B19" s="64">
        <f>Junho!C23/'Calculo '!C19</f>
        <v>0.02714748287</v>
      </c>
      <c r="C19" s="65">
        <f>Junho!$C$37-Junho!$D$37+E19</f>
        <v>96694.55867</v>
      </c>
      <c r="D19" s="66">
        <f>SUMIF(Junho!C23:D23,"&lt;&gt;",Junho!D23:E23)</f>
        <v>0</v>
      </c>
      <c r="E19" s="66">
        <f t="shared" si="1"/>
        <v>0</v>
      </c>
    </row>
    <row r="20">
      <c r="A20" s="66">
        <v>19.0</v>
      </c>
      <c r="B20" s="64">
        <f>Junho!C24/'Calculo '!C20</f>
        <v>0.02969685073</v>
      </c>
      <c r="C20" s="65">
        <f>Junho!$C$37-Junho!$D$37+E20</f>
        <v>96694.55867</v>
      </c>
      <c r="D20" s="66">
        <f>SUMIF(Junho!C24:D24,"&lt;&gt;",Junho!D24:E24)</f>
        <v>0</v>
      </c>
      <c r="E20" s="66">
        <f t="shared" si="1"/>
        <v>0</v>
      </c>
    </row>
    <row r="21" ht="15.75" customHeight="1">
      <c r="A21" s="66">
        <v>20.0</v>
      </c>
      <c r="B21" s="64">
        <f>Junho!C25/'Calculo '!C21</f>
        <v>0.04976685632</v>
      </c>
      <c r="C21" s="65">
        <f>Junho!$C$37-Junho!$D$37+E21</f>
        <v>96694.55867</v>
      </c>
      <c r="D21" s="66">
        <f>SUMIF(Junho!C25:D25,"&lt;&gt;",Junho!D25:E25)</f>
        <v>0</v>
      </c>
      <c r="E21" s="66">
        <f t="shared" si="1"/>
        <v>0</v>
      </c>
    </row>
    <row r="22" ht="15.75" customHeight="1">
      <c r="A22" s="66">
        <v>21.0</v>
      </c>
      <c r="B22" s="64">
        <f>Junho!C26/'Calculo '!C22</f>
        <v>0.04672040818</v>
      </c>
      <c r="C22" s="65">
        <f>Junho!$C$37-Junho!$D$37+E22</f>
        <v>96694.55867</v>
      </c>
      <c r="D22" s="66">
        <f>SUMIF(Junho!C26:D26,"&lt;&gt;",Junho!D26:E26)</f>
        <v>0</v>
      </c>
      <c r="E22" s="66">
        <f t="shared" si="1"/>
        <v>0</v>
      </c>
    </row>
    <row r="23" ht="15.75" customHeight="1">
      <c r="A23" s="66">
        <v>22.0</v>
      </c>
      <c r="B23" s="64">
        <f>Junho!C27/'Calculo '!C23</f>
        <v>0.02525194748</v>
      </c>
      <c r="C23" s="65">
        <f>Junho!$C$37-Junho!$D$37+E23</f>
        <v>96694.55867</v>
      </c>
      <c r="D23" s="66">
        <f>SUMIF(Junho!C27:D27,"&lt;&gt;",Junho!D27:E27)</f>
        <v>0</v>
      </c>
      <c r="E23" s="66">
        <f t="shared" si="1"/>
        <v>0</v>
      </c>
    </row>
    <row r="24" ht="15.75" customHeight="1">
      <c r="A24" s="66">
        <v>23.0</v>
      </c>
      <c r="B24" s="64">
        <f>Junho!C28/'Calculo '!C24</f>
        <v>0.02684557731</v>
      </c>
      <c r="C24" s="65">
        <f>Junho!$C$37-Junho!$D$37+E24</f>
        <v>96694.55867</v>
      </c>
      <c r="D24" s="66">
        <f>SUMIF(Junho!C28:D28,"&lt;&gt;",Junho!D28:E28)</f>
        <v>0</v>
      </c>
      <c r="E24" s="66">
        <f t="shared" si="1"/>
        <v>0</v>
      </c>
    </row>
    <row r="25" ht="15.75" customHeight="1">
      <c r="A25" s="66">
        <v>24.0</v>
      </c>
      <c r="B25" s="64">
        <f>Junho!C29/'Calculo '!C25</f>
        <v>0.03154649592</v>
      </c>
      <c r="C25" s="65">
        <f>Junho!$C$37-Junho!$D$37+E25</f>
        <v>96694.55867</v>
      </c>
      <c r="D25" s="66">
        <f>SUMIF(Junho!C29:D29,"&lt;&gt;",Junho!D29:E29)</f>
        <v>0</v>
      </c>
      <c r="E25" s="66">
        <f t="shared" si="1"/>
        <v>0</v>
      </c>
    </row>
    <row r="26" ht="15.75" customHeight="1">
      <c r="A26" s="66">
        <v>25.0</v>
      </c>
      <c r="B26" s="64">
        <f>Junho!C30/'Calculo '!C26</f>
        <v>0.02714748287</v>
      </c>
      <c r="C26" s="65">
        <f>Junho!$C$37-Junho!$D$37+E26</f>
        <v>96694.55867</v>
      </c>
      <c r="D26" s="66">
        <f>SUMIF(Junho!C30:D30,"&lt;&gt;",Junho!D30:E30)</f>
        <v>0</v>
      </c>
      <c r="E26" s="66">
        <f t="shared" si="1"/>
        <v>0</v>
      </c>
    </row>
    <row r="27" ht="15.75" customHeight="1">
      <c r="A27" s="66">
        <v>26.0</v>
      </c>
      <c r="B27" s="64">
        <f>Junho!C31/'Calculo '!C27</f>
        <v>0.02969685073</v>
      </c>
      <c r="C27" s="65">
        <f>Junho!$C$37-Junho!$D$37+E27</f>
        <v>96694.55867</v>
      </c>
      <c r="D27" s="66">
        <f>SUMIF(Junho!C31:D31,"&lt;&gt;",Junho!D31:E31)</f>
        <v>0</v>
      </c>
      <c r="E27" s="66">
        <f t="shared" si="1"/>
        <v>0</v>
      </c>
    </row>
    <row r="28" ht="15.75" customHeight="1">
      <c r="A28" s="66">
        <v>27.0</v>
      </c>
      <c r="B28" s="64">
        <f>Junho!C32/'Calculo '!C28</f>
        <v>0.04976685632</v>
      </c>
      <c r="C28" s="65">
        <f>Junho!$C$37-Junho!$D$37+E28</f>
        <v>96694.55867</v>
      </c>
      <c r="D28" s="66">
        <f>SUMIF(Junho!C32:D32,"&lt;&gt;",Junho!D32:E32)</f>
        <v>0</v>
      </c>
      <c r="E28" s="66">
        <f t="shared" si="1"/>
        <v>0</v>
      </c>
    </row>
    <row r="29" ht="15.75" customHeight="1">
      <c r="A29" s="66">
        <v>28.0</v>
      </c>
      <c r="B29" s="64">
        <f>Junho!C33/'Calculo '!C29</f>
        <v>0.04672040818</v>
      </c>
      <c r="C29" s="65">
        <f>Junho!$C$37-Junho!$D$37+E29</f>
        <v>96694.55867</v>
      </c>
      <c r="D29" s="66">
        <f>SUMIF(Junho!C33:D33,"&lt;&gt;",Junho!D33:E33)</f>
        <v>0</v>
      </c>
      <c r="E29" s="66">
        <f t="shared" si="1"/>
        <v>0</v>
      </c>
    </row>
    <row r="30" ht="15.75" customHeight="1">
      <c r="A30" s="66">
        <v>29.0</v>
      </c>
      <c r="B30" s="64">
        <f>Junho!C34/'Calculo '!C30</f>
        <v>0.02525194748</v>
      </c>
      <c r="C30" s="65">
        <f>Junho!$C$37-Junho!$D$37+E30</f>
        <v>96694.55867</v>
      </c>
      <c r="D30" s="66">
        <f>SUMIF(Junho!C34:D34,"&lt;&gt;",Junho!D34:E34)</f>
        <v>0</v>
      </c>
      <c r="E30" s="66">
        <f t="shared" si="1"/>
        <v>0</v>
      </c>
    </row>
    <row r="31" ht="15.75" customHeight="1">
      <c r="A31" s="66">
        <v>30.0</v>
      </c>
      <c r="B31" s="64">
        <f>Junho!C35/'Calculo '!C31</f>
        <v>0.02684557731</v>
      </c>
      <c r="C31" s="65">
        <f>Junho!$C$37-Junho!$D$37+E31</f>
        <v>96694.55867</v>
      </c>
      <c r="D31" s="66">
        <f>SUMIF(Junho!C35:D35,"&lt;&gt;",Junho!D35:E35)</f>
        <v>0</v>
      </c>
      <c r="E31" s="66">
        <f t="shared" si="1"/>
        <v>0</v>
      </c>
    </row>
    <row r="32" ht="15.75" customHeight="1">
      <c r="A32" s="66">
        <v>31.0</v>
      </c>
      <c r="B32" s="64">
        <f>Junho!C36/'Calculo '!C32</f>
        <v>0</v>
      </c>
      <c r="C32" s="65">
        <f>Junho!$C$37-Junho!$D$37+E32</f>
        <v>96694.55867</v>
      </c>
      <c r="D32" s="66">
        <f>SUMIF(Junho!C36:D36,"&lt;&gt;",Junho!D36:E36)</f>
        <v>0</v>
      </c>
      <c r="E32" s="66">
        <f t="shared" si="1"/>
        <v>0</v>
      </c>
    </row>
    <row r="33" ht="15.75" customHeight="1">
      <c r="B33" s="64"/>
      <c r="C33" s="65"/>
      <c r="D33" s="66">
        <f>SUM(D2:D32)</f>
        <v>0</v>
      </c>
    </row>
    <row r="34" ht="15.75" customHeight="1">
      <c r="B34" s="64"/>
      <c r="C34" s="65"/>
    </row>
    <row r="35" ht="15.75" customHeight="1">
      <c r="B35" s="64"/>
      <c r="C35" s="65"/>
    </row>
    <row r="36" ht="15.75" customHeight="1">
      <c r="B36" s="64"/>
      <c r="C36" s="65"/>
    </row>
    <row r="37" ht="15.75" customHeight="1">
      <c r="B37" s="64"/>
      <c r="C37" s="65"/>
    </row>
    <row r="38" ht="15.75" customHeight="1">
      <c r="B38" s="64"/>
      <c r="C38" s="65"/>
    </row>
    <row r="39" ht="15.75" customHeight="1">
      <c r="B39" s="64"/>
      <c r="C39" s="65"/>
    </row>
    <row r="40" ht="15.75" customHeight="1">
      <c r="B40" s="64"/>
      <c r="C40" s="65"/>
    </row>
    <row r="41" ht="15.75" customHeight="1">
      <c r="B41" s="64"/>
      <c r="C41" s="65"/>
    </row>
    <row r="42" ht="15.75" customHeight="1">
      <c r="B42" s="64"/>
      <c r="C42" s="65"/>
    </row>
    <row r="43" ht="15.75" customHeight="1">
      <c r="B43" s="64"/>
      <c r="C43" s="65"/>
    </row>
    <row r="44" ht="15.75" customHeight="1">
      <c r="B44" s="64"/>
      <c r="C44" s="65"/>
    </row>
    <row r="45" ht="15.75" customHeight="1">
      <c r="B45" s="64"/>
      <c r="C45" s="65"/>
    </row>
    <row r="46" ht="15.75" customHeight="1">
      <c r="B46" s="64"/>
      <c r="C46" s="65"/>
    </row>
    <row r="47" ht="15.75" customHeight="1">
      <c r="B47" s="64"/>
      <c r="C47" s="65"/>
    </row>
    <row r="48" ht="15.75" customHeight="1">
      <c r="B48" s="64"/>
      <c r="C48" s="65"/>
    </row>
    <row r="49" ht="15.75" customHeight="1">
      <c r="B49" s="64"/>
      <c r="C49" s="65"/>
    </row>
    <row r="50" ht="15.75" customHeight="1">
      <c r="B50" s="64"/>
      <c r="C50" s="65"/>
    </row>
    <row r="51" ht="15.75" customHeight="1">
      <c r="B51" s="64"/>
      <c r="C51" s="65"/>
    </row>
    <row r="52" ht="15.75" customHeight="1">
      <c r="B52" s="64"/>
      <c r="C52" s="65"/>
    </row>
    <row r="53" ht="15.75" customHeight="1">
      <c r="B53" s="64"/>
      <c r="C53" s="65"/>
    </row>
    <row r="54" ht="15.75" customHeight="1">
      <c r="B54" s="64"/>
      <c r="C54" s="65"/>
    </row>
    <row r="55" ht="15.75" customHeight="1">
      <c r="B55" s="64"/>
      <c r="C55" s="65"/>
    </row>
    <row r="56" ht="15.75" customHeight="1">
      <c r="B56" s="64"/>
      <c r="C56" s="65"/>
    </row>
    <row r="57" ht="15.75" customHeight="1">
      <c r="B57" s="64"/>
      <c r="C57" s="65"/>
    </row>
    <row r="58" ht="15.75" customHeight="1">
      <c r="B58" s="64"/>
      <c r="C58" s="65"/>
    </row>
    <row r="59" ht="15.75" customHeight="1">
      <c r="B59" s="64"/>
      <c r="C59" s="65"/>
    </row>
    <row r="60" ht="15.75" customHeight="1">
      <c r="B60" s="64"/>
      <c r="C60" s="65"/>
    </row>
    <row r="61" ht="15.75" customHeight="1">
      <c r="B61" s="64"/>
      <c r="C61" s="65"/>
    </row>
    <row r="62" ht="15.75" customHeight="1">
      <c r="B62" s="64"/>
      <c r="C62" s="65"/>
    </row>
    <row r="63" ht="15.75" customHeight="1">
      <c r="B63" s="64"/>
      <c r="C63" s="65"/>
    </row>
    <row r="64" ht="15.75" customHeight="1">
      <c r="B64" s="64"/>
      <c r="C64" s="65"/>
    </row>
    <row r="65" ht="15.75" customHeight="1">
      <c r="B65" s="64"/>
      <c r="C65" s="65"/>
    </row>
    <row r="66" ht="15.75" customHeight="1">
      <c r="B66" s="64"/>
      <c r="C66" s="65"/>
    </row>
    <row r="67" ht="15.75" customHeight="1">
      <c r="B67" s="64"/>
      <c r="C67" s="65"/>
    </row>
    <row r="68" ht="15.75" customHeight="1">
      <c r="B68" s="64"/>
      <c r="C68" s="65"/>
    </row>
    <row r="69" ht="15.75" customHeight="1">
      <c r="B69" s="64"/>
      <c r="C69" s="65"/>
    </row>
    <row r="70" ht="15.75" customHeight="1">
      <c r="B70" s="64"/>
      <c r="C70" s="65"/>
    </row>
    <row r="71" ht="15.75" customHeight="1">
      <c r="B71" s="64"/>
      <c r="C71" s="65"/>
    </row>
    <row r="72" ht="15.75" customHeight="1">
      <c r="B72" s="64"/>
      <c r="C72" s="65"/>
    </row>
    <row r="73" ht="15.75" customHeight="1">
      <c r="B73" s="64"/>
      <c r="C73" s="65"/>
    </row>
    <row r="74" ht="15.75" customHeight="1">
      <c r="B74" s="64"/>
      <c r="C74" s="65"/>
    </row>
    <row r="75" ht="15.75" customHeight="1">
      <c r="B75" s="64"/>
      <c r="C75" s="65"/>
    </row>
    <row r="76" ht="15.75" customHeight="1">
      <c r="B76" s="64"/>
      <c r="C76" s="65"/>
    </row>
    <row r="77" ht="15.75" customHeight="1">
      <c r="B77" s="64"/>
      <c r="C77" s="65"/>
    </row>
    <row r="78" ht="15.75" customHeight="1">
      <c r="B78" s="64"/>
      <c r="C78" s="65"/>
    </row>
    <row r="79" ht="15.75" customHeight="1">
      <c r="B79" s="64"/>
      <c r="C79" s="65"/>
    </row>
    <row r="80" ht="15.75" customHeight="1">
      <c r="B80" s="64"/>
      <c r="C80" s="65"/>
    </row>
    <row r="81" ht="15.75" customHeight="1">
      <c r="B81" s="64"/>
      <c r="C81" s="65"/>
    </row>
    <row r="82" ht="15.75" customHeight="1">
      <c r="B82" s="64"/>
      <c r="C82" s="65"/>
    </row>
    <row r="83" ht="15.75" customHeight="1">
      <c r="B83" s="64"/>
      <c r="C83" s="65"/>
    </row>
    <row r="84" ht="15.75" customHeight="1">
      <c r="B84" s="64"/>
      <c r="C84" s="65"/>
    </row>
    <row r="85" ht="15.75" customHeight="1">
      <c r="B85" s="64"/>
      <c r="C85" s="65"/>
    </row>
    <row r="86" ht="15.75" customHeight="1">
      <c r="B86" s="64"/>
      <c r="C86" s="65"/>
    </row>
    <row r="87" ht="15.75" customHeight="1">
      <c r="B87" s="64"/>
      <c r="C87" s="65"/>
    </row>
    <row r="88" ht="15.75" customHeight="1">
      <c r="B88" s="64"/>
      <c r="C88" s="65"/>
    </row>
    <row r="89" ht="15.75" customHeight="1">
      <c r="B89" s="64"/>
      <c r="C89" s="65"/>
    </row>
    <row r="90" ht="15.75" customHeight="1">
      <c r="B90" s="64"/>
      <c r="C90" s="65"/>
    </row>
    <row r="91" ht="15.75" customHeight="1">
      <c r="B91" s="64"/>
      <c r="C91" s="65"/>
    </row>
    <row r="92" ht="15.75" customHeight="1">
      <c r="B92" s="64"/>
      <c r="C92" s="65"/>
    </row>
    <row r="93" ht="15.75" customHeight="1">
      <c r="B93" s="64"/>
      <c r="C93" s="65"/>
    </row>
    <row r="94" ht="15.75" customHeight="1">
      <c r="B94" s="64"/>
      <c r="C94" s="65"/>
    </row>
    <row r="95" ht="15.75" customHeight="1">
      <c r="B95" s="64"/>
      <c r="C95" s="65"/>
    </row>
    <row r="96" ht="15.75" customHeight="1">
      <c r="B96" s="64"/>
      <c r="C96" s="65"/>
    </row>
    <row r="97" ht="15.75" customHeight="1">
      <c r="B97" s="64"/>
      <c r="C97" s="65"/>
    </row>
    <row r="98" ht="15.75" customHeight="1">
      <c r="B98" s="64"/>
      <c r="C98" s="65"/>
    </row>
    <row r="99" ht="15.75" customHeight="1">
      <c r="B99" s="64"/>
      <c r="C99" s="65"/>
    </row>
    <row r="100" ht="15.75" customHeight="1">
      <c r="B100" s="64"/>
      <c r="C100" s="6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5" footer="0.0" header="0.0" left="0.511805555555556" right="0.511805555555556" top="0.78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8.86"/>
    <col customWidth="1" min="2" max="3" width="13.29"/>
    <col customWidth="1" min="4" max="4" width="10.14"/>
    <col customWidth="1" min="5" max="7" width="13.29"/>
    <col customWidth="1" min="8" max="30" width="10.14"/>
    <col customWidth="1" min="31" max="31" width="11.57"/>
    <col customWidth="1" min="32" max="34" width="13.29"/>
    <col customWidth="1" min="35" max="44" width="15.14"/>
    <col customWidth="1" min="45" max="46" width="10.43"/>
    <col customWidth="1" min="47" max="63" width="10.14"/>
    <col customWidth="1" min="64" max="64" width="11.0"/>
    <col customWidth="1" min="65" max="75" width="10.14"/>
    <col customWidth="1" min="76" max="80" width="6.71"/>
    <col customWidth="1" min="81" max="95" width="10.14"/>
    <col customWidth="1" min="96" max="100" width="9.57"/>
    <col customWidth="1" min="101" max="105" width="10.14"/>
    <col customWidth="1" min="106" max="110" width="6.0"/>
    <col customWidth="1" min="111" max="130" width="10.14"/>
    <col customWidth="1" min="131" max="150" width="9.57"/>
    <col customWidth="1" min="151" max="165" width="11.0"/>
    <col customWidth="1" min="166" max="170" width="12.57"/>
  </cols>
  <sheetData>
    <row r="2">
      <c r="A2" s="66" t="s">
        <v>25</v>
      </c>
      <c r="B2" s="66" t="s">
        <v>26</v>
      </c>
      <c r="C2" s="66" t="s">
        <v>27</v>
      </c>
      <c r="D2" s="66" t="s">
        <v>28</v>
      </c>
      <c r="E2" s="66" t="s">
        <v>29</v>
      </c>
      <c r="F2" s="66" t="s">
        <v>30</v>
      </c>
      <c r="G2" s="66" t="s">
        <v>31</v>
      </c>
      <c r="H2" s="66" t="s">
        <v>32</v>
      </c>
      <c r="I2" s="66" t="s">
        <v>33</v>
      </c>
      <c r="J2" s="66" t="s">
        <v>34</v>
      </c>
      <c r="K2" s="66" t="s">
        <v>35</v>
      </c>
      <c r="L2" s="66" t="s">
        <v>36</v>
      </c>
      <c r="M2" s="66" t="s">
        <v>37</v>
      </c>
      <c r="N2" s="66" t="s">
        <v>26</v>
      </c>
      <c r="O2" s="66" t="s">
        <v>27</v>
      </c>
      <c r="P2" s="66" t="s">
        <v>28</v>
      </c>
      <c r="Q2" s="66" t="s">
        <v>29</v>
      </c>
      <c r="R2" s="66" t="s">
        <v>38</v>
      </c>
      <c r="S2" s="66" t="s">
        <v>39</v>
      </c>
      <c r="T2" s="66" t="s">
        <v>40</v>
      </c>
      <c r="U2" s="66" t="s">
        <v>41</v>
      </c>
      <c r="V2" s="66" t="s">
        <v>42</v>
      </c>
      <c r="W2" s="66" t="s">
        <v>43</v>
      </c>
      <c r="X2" s="66" t="s">
        <v>36</v>
      </c>
      <c r="Y2" s="66" t="s">
        <v>37</v>
      </c>
      <c r="Z2" s="66" t="s">
        <v>26</v>
      </c>
      <c r="AA2" s="66" t="s">
        <v>27</v>
      </c>
      <c r="AB2" s="66" t="s">
        <v>28</v>
      </c>
      <c r="AC2" s="66" t="s">
        <v>29</v>
      </c>
      <c r="AD2" s="66" t="s">
        <v>38</v>
      </c>
      <c r="AE2" s="66" t="s">
        <v>39</v>
      </c>
      <c r="AF2" s="66" t="s">
        <v>40</v>
      </c>
      <c r="AG2" s="66" t="s">
        <v>41</v>
      </c>
      <c r="AH2" s="66" t="s">
        <v>42</v>
      </c>
      <c r="AI2" s="66" t="s">
        <v>43</v>
      </c>
      <c r="AJ2" s="66" t="s">
        <v>36</v>
      </c>
      <c r="AK2" s="66" t="s">
        <v>37</v>
      </c>
      <c r="AL2" s="66" t="s">
        <v>26</v>
      </c>
      <c r="AM2" s="66" t="s">
        <v>27</v>
      </c>
      <c r="AN2" s="66" t="s">
        <v>28</v>
      </c>
      <c r="AO2" s="66" t="s">
        <v>29</v>
      </c>
    </row>
    <row r="3">
      <c r="A3" s="66" t="s">
        <v>7</v>
      </c>
      <c r="H3" s="67"/>
      <c r="I3" s="67"/>
      <c r="J3" s="67"/>
      <c r="M3" s="68">
        <v>4329.0</v>
      </c>
      <c r="P3" s="68">
        <v>2397.07</v>
      </c>
      <c r="S3" s="68">
        <v>2267.5</v>
      </c>
      <c r="AG3" s="20">
        <v>3205.01</v>
      </c>
      <c r="AJ3" s="20">
        <v>3679.0</v>
      </c>
    </row>
    <row r="4">
      <c r="A4" s="66" t="s">
        <v>9</v>
      </c>
      <c r="H4" s="68">
        <v>4263.0</v>
      </c>
      <c r="I4" s="67"/>
      <c r="J4" s="67"/>
      <c r="M4" s="68">
        <v>3538.5</v>
      </c>
      <c r="P4" s="68">
        <v>3490.12</v>
      </c>
      <c r="S4" s="68">
        <v>3462.5</v>
      </c>
      <c r="V4" s="68">
        <v>2892.04</v>
      </c>
      <c r="AB4" s="68">
        <v>2152.27</v>
      </c>
      <c r="AE4" s="68">
        <v>1645.71</v>
      </c>
      <c r="AG4" s="20">
        <v>2619.0</v>
      </c>
      <c r="AJ4" s="20">
        <v>2380.0</v>
      </c>
    </row>
    <row r="5">
      <c r="A5" s="66" t="s">
        <v>11</v>
      </c>
      <c r="B5" s="69">
        <v>3910.81</v>
      </c>
      <c r="C5" s="69">
        <v>2935.0</v>
      </c>
      <c r="H5" s="68">
        <v>3839.5</v>
      </c>
      <c r="I5" s="67"/>
      <c r="J5" s="67"/>
      <c r="K5" s="68">
        <v>3877.5</v>
      </c>
      <c r="M5" s="68">
        <v>3345.5</v>
      </c>
      <c r="P5" s="68">
        <v>2457.5</v>
      </c>
      <c r="Q5" s="70">
        <v>3035.03</v>
      </c>
      <c r="S5" s="68">
        <v>3879.05</v>
      </c>
      <c r="V5" s="68">
        <v>3157.5</v>
      </c>
      <c r="AB5" s="68">
        <v>2586.75</v>
      </c>
      <c r="AE5" s="68">
        <v>2767.5</v>
      </c>
      <c r="AG5" s="20">
        <v>2668.51</v>
      </c>
      <c r="AH5" s="20">
        <v>1866.01</v>
      </c>
      <c r="AJ5" s="20">
        <v>3015.02</v>
      </c>
      <c r="AN5" s="18">
        <v>1454.0</v>
      </c>
    </row>
    <row r="6">
      <c r="A6" s="66" t="s">
        <v>13</v>
      </c>
      <c r="B6" s="68">
        <v>2479.32</v>
      </c>
      <c r="C6" s="68">
        <v>2988.0</v>
      </c>
      <c r="E6" s="68">
        <v>3650.0</v>
      </c>
      <c r="F6" s="68">
        <v>2119.0</v>
      </c>
      <c r="H6" s="68">
        <v>4248.04</v>
      </c>
      <c r="I6" s="67"/>
      <c r="J6" s="67"/>
      <c r="K6" s="68">
        <v>6601.53</v>
      </c>
      <c r="M6" s="68">
        <v>2988.51</v>
      </c>
      <c r="N6" s="68">
        <v>4371.62</v>
      </c>
      <c r="P6" s="68">
        <v>4090.51</v>
      </c>
      <c r="Q6" s="70">
        <v>2139.02</v>
      </c>
      <c r="S6" s="68">
        <v>3291.0</v>
      </c>
      <c r="T6" s="68">
        <v>2321.08</v>
      </c>
      <c r="V6" s="68">
        <v>2555.52</v>
      </c>
      <c r="Y6" s="68">
        <v>2801.25</v>
      </c>
      <c r="AB6" s="68">
        <v>1924.01</v>
      </c>
      <c r="AC6" s="68">
        <v>4156.01</v>
      </c>
      <c r="AE6" s="68">
        <v>2230.26</v>
      </c>
      <c r="AG6" s="20">
        <v>2248.51</v>
      </c>
      <c r="AH6" s="20">
        <v>3476.5</v>
      </c>
      <c r="AJ6" s="20">
        <v>3900.5</v>
      </c>
      <c r="AK6" s="18">
        <v>2674.0</v>
      </c>
      <c r="AN6" s="18">
        <v>1926.5</v>
      </c>
    </row>
    <row r="7">
      <c r="A7" s="66" t="s">
        <v>17</v>
      </c>
      <c r="B7" s="68">
        <v>4701.23</v>
      </c>
      <c r="C7" s="68">
        <v>3214.0</v>
      </c>
      <c r="E7" s="68">
        <v>2156.0</v>
      </c>
      <c r="F7" s="68">
        <v>2262.0</v>
      </c>
      <c r="H7" s="68">
        <v>4161.51</v>
      </c>
      <c r="I7" s="68">
        <v>2905.5</v>
      </c>
      <c r="J7" s="67"/>
      <c r="K7" s="68">
        <v>3818.04</v>
      </c>
      <c r="L7" s="68">
        <v>4192.5</v>
      </c>
      <c r="M7" s="68">
        <v>3696.0</v>
      </c>
      <c r="N7" s="68">
        <v>4086.52</v>
      </c>
      <c r="O7" s="68">
        <v>5660.52</v>
      </c>
      <c r="P7" s="68">
        <v>3500.52</v>
      </c>
      <c r="Q7" s="70">
        <v>1931.02</v>
      </c>
      <c r="S7" s="68">
        <v>2809.01</v>
      </c>
      <c r="T7" s="68">
        <v>2473.12</v>
      </c>
      <c r="V7" s="68">
        <v>6734.42</v>
      </c>
      <c r="W7" s="68">
        <v>2717.01</v>
      </c>
      <c r="Y7" s="68">
        <v>2801.51</v>
      </c>
      <c r="AB7" s="68">
        <v>2322.27</v>
      </c>
      <c r="AC7" s="68">
        <v>3059.75</v>
      </c>
      <c r="AE7" s="68">
        <v>3552.76</v>
      </c>
      <c r="AF7" s="68">
        <v>1669.0</v>
      </c>
      <c r="AG7" s="20">
        <v>1568.0</v>
      </c>
      <c r="AH7" s="20">
        <v>5068.51</v>
      </c>
      <c r="AJ7" s="20">
        <v>2976.01</v>
      </c>
      <c r="AK7" s="18">
        <v>4655.5</v>
      </c>
      <c r="AN7" s="18">
        <v>2649.0</v>
      </c>
      <c r="AO7" s="18">
        <v>6527.5</v>
      </c>
    </row>
    <row r="8">
      <c r="A8" s="66" t="s">
        <v>18</v>
      </c>
      <c r="B8" s="68">
        <v>6723.1</v>
      </c>
      <c r="C8" s="68">
        <v>4675.5</v>
      </c>
      <c r="D8" s="68">
        <v>4355.0</v>
      </c>
      <c r="E8" s="68">
        <v>2190.0</v>
      </c>
      <c r="F8" s="68">
        <v>4739.5</v>
      </c>
      <c r="G8" s="71">
        <v>3232.5</v>
      </c>
      <c r="H8" s="68">
        <v>6064.0</v>
      </c>
      <c r="I8" s="68">
        <v>5756.0</v>
      </c>
      <c r="J8" s="67"/>
      <c r="K8" s="68">
        <v>2671.0</v>
      </c>
      <c r="L8" s="68">
        <v>5839.52</v>
      </c>
      <c r="M8" s="68">
        <v>5441.55</v>
      </c>
      <c r="N8" s="68">
        <v>8196.01</v>
      </c>
      <c r="O8" s="68">
        <v>7785.52</v>
      </c>
      <c r="P8" s="68">
        <v>5998.03</v>
      </c>
      <c r="Q8" s="70">
        <v>2095.53</v>
      </c>
      <c r="R8" s="68">
        <v>2436.04</v>
      </c>
      <c r="S8" s="68">
        <v>3387.03</v>
      </c>
      <c r="T8" s="68">
        <v>2189.54</v>
      </c>
      <c r="V8" s="68">
        <v>7501.06</v>
      </c>
      <c r="W8" s="68">
        <v>3755.01</v>
      </c>
      <c r="Y8" s="68">
        <v>4097.75</v>
      </c>
      <c r="Z8" s="68">
        <v>5627.25</v>
      </c>
      <c r="AA8" s="68">
        <v>4655.0</v>
      </c>
      <c r="AB8" s="68">
        <v>2719.76</v>
      </c>
      <c r="AC8" s="68">
        <v>3847.75</v>
      </c>
      <c r="AE8" s="68">
        <v>2805.0</v>
      </c>
      <c r="AF8" s="68">
        <v>3284.15</v>
      </c>
      <c r="AG8" s="20">
        <v>3452.51</v>
      </c>
      <c r="AH8" s="20">
        <v>5921.51</v>
      </c>
      <c r="AI8" s="20">
        <v>4149.5</v>
      </c>
      <c r="AJ8" s="20">
        <v>4037.5</v>
      </c>
      <c r="AK8" s="18">
        <v>5409.5</v>
      </c>
      <c r="AN8" s="18">
        <v>4476.5</v>
      </c>
      <c r="AO8" s="18">
        <v>3245.5</v>
      </c>
    </row>
    <row r="9">
      <c r="A9" s="66" t="s">
        <v>20</v>
      </c>
      <c r="B9" s="68">
        <v>5052.11</v>
      </c>
      <c r="C9" s="68">
        <v>5030.0</v>
      </c>
      <c r="D9" s="68">
        <v>4468.5</v>
      </c>
      <c r="E9" s="68">
        <v>2986.0</v>
      </c>
      <c r="F9" s="68">
        <v>3980.5</v>
      </c>
      <c r="G9" s="72">
        <v>3942.5</v>
      </c>
      <c r="H9" s="68">
        <v>4671.02</v>
      </c>
      <c r="I9" s="72">
        <v>4584.01</v>
      </c>
      <c r="J9" s="68">
        <v>7505.0</v>
      </c>
      <c r="K9" s="68">
        <v>4268.02</v>
      </c>
      <c r="L9" s="68">
        <v>4675.5</v>
      </c>
      <c r="M9" s="68">
        <v>4982.0</v>
      </c>
      <c r="N9" s="68">
        <v>6234.5</v>
      </c>
      <c r="O9" s="68">
        <v>7755.51</v>
      </c>
      <c r="P9" s="68">
        <v>4436.54</v>
      </c>
      <c r="Q9" s="70">
        <v>3064.05</v>
      </c>
      <c r="R9" s="68">
        <v>1830.0</v>
      </c>
      <c r="S9" s="68">
        <v>3640.0</v>
      </c>
      <c r="T9" s="68">
        <v>2452.03</v>
      </c>
      <c r="U9" s="68">
        <v>2102.0</v>
      </c>
      <c r="V9" s="68">
        <v>5339.56</v>
      </c>
      <c r="W9" s="68">
        <v>2770.5</v>
      </c>
      <c r="X9" s="68">
        <v>3470.75</v>
      </c>
      <c r="Y9" s="68">
        <v>3457.81</v>
      </c>
      <c r="Z9" s="68">
        <v>4641.26</v>
      </c>
      <c r="AA9" s="68">
        <v>3510.53</v>
      </c>
      <c r="AB9" s="68">
        <v>3215.25</v>
      </c>
      <c r="AC9" s="68">
        <v>3424.27</v>
      </c>
      <c r="AD9" s="68">
        <v>4180.83</v>
      </c>
      <c r="AE9" s="68">
        <v>3583.24</v>
      </c>
      <c r="AF9" s="68">
        <v>3413.9</v>
      </c>
      <c r="AG9" s="20">
        <v>3052.5</v>
      </c>
      <c r="AH9" s="20">
        <v>6536.4</v>
      </c>
      <c r="AI9" s="20">
        <v>3339.9</v>
      </c>
      <c r="AJ9" s="20">
        <v>3251.01</v>
      </c>
      <c r="AK9" s="18">
        <v>5360.01</v>
      </c>
      <c r="AL9" s="18">
        <v>6048.5</v>
      </c>
      <c r="AM9" s="18">
        <v>3500.5</v>
      </c>
      <c r="AN9" s="18">
        <v>2620.5</v>
      </c>
      <c r="AO9" s="18">
        <v>6348.0</v>
      </c>
    </row>
    <row r="10">
      <c r="A10" s="66" t="s">
        <v>7</v>
      </c>
      <c r="B10" s="68">
        <v>1924.1</v>
      </c>
      <c r="C10" s="68">
        <v>1963.5</v>
      </c>
      <c r="D10" s="68">
        <v>2511.0</v>
      </c>
      <c r="E10" s="68">
        <v>2641.5</v>
      </c>
      <c r="F10" s="68">
        <v>2131.5</v>
      </c>
      <c r="G10" s="68">
        <v>2610.5</v>
      </c>
      <c r="H10" s="68">
        <v>2794.5</v>
      </c>
      <c r="I10" s="72">
        <v>2163.51</v>
      </c>
      <c r="J10" s="68">
        <v>4109.51</v>
      </c>
      <c r="K10" s="68">
        <v>1906.0</v>
      </c>
      <c r="L10" s="68">
        <v>3183.53</v>
      </c>
      <c r="M10" s="68">
        <v>2145.5</v>
      </c>
      <c r="N10" s="68">
        <v>3300.63</v>
      </c>
      <c r="O10" s="68">
        <v>3477.02</v>
      </c>
      <c r="P10" s="68">
        <v>2049.0</v>
      </c>
      <c r="Q10" s="70">
        <v>1989.07</v>
      </c>
      <c r="R10" s="68">
        <v>2002.58</v>
      </c>
      <c r="S10" s="68">
        <v>3263.04</v>
      </c>
      <c r="T10" s="68">
        <v>2502.51</v>
      </c>
      <c r="U10" s="68">
        <v>2738.03</v>
      </c>
      <c r="V10" s="68">
        <v>4573.11</v>
      </c>
      <c r="W10" s="68">
        <v>2204.51</v>
      </c>
      <c r="X10" s="68">
        <v>3672.88</v>
      </c>
      <c r="Y10" s="68">
        <v>2484.0</v>
      </c>
      <c r="Z10" s="68">
        <v>2798.26</v>
      </c>
      <c r="AA10" s="68">
        <v>4028.76</v>
      </c>
      <c r="AB10" s="68">
        <v>2848.51</v>
      </c>
      <c r="AC10" s="68">
        <v>2122.81</v>
      </c>
      <c r="AD10" s="68">
        <v>1793.0</v>
      </c>
      <c r="AE10" s="68">
        <v>3226.0</v>
      </c>
      <c r="AF10" s="68">
        <v>3270.0</v>
      </c>
      <c r="AG10" s="20">
        <v>2873.5</v>
      </c>
      <c r="AH10" s="20">
        <v>4037.02</v>
      </c>
      <c r="AI10" s="20">
        <v>2232.0</v>
      </c>
      <c r="AJ10" s="20">
        <v>2690.5</v>
      </c>
      <c r="AK10" s="18">
        <v>2465.0</v>
      </c>
      <c r="AL10" s="18">
        <v>2024.5</v>
      </c>
      <c r="AM10" s="18">
        <v>1674.5</v>
      </c>
      <c r="AN10" s="18">
        <v>1649.01</v>
      </c>
      <c r="AO10" s="18">
        <v>2540.0</v>
      </c>
    </row>
    <row r="11">
      <c r="A11" s="66" t="s">
        <v>9</v>
      </c>
      <c r="B11" s="68">
        <v>2705.14</v>
      </c>
      <c r="C11" s="68">
        <v>2828.5</v>
      </c>
      <c r="D11" s="68">
        <v>2393.5</v>
      </c>
      <c r="E11" s="68">
        <v>4765.0</v>
      </c>
      <c r="F11" s="68">
        <v>1955.5</v>
      </c>
      <c r="G11" s="68">
        <v>2460.0</v>
      </c>
      <c r="H11" s="68">
        <v>3748.51</v>
      </c>
      <c r="I11" s="72">
        <v>5262.5</v>
      </c>
      <c r="J11" s="68">
        <v>4020.0</v>
      </c>
      <c r="K11" s="68">
        <v>3034.5</v>
      </c>
      <c r="L11" s="68">
        <v>2779.0</v>
      </c>
      <c r="M11" s="68">
        <v>2845.0</v>
      </c>
      <c r="N11" s="68">
        <v>4051.51</v>
      </c>
      <c r="O11" s="68">
        <v>4959.07</v>
      </c>
      <c r="P11" s="68">
        <v>3501.51</v>
      </c>
      <c r="Q11" s="70">
        <v>2624.08</v>
      </c>
      <c r="R11" s="68">
        <v>2648.57</v>
      </c>
      <c r="S11" s="68">
        <v>2942.51</v>
      </c>
      <c r="T11" s="68">
        <v>2849.68</v>
      </c>
      <c r="U11" s="68">
        <v>2823.51</v>
      </c>
      <c r="V11" s="68">
        <v>4419.53</v>
      </c>
      <c r="W11" s="68">
        <v>3185.51</v>
      </c>
      <c r="X11" s="68">
        <v>3349.51</v>
      </c>
      <c r="Y11" s="68">
        <v>3829.85</v>
      </c>
      <c r="Z11" s="68">
        <v>3123.29</v>
      </c>
      <c r="AA11" s="68">
        <v>3807.25</v>
      </c>
      <c r="AB11" s="68">
        <v>1988.75</v>
      </c>
      <c r="AC11" s="68">
        <v>2852.76</v>
      </c>
      <c r="AD11" s="68">
        <v>1909.01</v>
      </c>
      <c r="AE11" s="68">
        <v>1465.51</v>
      </c>
      <c r="AF11" s="68">
        <v>2543.54</v>
      </c>
      <c r="AG11" s="20">
        <v>1530.5</v>
      </c>
      <c r="AH11" s="20">
        <v>5475.01</v>
      </c>
      <c r="AI11" s="20">
        <v>1153.25</v>
      </c>
      <c r="AJ11" s="20">
        <v>3328.5</v>
      </c>
      <c r="AK11" s="18">
        <v>2457.51</v>
      </c>
      <c r="AL11" s="18">
        <v>2597.5</v>
      </c>
      <c r="AM11" s="18">
        <v>3251.0</v>
      </c>
      <c r="AN11" s="18">
        <v>1514.0</v>
      </c>
      <c r="AO11" s="18">
        <v>1781.0</v>
      </c>
    </row>
    <row r="12">
      <c r="A12" s="66" t="s">
        <v>11</v>
      </c>
      <c r="B12" s="68">
        <v>2399.9</v>
      </c>
      <c r="C12" s="68">
        <v>3716.0</v>
      </c>
      <c r="D12" s="68">
        <v>2022.5</v>
      </c>
      <c r="E12" s="68">
        <v>4180.5</v>
      </c>
      <c r="F12" s="68">
        <v>3011.5</v>
      </c>
      <c r="G12" s="68">
        <v>2996.5</v>
      </c>
      <c r="H12" s="68">
        <v>3880.5</v>
      </c>
      <c r="I12" s="72">
        <v>2961.01</v>
      </c>
      <c r="J12" s="68">
        <v>3080.5</v>
      </c>
      <c r="K12" s="68">
        <v>3194.02</v>
      </c>
      <c r="L12" s="68">
        <v>2817.5</v>
      </c>
      <c r="M12" s="68">
        <v>3176.51</v>
      </c>
      <c r="N12" s="68">
        <v>3850.0</v>
      </c>
      <c r="O12" s="68">
        <v>4626.51</v>
      </c>
      <c r="P12" s="68">
        <v>3855.04</v>
      </c>
      <c r="Q12" s="70">
        <v>2410.55</v>
      </c>
      <c r="R12" s="68">
        <v>2459.08</v>
      </c>
      <c r="S12" s="73">
        <v>2437.05</v>
      </c>
      <c r="T12" s="68">
        <v>1872.57</v>
      </c>
      <c r="U12" s="68">
        <v>2639.54</v>
      </c>
      <c r="V12" s="68">
        <v>4276.57</v>
      </c>
      <c r="W12" s="68">
        <v>2361.06</v>
      </c>
      <c r="X12" s="68">
        <v>2933.0</v>
      </c>
      <c r="Y12" s="68">
        <v>4595.25</v>
      </c>
      <c r="Z12" s="68">
        <v>3196.5</v>
      </c>
      <c r="AA12" s="68">
        <v>3865.78</v>
      </c>
      <c r="AB12" s="68">
        <v>2392.0</v>
      </c>
      <c r="AC12" s="68">
        <v>2315.5</v>
      </c>
      <c r="AD12" s="68">
        <v>2132.76</v>
      </c>
      <c r="AE12" s="68">
        <v>2495.5</v>
      </c>
      <c r="AF12" s="68">
        <v>2101.01</v>
      </c>
      <c r="AG12" s="20">
        <v>2097.29</v>
      </c>
      <c r="AH12" s="20">
        <v>7205.5</v>
      </c>
      <c r="AI12" s="20">
        <v>2083.5</v>
      </c>
      <c r="AJ12" s="20">
        <v>2934.01</v>
      </c>
      <c r="AK12" s="18">
        <v>3659.0</v>
      </c>
      <c r="AL12" s="18">
        <v>2935.91</v>
      </c>
      <c r="AM12" s="18">
        <v>2356.0</v>
      </c>
      <c r="AN12" s="18">
        <v>2793.0</v>
      </c>
      <c r="AO12" s="18">
        <v>3419.5</v>
      </c>
    </row>
    <row r="13">
      <c r="A13" s="66" t="s">
        <v>13</v>
      </c>
      <c r="B13" s="68">
        <v>3475.38</v>
      </c>
      <c r="C13" s="68">
        <v>2288.5</v>
      </c>
      <c r="D13" s="68">
        <v>2776.0</v>
      </c>
      <c r="E13" s="68">
        <v>1962.0</v>
      </c>
      <c r="F13" s="68">
        <v>4296.0</v>
      </c>
      <c r="G13" s="68">
        <v>2261.52</v>
      </c>
      <c r="H13" s="68">
        <v>2187.51</v>
      </c>
      <c r="I13" s="72">
        <v>4629.0</v>
      </c>
      <c r="J13" s="68">
        <v>2868.01</v>
      </c>
      <c r="K13" s="68">
        <v>3569.03</v>
      </c>
      <c r="L13" s="68">
        <v>3965.53</v>
      </c>
      <c r="M13" s="68">
        <v>3624.04</v>
      </c>
      <c r="N13" s="68">
        <v>2967.53</v>
      </c>
      <c r="O13" s="68">
        <v>4090.51</v>
      </c>
      <c r="P13" s="68">
        <v>4783.54</v>
      </c>
      <c r="Q13" s="70">
        <v>2216.54</v>
      </c>
      <c r="R13" s="68">
        <v>1952.52</v>
      </c>
      <c r="S13" s="68">
        <v>3111.5</v>
      </c>
      <c r="T13" s="68">
        <v>3432.62</v>
      </c>
      <c r="U13" s="68">
        <v>1626.01</v>
      </c>
      <c r="V13" s="68">
        <v>4676.55</v>
      </c>
      <c r="W13" s="68">
        <v>5680.52</v>
      </c>
      <c r="X13" s="68">
        <v>2908.0</v>
      </c>
      <c r="Y13" s="68">
        <v>3879.5</v>
      </c>
      <c r="Z13" s="68">
        <v>4774.27</v>
      </c>
      <c r="AA13" s="68">
        <v>4310.26</v>
      </c>
      <c r="AB13" s="68">
        <v>2441.01</v>
      </c>
      <c r="AC13" s="68">
        <v>2369.26</v>
      </c>
      <c r="AD13" s="68">
        <v>1690.26</v>
      </c>
      <c r="AE13" s="68">
        <v>3523.02</v>
      </c>
      <c r="AF13" s="68">
        <v>2547.42</v>
      </c>
      <c r="AG13" s="20">
        <v>2250.0</v>
      </c>
      <c r="AH13" s="20">
        <v>7879.81</v>
      </c>
      <c r="AI13" s="20">
        <v>3006.26</v>
      </c>
      <c r="AJ13" s="20">
        <v>2524.0</v>
      </c>
      <c r="AK13" s="18">
        <v>2701.5</v>
      </c>
      <c r="AL13" s="18">
        <v>3079.5</v>
      </c>
      <c r="AM13" s="18">
        <v>1897.5</v>
      </c>
      <c r="AN13" s="18">
        <v>2022.5</v>
      </c>
      <c r="AO13" s="18">
        <v>3043.5</v>
      </c>
    </row>
    <row r="14">
      <c r="A14" s="66" t="s">
        <v>17</v>
      </c>
      <c r="B14" s="68">
        <v>4031.92</v>
      </c>
      <c r="C14" s="68">
        <v>3160.5</v>
      </c>
      <c r="D14" s="68">
        <v>4051.5</v>
      </c>
      <c r="E14" s="68">
        <v>2081.5</v>
      </c>
      <c r="F14" s="68">
        <v>3098.5</v>
      </c>
      <c r="G14" s="68">
        <v>2952.01</v>
      </c>
      <c r="H14" s="68">
        <v>2958.0</v>
      </c>
      <c r="I14" s="72">
        <v>3444.0</v>
      </c>
      <c r="J14" s="68">
        <v>3473.51</v>
      </c>
      <c r="K14" s="68">
        <v>3728.02</v>
      </c>
      <c r="L14" s="68">
        <v>3688.0</v>
      </c>
      <c r="M14" s="68">
        <v>3733.53</v>
      </c>
      <c r="N14" s="68">
        <v>3114.53</v>
      </c>
      <c r="O14" s="68">
        <v>6856.5</v>
      </c>
      <c r="P14" s="68">
        <v>3759.54</v>
      </c>
      <c r="Q14" s="74">
        <v>2109.57</v>
      </c>
      <c r="R14" s="68">
        <v>2451.6</v>
      </c>
      <c r="S14" s="68">
        <v>2512.56</v>
      </c>
      <c r="T14" s="68">
        <v>2343.63</v>
      </c>
      <c r="U14" s="68">
        <v>2656.51</v>
      </c>
      <c r="V14" s="68">
        <v>4732.57</v>
      </c>
      <c r="W14" s="68">
        <v>6553.12</v>
      </c>
      <c r="X14" s="68">
        <v>2907.85</v>
      </c>
      <c r="Y14" s="68">
        <v>2982.75</v>
      </c>
      <c r="Z14" s="68">
        <v>5214.75</v>
      </c>
      <c r="AA14" s="68">
        <v>4051.5</v>
      </c>
      <c r="AB14" s="68">
        <v>3065.81</v>
      </c>
      <c r="AC14" s="68">
        <v>2985.26</v>
      </c>
      <c r="AD14" s="68">
        <v>2939.29</v>
      </c>
      <c r="AE14" s="68">
        <v>3388.5</v>
      </c>
      <c r="AF14" s="68">
        <v>1932.5</v>
      </c>
      <c r="AG14" s="20">
        <v>2097.93</v>
      </c>
      <c r="AH14" s="20">
        <v>6661.76</v>
      </c>
      <c r="AI14" s="20">
        <v>3303.75</v>
      </c>
      <c r="AJ14" s="20">
        <v>2651.0</v>
      </c>
      <c r="AK14" s="18">
        <v>3397.5</v>
      </c>
      <c r="AL14" s="18">
        <v>2657.5</v>
      </c>
      <c r="AM14" s="18">
        <v>2130.5</v>
      </c>
      <c r="AN14" s="45">
        <v>2358.0</v>
      </c>
      <c r="AO14" s="18">
        <v>1952.0</v>
      </c>
    </row>
    <row r="15">
      <c r="A15" s="66" t="s">
        <v>18</v>
      </c>
      <c r="B15" s="68">
        <v>5536.05</v>
      </c>
      <c r="C15" s="68">
        <v>5589.5</v>
      </c>
      <c r="D15" s="68">
        <v>5664.5</v>
      </c>
      <c r="E15" s="68">
        <v>2482.0</v>
      </c>
      <c r="F15" s="68">
        <v>3258.5</v>
      </c>
      <c r="G15" s="68">
        <v>2952.01</v>
      </c>
      <c r="H15" s="68">
        <v>4542.01</v>
      </c>
      <c r="I15" s="72">
        <v>4754.01</v>
      </c>
      <c r="J15" s="68">
        <v>6836.0</v>
      </c>
      <c r="K15" s="68">
        <v>4232.0</v>
      </c>
      <c r="L15" s="68">
        <v>5054.5</v>
      </c>
      <c r="M15" s="68">
        <v>5902.04</v>
      </c>
      <c r="N15" s="68">
        <v>4429.56</v>
      </c>
      <c r="O15" s="68">
        <v>7348.01</v>
      </c>
      <c r="P15" s="68">
        <v>5133.04</v>
      </c>
      <c r="Q15" s="70">
        <v>2295.52</v>
      </c>
      <c r="R15" s="68">
        <v>2090.0</v>
      </c>
      <c r="S15" s="68">
        <v>3434.54</v>
      </c>
      <c r="T15" s="68">
        <v>3024.06</v>
      </c>
      <c r="U15" s="68">
        <v>3874.0</v>
      </c>
      <c r="V15" s="68">
        <v>5725.01</v>
      </c>
      <c r="W15" s="68">
        <v>8614.0</v>
      </c>
      <c r="X15" s="68">
        <v>3392.75</v>
      </c>
      <c r="Y15" s="68">
        <v>5174.0</v>
      </c>
      <c r="Z15" s="68">
        <v>6359.77</v>
      </c>
      <c r="AA15" s="68">
        <v>6328.75</v>
      </c>
      <c r="AB15" s="68">
        <v>3065.25</v>
      </c>
      <c r="AC15" s="68">
        <v>3706.01</v>
      </c>
      <c r="AD15" s="68">
        <v>3811.75</v>
      </c>
      <c r="AE15" s="68">
        <v>4008.16</v>
      </c>
      <c r="AF15" s="68">
        <v>3584.42</v>
      </c>
      <c r="AG15" s="20">
        <v>3593.8</v>
      </c>
      <c r="AH15" s="20">
        <v>8622.0</v>
      </c>
      <c r="AI15" s="20">
        <v>5357.5</v>
      </c>
      <c r="AJ15" s="20">
        <v>4429.01</v>
      </c>
      <c r="AK15" s="18">
        <v>5844.01</v>
      </c>
      <c r="AL15" s="18">
        <v>5130.0</v>
      </c>
      <c r="AM15" s="18">
        <v>3652.01</v>
      </c>
      <c r="AN15" s="45">
        <v>4750.5</v>
      </c>
      <c r="AO15" s="18">
        <v>6028.06</v>
      </c>
    </row>
    <row r="16">
      <c r="A16" s="66" t="s">
        <v>20</v>
      </c>
      <c r="B16" s="67">
        <v>5480.5</v>
      </c>
      <c r="C16" s="67">
        <v>4383.0</v>
      </c>
      <c r="D16" s="68">
        <v>3716.0</v>
      </c>
      <c r="E16" s="68">
        <v>2258.0</v>
      </c>
      <c r="F16" s="68">
        <v>3123.5</v>
      </c>
      <c r="G16" s="75">
        <v>4798.5</v>
      </c>
      <c r="H16" s="68">
        <v>3816.5</v>
      </c>
      <c r="I16" s="72">
        <v>3477.13</v>
      </c>
      <c r="J16" s="68">
        <v>4521.0</v>
      </c>
      <c r="K16" s="68">
        <v>6334.5</v>
      </c>
      <c r="L16" s="68">
        <v>6274.0</v>
      </c>
      <c r="M16" s="68">
        <v>6163.5</v>
      </c>
      <c r="N16" s="68">
        <v>5069.52</v>
      </c>
      <c r="O16" s="68">
        <v>7547.04</v>
      </c>
      <c r="P16" s="68">
        <v>4879.5</v>
      </c>
      <c r="Q16" s="70">
        <v>2134.07</v>
      </c>
      <c r="R16" s="68">
        <v>1864.57</v>
      </c>
      <c r="S16" s="68">
        <v>2638.06</v>
      </c>
      <c r="T16" s="68">
        <v>1972.08</v>
      </c>
      <c r="U16" s="68">
        <v>2695.5</v>
      </c>
      <c r="V16" s="68">
        <v>6097.03</v>
      </c>
      <c r="W16" s="68">
        <v>8551.27</v>
      </c>
      <c r="X16" s="68">
        <v>2658.25</v>
      </c>
      <c r="Y16" s="68">
        <v>3844.25</v>
      </c>
      <c r="Z16" s="68">
        <v>7420.75</v>
      </c>
      <c r="AA16" s="68">
        <v>5694.01</v>
      </c>
      <c r="AB16" s="68">
        <v>2786.01</v>
      </c>
      <c r="AC16" s="68">
        <v>2910.75</v>
      </c>
      <c r="AD16" s="68">
        <v>4635.29</v>
      </c>
      <c r="AE16" s="68">
        <v>2679.07</v>
      </c>
      <c r="AF16" s="68">
        <v>3536.91</v>
      </c>
      <c r="AG16" s="20">
        <v>2751.0</v>
      </c>
      <c r="AH16" s="20">
        <v>7934.7</v>
      </c>
      <c r="AI16" s="20">
        <v>5717.4</v>
      </c>
      <c r="AJ16" s="20">
        <v>2350.5</v>
      </c>
      <c r="AK16" s="18">
        <v>5247.0</v>
      </c>
      <c r="AL16" s="18">
        <v>7023.5</v>
      </c>
      <c r="AM16" s="18">
        <v>3740.5</v>
      </c>
      <c r="AN16" s="18">
        <v>4090.0</v>
      </c>
      <c r="AO16" s="45">
        <v>3823.0</v>
      </c>
    </row>
    <row r="17">
      <c r="A17" s="66" t="s">
        <v>7</v>
      </c>
      <c r="B17" s="68">
        <v>4060.5</v>
      </c>
      <c r="C17" s="68">
        <v>1733.0</v>
      </c>
      <c r="D17" s="68">
        <v>2381.5</v>
      </c>
      <c r="E17" s="68">
        <v>3488.0</v>
      </c>
      <c r="F17" s="68">
        <v>2140.5</v>
      </c>
      <c r="G17" s="76">
        <v>2475.0</v>
      </c>
      <c r="H17" s="68">
        <v>4478.0</v>
      </c>
      <c r="I17" s="72">
        <v>2128.01</v>
      </c>
      <c r="J17" s="68">
        <v>1880.5</v>
      </c>
      <c r="K17" s="68">
        <v>2463.52</v>
      </c>
      <c r="L17" s="68">
        <v>3076.0</v>
      </c>
      <c r="M17" s="68">
        <v>2846.51</v>
      </c>
      <c r="N17" s="68">
        <v>3647.55</v>
      </c>
      <c r="O17" s="68">
        <v>3917.53</v>
      </c>
      <c r="P17" s="68">
        <v>3081.04</v>
      </c>
      <c r="Q17" s="70">
        <v>3067.68</v>
      </c>
      <c r="R17" s="73">
        <v>2220.52</v>
      </c>
      <c r="S17" s="68">
        <v>2651.58</v>
      </c>
      <c r="T17" s="68">
        <v>2737.7</v>
      </c>
      <c r="U17" s="68">
        <v>2681.05</v>
      </c>
      <c r="V17" s="68">
        <v>1874.51</v>
      </c>
      <c r="W17" s="68">
        <v>4360.75</v>
      </c>
      <c r="X17" s="68">
        <v>2929.75</v>
      </c>
      <c r="Y17" s="68">
        <v>2271.75</v>
      </c>
      <c r="Z17" s="68">
        <v>4290.77</v>
      </c>
      <c r="AA17" s="68">
        <v>2149.75</v>
      </c>
      <c r="AB17" s="68">
        <v>2065.51</v>
      </c>
      <c r="AC17" s="68">
        <v>1417.26</v>
      </c>
      <c r="AD17" s="68">
        <v>2079.5</v>
      </c>
      <c r="AE17" s="68">
        <v>1470.52</v>
      </c>
      <c r="AF17" s="68">
        <v>2170.52</v>
      </c>
      <c r="AG17" s="20">
        <v>2154.75</v>
      </c>
      <c r="AH17" s="20">
        <v>1076.01</v>
      </c>
      <c r="AI17" s="20">
        <v>2552.0</v>
      </c>
      <c r="AJ17" s="20">
        <v>1849.0</v>
      </c>
      <c r="AK17" s="18">
        <v>2547.5</v>
      </c>
      <c r="AL17" s="18">
        <v>3695.0</v>
      </c>
      <c r="AM17" s="18">
        <v>2013.5</v>
      </c>
      <c r="AN17" s="18">
        <v>1953.0</v>
      </c>
      <c r="AO17" s="45">
        <v>1685.0</v>
      </c>
    </row>
    <row r="18">
      <c r="A18" s="66" t="s">
        <v>9</v>
      </c>
      <c r="B18" s="68">
        <v>3627.5</v>
      </c>
      <c r="C18" s="68">
        <v>3690.0</v>
      </c>
      <c r="D18" s="68">
        <v>1988.0</v>
      </c>
      <c r="E18" s="68">
        <v>3590.5</v>
      </c>
      <c r="F18" s="68">
        <v>2227.5</v>
      </c>
      <c r="G18" s="68">
        <v>3082.52</v>
      </c>
      <c r="H18" s="68">
        <v>3859.0</v>
      </c>
      <c r="I18" s="72">
        <v>2463.0</v>
      </c>
      <c r="J18" s="68">
        <v>2136.59</v>
      </c>
      <c r="K18" s="68">
        <v>3122.5</v>
      </c>
      <c r="L18" s="68">
        <v>3028.01</v>
      </c>
      <c r="M18" s="68">
        <v>3897.01</v>
      </c>
      <c r="N18" s="68">
        <v>4739.5</v>
      </c>
      <c r="O18" s="68">
        <v>5202.0</v>
      </c>
      <c r="P18" s="68">
        <v>3665.53</v>
      </c>
      <c r="Q18" s="70">
        <v>2663.59</v>
      </c>
      <c r="R18" s="68">
        <v>1779.11</v>
      </c>
      <c r="S18" s="68">
        <v>2505.5</v>
      </c>
      <c r="T18" s="68">
        <v>2837.1</v>
      </c>
      <c r="U18" s="68">
        <v>2430.52</v>
      </c>
      <c r="V18" s="68">
        <v>3094.03</v>
      </c>
      <c r="W18" s="68">
        <v>5184.8</v>
      </c>
      <c r="X18" s="68">
        <v>2934.75</v>
      </c>
      <c r="Y18" s="68">
        <v>3730.25</v>
      </c>
      <c r="Z18" s="68">
        <v>4036.0</v>
      </c>
      <c r="AA18" s="68">
        <v>2203.75</v>
      </c>
      <c r="AB18" s="68">
        <v>1480.76</v>
      </c>
      <c r="AC18" s="68">
        <v>1942.27</v>
      </c>
      <c r="AD18" s="68">
        <v>2123.76</v>
      </c>
      <c r="AE18" s="68">
        <v>2484.4</v>
      </c>
      <c r="AF18" s="68">
        <v>3052.0</v>
      </c>
      <c r="AG18" s="20">
        <v>1894.51</v>
      </c>
      <c r="AH18" s="20">
        <v>2593.01</v>
      </c>
      <c r="AI18" s="20">
        <v>3252.5</v>
      </c>
      <c r="AJ18" s="20">
        <v>1986.51</v>
      </c>
      <c r="AK18" s="18">
        <v>1989.0</v>
      </c>
      <c r="AL18" s="45">
        <v>3054.5</v>
      </c>
      <c r="AM18" s="45">
        <v>2396.0</v>
      </c>
      <c r="AN18" s="18">
        <v>2354.55</v>
      </c>
      <c r="AO18" s="18">
        <v>2066.0</v>
      </c>
    </row>
    <row r="19">
      <c r="A19" s="66" t="s">
        <v>11</v>
      </c>
      <c r="B19" s="68">
        <v>3655.62</v>
      </c>
      <c r="C19" s="68">
        <v>3608.5</v>
      </c>
      <c r="D19" s="68">
        <v>2640.0</v>
      </c>
      <c r="E19" s="68">
        <v>2005.5</v>
      </c>
      <c r="F19" s="68">
        <v>3156.51</v>
      </c>
      <c r="G19" s="68">
        <v>3377.5</v>
      </c>
      <c r="H19" s="68">
        <v>3860.01</v>
      </c>
      <c r="I19" s="72">
        <v>3068.0</v>
      </c>
      <c r="J19" s="68">
        <v>3153.51</v>
      </c>
      <c r="K19" s="68">
        <v>8558.5</v>
      </c>
      <c r="L19" s="68">
        <v>3176.0</v>
      </c>
      <c r="M19" s="68">
        <v>3552.02</v>
      </c>
      <c r="N19" s="68">
        <v>3983.03</v>
      </c>
      <c r="O19" s="68">
        <v>4511.03</v>
      </c>
      <c r="P19" s="68">
        <v>3542.58</v>
      </c>
      <c r="Q19" s="70">
        <v>2751.06</v>
      </c>
      <c r="R19" s="68">
        <v>3044.03</v>
      </c>
      <c r="S19" s="68">
        <v>3621.52</v>
      </c>
      <c r="T19" s="68">
        <v>3064.52</v>
      </c>
      <c r="U19" s="68">
        <v>2415.5</v>
      </c>
      <c r="V19" s="68">
        <v>2191.5</v>
      </c>
      <c r="W19" s="68">
        <v>6840.76</v>
      </c>
      <c r="X19" s="68">
        <v>2933.75</v>
      </c>
      <c r="Y19" s="68">
        <v>3770.26</v>
      </c>
      <c r="Z19" s="68">
        <v>5012.26</v>
      </c>
      <c r="AA19" s="68">
        <v>3651.0</v>
      </c>
      <c r="AB19" s="68">
        <v>3039.0</v>
      </c>
      <c r="AC19" s="68">
        <v>2700.0</v>
      </c>
      <c r="AD19" s="68">
        <v>2997.75</v>
      </c>
      <c r="AE19" s="68">
        <v>2447.5</v>
      </c>
      <c r="AF19" s="68">
        <v>3561.52</v>
      </c>
      <c r="AG19" s="20">
        <v>2338.51</v>
      </c>
      <c r="AH19" s="20">
        <v>2003.52</v>
      </c>
      <c r="AI19" s="20">
        <v>1830.5</v>
      </c>
      <c r="AJ19" s="20">
        <v>1610.0</v>
      </c>
      <c r="AK19" s="18">
        <v>3473.04</v>
      </c>
      <c r="AL19" s="45">
        <v>4457.0</v>
      </c>
      <c r="AM19" s="45">
        <v>5202.0</v>
      </c>
      <c r="AN19" s="18">
        <v>2607.51</v>
      </c>
      <c r="AO19" s="18">
        <v>3548.0</v>
      </c>
    </row>
    <row r="20">
      <c r="A20" s="66" t="s">
        <v>13</v>
      </c>
      <c r="B20" s="68">
        <v>2025.0</v>
      </c>
      <c r="C20" s="68">
        <v>2119.5</v>
      </c>
      <c r="D20" s="68">
        <v>2426.5</v>
      </c>
      <c r="E20" s="68">
        <v>2120.5</v>
      </c>
      <c r="F20" s="68">
        <v>2657.51</v>
      </c>
      <c r="G20" s="68">
        <v>3606.02</v>
      </c>
      <c r="H20" s="68">
        <v>2902.5</v>
      </c>
      <c r="I20" s="72">
        <v>2362.0</v>
      </c>
      <c r="J20" s="68">
        <v>6548.5</v>
      </c>
      <c r="K20" s="68">
        <v>2608.5</v>
      </c>
      <c r="L20" s="68">
        <v>3841.51</v>
      </c>
      <c r="M20" s="68">
        <v>2445.5</v>
      </c>
      <c r="N20" s="68">
        <v>4318.03</v>
      </c>
      <c r="O20" s="68">
        <v>2940.52</v>
      </c>
      <c r="P20" s="68">
        <v>3078.1</v>
      </c>
      <c r="Q20" s="70">
        <v>2984.53</v>
      </c>
      <c r="R20" s="68">
        <v>2266.57</v>
      </c>
      <c r="S20" s="68">
        <v>2359.5</v>
      </c>
      <c r="T20" s="68">
        <v>2748.05</v>
      </c>
      <c r="U20" s="68">
        <v>2605.52</v>
      </c>
      <c r="V20" s="68">
        <v>2777.54</v>
      </c>
      <c r="W20" s="68">
        <v>3973.78</v>
      </c>
      <c r="X20" s="68">
        <v>2501.6</v>
      </c>
      <c r="Y20" s="68">
        <v>3424.02</v>
      </c>
      <c r="Z20" s="68">
        <v>4701.75</v>
      </c>
      <c r="AA20" s="68">
        <v>3370.25</v>
      </c>
      <c r="AB20" s="68">
        <v>2141.04</v>
      </c>
      <c r="AC20" s="68">
        <v>2343.0</v>
      </c>
      <c r="AD20" s="68">
        <v>3996.29</v>
      </c>
      <c r="AE20" s="68">
        <v>2762.5</v>
      </c>
      <c r="AF20" s="68">
        <v>2677.52</v>
      </c>
      <c r="AG20" s="20">
        <v>1838.0</v>
      </c>
      <c r="AH20" s="20">
        <v>2930.52</v>
      </c>
      <c r="AI20" s="20">
        <v>2209.0</v>
      </c>
      <c r="AJ20" s="20">
        <v>2127.5</v>
      </c>
      <c r="AK20" s="18">
        <v>2970.0</v>
      </c>
      <c r="AL20" s="18">
        <v>1257.0</v>
      </c>
      <c r="AM20" s="18">
        <v>2442.5</v>
      </c>
      <c r="AN20" s="18">
        <v>1818.5</v>
      </c>
      <c r="AO20" s="18">
        <v>1981.53</v>
      </c>
    </row>
    <row r="21" ht="15.75" customHeight="1">
      <c r="A21" s="66" t="s">
        <v>17</v>
      </c>
      <c r="B21" s="68">
        <v>2346.5</v>
      </c>
      <c r="C21" s="68">
        <v>3235.5</v>
      </c>
      <c r="D21" s="68">
        <v>6451.0</v>
      </c>
      <c r="E21" s="68">
        <v>2688.0</v>
      </c>
      <c r="F21" s="68">
        <v>2385.02</v>
      </c>
      <c r="G21" s="68">
        <v>3082.5</v>
      </c>
      <c r="H21" s="68">
        <v>2904.0</v>
      </c>
      <c r="I21" s="72">
        <v>3320.5</v>
      </c>
      <c r="J21" s="68">
        <v>6433.0</v>
      </c>
      <c r="K21" s="68">
        <v>3220.0</v>
      </c>
      <c r="L21" s="68">
        <v>2814.01</v>
      </c>
      <c r="M21" s="68">
        <v>3505.01</v>
      </c>
      <c r="N21" s="68">
        <v>5971.5</v>
      </c>
      <c r="O21" s="68">
        <v>3841.5</v>
      </c>
      <c r="P21" s="68">
        <v>3223.0</v>
      </c>
      <c r="Q21" s="70">
        <v>2660.53</v>
      </c>
      <c r="R21" s="68">
        <v>3083.04</v>
      </c>
      <c r="S21" s="68">
        <v>3186.5</v>
      </c>
      <c r="T21" s="68">
        <v>1730.0</v>
      </c>
      <c r="U21" s="68">
        <v>2431.5</v>
      </c>
      <c r="V21" s="68">
        <v>2639.51</v>
      </c>
      <c r="W21" s="68">
        <v>8689.26</v>
      </c>
      <c r="X21" s="68">
        <v>3563.35</v>
      </c>
      <c r="Y21" s="68">
        <v>2989.75</v>
      </c>
      <c r="Z21" s="68">
        <v>3829.5</v>
      </c>
      <c r="AA21" s="68">
        <v>2659.01</v>
      </c>
      <c r="AB21" s="68">
        <v>1976.5</v>
      </c>
      <c r="AC21" s="68">
        <v>2099.76</v>
      </c>
      <c r="AD21" s="68">
        <v>1930.5</v>
      </c>
      <c r="AE21" s="68">
        <v>2244.27</v>
      </c>
      <c r="AF21" s="68">
        <v>2163.5</v>
      </c>
      <c r="AG21" s="20">
        <v>1633.01</v>
      </c>
      <c r="AH21" s="20">
        <v>1796.5</v>
      </c>
      <c r="AI21" s="20">
        <v>2235.0</v>
      </c>
      <c r="AJ21" s="20">
        <v>1266.0</v>
      </c>
      <c r="AK21" s="18">
        <v>3421.5</v>
      </c>
      <c r="AL21" s="18">
        <v>1471.5</v>
      </c>
      <c r="AM21" s="18">
        <v>2079.0</v>
      </c>
      <c r="AN21" s="18">
        <v>2350.5</v>
      </c>
      <c r="AO21" s="18">
        <v>1924.0</v>
      </c>
    </row>
    <row r="22" ht="15.75" customHeight="1">
      <c r="A22" s="66" t="s">
        <v>18</v>
      </c>
      <c r="B22" s="68">
        <v>3673.0</v>
      </c>
      <c r="C22" s="68">
        <v>4443.0</v>
      </c>
      <c r="D22" s="68">
        <v>4568.5</v>
      </c>
      <c r="E22" s="68">
        <v>2466.5</v>
      </c>
      <c r="F22" s="68">
        <v>5408.51</v>
      </c>
      <c r="G22" s="68">
        <v>3862.0</v>
      </c>
      <c r="H22" s="68">
        <v>5272.0</v>
      </c>
      <c r="I22" s="72">
        <v>3240.5</v>
      </c>
      <c r="J22" s="68">
        <v>7005.0</v>
      </c>
      <c r="K22" s="68">
        <v>6592.5</v>
      </c>
      <c r="L22" s="68">
        <v>4268.03</v>
      </c>
      <c r="M22" s="68">
        <v>6416.01</v>
      </c>
      <c r="N22" s="68">
        <v>7659.03</v>
      </c>
      <c r="O22" s="68">
        <v>7511.1</v>
      </c>
      <c r="P22" s="68">
        <v>4206.56</v>
      </c>
      <c r="Q22" s="70">
        <v>2511.53</v>
      </c>
      <c r="R22" s="68">
        <v>2458.84</v>
      </c>
      <c r="S22" s="68">
        <v>2792.03</v>
      </c>
      <c r="T22" s="68">
        <v>3810.52</v>
      </c>
      <c r="U22" s="68">
        <v>3454.51</v>
      </c>
      <c r="V22" s="68">
        <v>2003.5</v>
      </c>
      <c r="W22" s="68">
        <v>8072.52</v>
      </c>
      <c r="X22" s="68">
        <v>2487.0</v>
      </c>
      <c r="Y22" s="68">
        <v>5551.52</v>
      </c>
      <c r="Z22" s="68">
        <v>5093.75</v>
      </c>
      <c r="AA22" s="68">
        <v>4990.75</v>
      </c>
      <c r="AB22" s="68">
        <v>3048.54</v>
      </c>
      <c r="AC22" s="68">
        <v>3700.0</v>
      </c>
      <c r="AD22" s="68">
        <v>3716.29</v>
      </c>
      <c r="AE22" s="68">
        <v>2244.5</v>
      </c>
      <c r="AF22" s="68">
        <v>3196.9</v>
      </c>
      <c r="AG22" s="20">
        <v>2976.67</v>
      </c>
      <c r="AH22" s="20">
        <v>3029.9</v>
      </c>
      <c r="AI22" s="20">
        <v>3360.5</v>
      </c>
      <c r="AJ22" s="20">
        <v>3522.0</v>
      </c>
      <c r="AK22" s="18">
        <v>5946.0</v>
      </c>
      <c r="AL22" s="18">
        <v>3689.5</v>
      </c>
      <c r="AM22" s="18">
        <v>2945.5</v>
      </c>
      <c r="AN22" s="18">
        <v>4164.5</v>
      </c>
      <c r="AO22" s="18">
        <v>6114.0</v>
      </c>
    </row>
    <row r="23" ht="15.75" customHeight="1">
      <c r="A23" s="66" t="s">
        <v>20</v>
      </c>
      <c r="B23" s="68">
        <v>3671.0</v>
      </c>
      <c r="C23" s="68">
        <v>3675.5</v>
      </c>
      <c r="D23" s="68">
        <v>3877.5</v>
      </c>
      <c r="E23" s="68">
        <v>2666.0</v>
      </c>
      <c r="F23" s="68">
        <v>3754.5</v>
      </c>
      <c r="G23" s="75">
        <v>3467.0</v>
      </c>
      <c r="H23" s="68">
        <v>4979.01</v>
      </c>
      <c r="I23" s="72">
        <v>3979.51</v>
      </c>
      <c r="J23" s="68">
        <v>6027.0</v>
      </c>
      <c r="K23" s="68">
        <v>5898.0</v>
      </c>
      <c r="L23" s="68">
        <v>4159.5</v>
      </c>
      <c r="M23" s="68">
        <v>4838.09</v>
      </c>
      <c r="N23" s="68">
        <v>7680.01</v>
      </c>
      <c r="O23" s="68">
        <v>6691.53</v>
      </c>
      <c r="P23" s="68">
        <v>4285.06</v>
      </c>
      <c r="Q23" s="70">
        <v>2559.55</v>
      </c>
      <c r="R23" s="68">
        <v>1920.53</v>
      </c>
      <c r="S23" s="68">
        <v>2969.0</v>
      </c>
      <c r="T23" s="68">
        <v>2209.51</v>
      </c>
      <c r="U23" s="68">
        <v>2628.53</v>
      </c>
      <c r="V23" s="68">
        <v>3688.5</v>
      </c>
      <c r="W23" s="68">
        <v>6901.26</v>
      </c>
      <c r="X23" s="68">
        <v>3171.75</v>
      </c>
      <c r="Y23" s="68">
        <v>5499.75</v>
      </c>
      <c r="Z23" s="68">
        <v>4808.85</v>
      </c>
      <c r="AA23" s="68">
        <v>4930.04</v>
      </c>
      <c r="AB23" s="68">
        <v>1359.0</v>
      </c>
      <c r="AC23" s="68">
        <v>2456.5</v>
      </c>
      <c r="AD23" s="68">
        <v>2684.02</v>
      </c>
      <c r="AE23" s="68">
        <v>2258.2</v>
      </c>
      <c r="AF23" s="68">
        <v>2686.8</v>
      </c>
      <c r="AG23" s="20">
        <v>2882.9</v>
      </c>
      <c r="AH23" s="20">
        <v>4194.4</v>
      </c>
      <c r="AI23" s="20">
        <v>3765.41</v>
      </c>
      <c r="AJ23" s="20">
        <v>2802.5</v>
      </c>
      <c r="AK23" s="18">
        <v>6474.0</v>
      </c>
      <c r="AL23" s="18">
        <v>2867.5</v>
      </c>
      <c r="AM23" s="18">
        <v>2583.0</v>
      </c>
      <c r="AN23" s="18">
        <v>4225.0</v>
      </c>
      <c r="AO23" s="18">
        <v>4655.0</v>
      </c>
    </row>
    <row r="24" ht="15.75" customHeight="1">
      <c r="A24" s="66" t="s">
        <v>7</v>
      </c>
      <c r="B24" s="68">
        <v>4152.5</v>
      </c>
      <c r="C24" s="68">
        <v>2219.0</v>
      </c>
      <c r="D24" s="68">
        <v>2356.5</v>
      </c>
      <c r="E24" s="68">
        <v>2666.0</v>
      </c>
      <c r="F24" s="68">
        <v>2145.0</v>
      </c>
      <c r="G24" s="76">
        <v>2881.01</v>
      </c>
      <c r="H24" s="68">
        <v>2345.5</v>
      </c>
      <c r="I24" s="72">
        <v>2641.02</v>
      </c>
      <c r="J24" s="68">
        <v>3158.0</v>
      </c>
      <c r="K24" s="68">
        <v>6636.5</v>
      </c>
      <c r="L24" s="68">
        <v>2293.0</v>
      </c>
      <c r="M24" s="68">
        <v>3812.01</v>
      </c>
      <c r="N24" s="68">
        <v>3044.52</v>
      </c>
      <c r="O24" s="68">
        <v>2444.53</v>
      </c>
      <c r="P24" s="68">
        <v>4340.04</v>
      </c>
      <c r="Q24" s="70">
        <v>2431.9</v>
      </c>
      <c r="R24" s="68">
        <v>2158.65</v>
      </c>
      <c r="S24" s="68">
        <v>2250.08</v>
      </c>
      <c r="T24" s="68">
        <v>0.0</v>
      </c>
      <c r="U24" s="68">
        <v>2699.02</v>
      </c>
      <c r="V24" s="68">
        <v>5089.51</v>
      </c>
      <c r="W24" s="68">
        <v>4523.53</v>
      </c>
      <c r="X24" s="68">
        <v>2508.0</v>
      </c>
      <c r="Y24" s="68">
        <v>4567.5</v>
      </c>
      <c r="Z24" s="68">
        <v>3555.75</v>
      </c>
      <c r="AA24" s="68">
        <v>2571.51</v>
      </c>
      <c r="AB24" s="68">
        <v>2463.06</v>
      </c>
      <c r="AC24" s="68">
        <v>2093.52</v>
      </c>
      <c r="AD24" s="68">
        <v>1500.77</v>
      </c>
      <c r="AE24" s="68">
        <v>1729.0</v>
      </c>
      <c r="AF24" s="68">
        <v>1835.0</v>
      </c>
      <c r="AG24" s="20">
        <v>943.5</v>
      </c>
      <c r="AH24" s="20">
        <v>2376.5</v>
      </c>
      <c r="AI24" s="20">
        <v>1562.5</v>
      </c>
      <c r="AJ24" s="20">
        <v>2690.5</v>
      </c>
      <c r="AK24" s="18">
        <v>2201.51</v>
      </c>
      <c r="AL24" s="18">
        <v>2008.5</v>
      </c>
      <c r="AM24" s="18">
        <v>1635.5</v>
      </c>
      <c r="AN24" s="18">
        <v>2595.0</v>
      </c>
      <c r="AO24" s="18">
        <v>1406.0</v>
      </c>
    </row>
    <row r="25" ht="15.75" customHeight="1">
      <c r="A25" s="66" t="s">
        <v>9</v>
      </c>
      <c r="B25" s="68">
        <v>4456.5</v>
      </c>
      <c r="C25" s="68">
        <v>2553.5</v>
      </c>
      <c r="D25" s="68">
        <v>4678.5</v>
      </c>
      <c r="E25" s="68">
        <v>3580.5</v>
      </c>
      <c r="F25" s="68">
        <v>2556.0</v>
      </c>
      <c r="G25" s="68">
        <v>3468.5</v>
      </c>
      <c r="H25" s="68">
        <v>3308.01</v>
      </c>
      <c r="I25" s="72">
        <v>2972.0</v>
      </c>
      <c r="J25" s="68">
        <v>2059.5</v>
      </c>
      <c r="K25" s="68">
        <v>2481.0</v>
      </c>
      <c r="L25" s="68">
        <v>2868.5</v>
      </c>
      <c r="M25" s="68">
        <v>4180.0</v>
      </c>
      <c r="N25" s="68">
        <v>2547.53</v>
      </c>
      <c r="O25" s="68">
        <v>4869.08</v>
      </c>
      <c r="P25" s="68">
        <v>4233.52</v>
      </c>
      <c r="Q25" s="70">
        <v>2303.08</v>
      </c>
      <c r="R25" s="68">
        <v>2025.03</v>
      </c>
      <c r="S25" s="73">
        <v>2718.09</v>
      </c>
      <c r="T25" s="68">
        <v>2925.06</v>
      </c>
      <c r="U25" s="68">
        <v>4766.03</v>
      </c>
      <c r="V25" s="68">
        <v>3999.38</v>
      </c>
      <c r="W25" s="68">
        <v>6178.52</v>
      </c>
      <c r="X25" s="68">
        <v>3633.6</v>
      </c>
      <c r="Y25" s="68">
        <v>3183.75</v>
      </c>
      <c r="Z25" s="68">
        <v>3488.54</v>
      </c>
      <c r="AA25" s="68">
        <v>2507.52</v>
      </c>
      <c r="AB25" s="68">
        <v>2204.5</v>
      </c>
      <c r="AC25" s="68">
        <v>2438.0</v>
      </c>
      <c r="AD25" s="68">
        <v>1245.76</v>
      </c>
      <c r="AE25" s="68">
        <v>2054.54</v>
      </c>
      <c r="AF25" s="68">
        <v>2066.0</v>
      </c>
      <c r="AG25" s="20">
        <v>1312.52</v>
      </c>
      <c r="AH25" s="20">
        <v>2089.5</v>
      </c>
      <c r="AI25" s="20">
        <v>1135.01</v>
      </c>
      <c r="AJ25" s="20">
        <v>1277.02</v>
      </c>
      <c r="AK25" s="18">
        <v>7027.02</v>
      </c>
      <c r="AL25" s="18">
        <v>2237.0</v>
      </c>
      <c r="AM25" s="18">
        <v>2055.5</v>
      </c>
      <c r="AN25" s="18">
        <v>3196.5</v>
      </c>
      <c r="AO25" s="18">
        <v>1741.0</v>
      </c>
    </row>
    <row r="26" ht="15.75" customHeight="1">
      <c r="A26" s="66" t="s">
        <v>11</v>
      </c>
      <c r="B26" s="68">
        <v>4146.5</v>
      </c>
      <c r="C26" s="68">
        <v>3062.0</v>
      </c>
      <c r="D26" s="68">
        <v>2052.5</v>
      </c>
      <c r="E26" s="68">
        <v>3120.5</v>
      </c>
      <c r="F26" s="68">
        <v>2371.0</v>
      </c>
      <c r="G26" s="68">
        <v>3813.0</v>
      </c>
      <c r="H26" s="68">
        <v>3837.04</v>
      </c>
      <c r="I26" s="72">
        <v>2657.0</v>
      </c>
      <c r="J26" s="68">
        <v>3622.5</v>
      </c>
      <c r="K26" s="68">
        <v>3232.0</v>
      </c>
      <c r="L26" s="68">
        <v>2735.51</v>
      </c>
      <c r="M26" s="68">
        <v>4146.5</v>
      </c>
      <c r="N26" s="68">
        <v>3458.5</v>
      </c>
      <c r="O26" s="68">
        <v>3148.57</v>
      </c>
      <c r="P26" s="68">
        <v>2946.53</v>
      </c>
      <c r="Q26" s="70">
        <v>2339.07</v>
      </c>
      <c r="R26" s="68">
        <v>2132.57</v>
      </c>
      <c r="S26" s="68">
        <v>3490.5</v>
      </c>
      <c r="T26" s="68">
        <v>3664.0</v>
      </c>
      <c r="U26" s="68">
        <v>3146.5</v>
      </c>
      <c r="V26" s="68">
        <v>1713.06</v>
      </c>
      <c r="W26" s="68">
        <v>7137.28</v>
      </c>
      <c r="X26" s="68">
        <v>2616.0</v>
      </c>
      <c r="Y26" s="68">
        <v>3561.0</v>
      </c>
      <c r="Z26" s="68">
        <v>4198.01</v>
      </c>
      <c r="AA26" s="68">
        <v>2404.02</v>
      </c>
      <c r="AB26" s="68">
        <v>2588.51</v>
      </c>
      <c r="AC26" s="68">
        <v>2086.76</v>
      </c>
      <c r="AD26" s="68">
        <v>2614.03</v>
      </c>
      <c r="AE26" s="68">
        <v>2148.03</v>
      </c>
      <c r="AF26" s="68">
        <v>1960.0</v>
      </c>
      <c r="AG26" s="20">
        <v>2002.04</v>
      </c>
      <c r="AH26" s="20">
        <v>2055.5</v>
      </c>
      <c r="AI26" s="20">
        <v>2343.01</v>
      </c>
      <c r="AJ26" s="20">
        <v>0.0</v>
      </c>
      <c r="AK26" s="18">
        <v>1784.0</v>
      </c>
      <c r="AL26" s="18">
        <v>1707.5</v>
      </c>
      <c r="AM26" s="18">
        <v>1266.0</v>
      </c>
      <c r="AN26" s="18">
        <v>2064.5</v>
      </c>
      <c r="AO26" s="18">
        <v>1648.0</v>
      </c>
    </row>
    <row r="27" ht="15.75" customHeight="1">
      <c r="A27" s="66" t="s">
        <v>13</v>
      </c>
      <c r="B27" s="68">
        <v>2418.5</v>
      </c>
      <c r="C27" s="68">
        <v>2894.5</v>
      </c>
      <c r="D27" s="68">
        <v>2868.0</v>
      </c>
      <c r="E27" s="68">
        <v>1309.5</v>
      </c>
      <c r="F27" s="68">
        <v>3537.5</v>
      </c>
      <c r="G27" s="68">
        <v>5307.02</v>
      </c>
      <c r="H27" s="68">
        <v>3837.04</v>
      </c>
      <c r="I27" s="72">
        <v>2459.01</v>
      </c>
      <c r="J27" s="68">
        <v>3047.01</v>
      </c>
      <c r="K27" s="68">
        <v>2389.51</v>
      </c>
      <c r="L27" s="68">
        <v>3217.03</v>
      </c>
      <c r="M27" s="68">
        <v>4785.02</v>
      </c>
      <c r="N27" s="68">
        <v>5258.01</v>
      </c>
      <c r="O27" s="68">
        <v>4010.03</v>
      </c>
      <c r="P27" s="68">
        <v>2552.55</v>
      </c>
      <c r="Q27" s="70">
        <v>2740.55</v>
      </c>
      <c r="R27" s="68">
        <v>2538.53</v>
      </c>
      <c r="S27" s="68">
        <v>3646.03</v>
      </c>
      <c r="T27" s="68">
        <v>2935.13</v>
      </c>
      <c r="U27" s="68">
        <v>1952.02</v>
      </c>
      <c r="V27" s="68">
        <v>2836.53</v>
      </c>
      <c r="W27" s="68">
        <v>3774.76</v>
      </c>
      <c r="X27" s="68">
        <v>2690.81</v>
      </c>
      <c r="Y27" s="68">
        <v>3948.5</v>
      </c>
      <c r="Z27" s="68">
        <v>3899.51</v>
      </c>
      <c r="AA27" s="68">
        <v>2565.5</v>
      </c>
      <c r="AB27" s="68">
        <v>1523.75</v>
      </c>
      <c r="AC27" s="68">
        <v>2587.26</v>
      </c>
      <c r="AD27" s="68">
        <v>2380.75</v>
      </c>
      <c r="AE27" s="68">
        <v>3636.1</v>
      </c>
      <c r="AF27" s="68">
        <v>4493.0</v>
      </c>
      <c r="AG27" s="20">
        <v>2439.0</v>
      </c>
      <c r="AH27" s="20">
        <v>1910.5</v>
      </c>
      <c r="AI27" s="20">
        <v>3377.51</v>
      </c>
      <c r="AJ27" s="20">
        <v>941.02</v>
      </c>
      <c r="AK27" s="18">
        <v>4027.53</v>
      </c>
      <c r="AL27" s="18">
        <v>1749.5</v>
      </c>
      <c r="AM27" s="18">
        <v>2001.5</v>
      </c>
      <c r="AN27" s="18">
        <v>3013.5</v>
      </c>
      <c r="AO27" s="18">
        <v>1950.5</v>
      </c>
    </row>
    <row r="28" ht="15.75" customHeight="1">
      <c r="A28" s="66" t="s">
        <v>17</v>
      </c>
      <c r="B28" s="68">
        <v>3142.0</v>
      </c>
      <c r="C28" s="68">
        <v>2850.0</v>
      </c>
      <c r="D28" s="68">
        <v>4995.5</v>
      </c>
      <c r="E28" s="68">
        <v>2044.5</v>
      </c>
      <c r="F28" s="68">
        <v>3413.5</v>
      </c>
      <c r="G28" s="68">
        <v>5198.5</v>
      </c>
      <c r="H28" s="68">
        <v>3264.02</v>
      </c>
      <c r="I28" s="72">
        <v>4058.5</v>
      </c>
      <c r="J28" s="68">
        <v>4769.0</v>
      </c>
      <c r="K28" s="68">
        <v>3746.5</v>
      </c>
      <c r="L28" s="68">
        <v>3927.0</v>
      </c>
      <c r="M28" s="68">
        <v>5060.5</v>
      </c>
      <c r="N28" s="68">
        <v>6791.08</v>
      </c>
      <c r="O28" s="68">
        <v>2485.05</v>
      </c>
      <c r="P28" s="68">
        <v>3727.06</v>
      </c>
      <c r="Q28" s="70">
        <v>1891.01</v>
      </c>
      <c r="R28" s="68">
        <v>2749.59</v>
      </c>
      <c r="S28" s="68">
        <v>2198.1</v>
      </c>
      <c r="T28" s="73">
        <v>2231.05</v>
      </c>
      <c r="U28" s="68">
        <v>2626.01</v>
      </c>
      <c r="V28" s="68">
        <v>2337.5</v>
      </c>
      <c r="W28" s="68">
        <v>3855.02</v>
      </c>
      <c r="X28" s="68">
        <v>2366.0</v>
      </c>
      <c r="Y28" s="68">
        <v>6062.25</v>
      </c>
      <c r="Z28" s="68">
        <v>4059.45</v>
      </c>
      <c r="AA28" s="68">
        <v>3666.75</v>
      </c>
      <c r="AB28" s="68">
        <v>3375.5</v>
      </c>
      <c r="AC28" s="68">
        <v>3058.25</v>
      </c>
      <c r="AD28" s="68">
        <v>1809.59</v>
      </c>
      <c r="AE28" s="68">
        <v>1866.5</v>
      </c>
      <c r="AF28" s="68">
        <v>2014.0</v>
      </c>
      <c r="AG28" s="20">
        <v>2878.92</v>
      </c>
      <c r="AH28" s="20">
        <v>2070.75</v>
      </c>
      <c r="AI28" s="20">
        <v>2239.0</v>
      </c>
      <c r="AJ28" s="20">
        <v>1994.01</v>
      </c>
      <c r="AK28" s="18">
        <v>3482.0</v>
      </c>
      <c r="AL28" s="18">
        <v>2585.4</v>
      </c>
      <c r="AM28" s="18">
        <v>2674.0</v>
      </c>
      <c r="AN28" s="18">
        <v>2211.0</v>
      </c>
      <c r="AO28" s="18">
        <v>2996.0</v>
      </c>
    </row>
    <row r="29" ht="15.75" customHeight="1">
      <c r="A29" s="66" t="s">
        <v>18</v>
      </c>
      <c r="B29" s="68">
        <v>4052.5</v>
      </c>
      <c r="C29" s="68">
        <v>3524.5</v>
      </c>
      <c r="D29" s="68">
        <v>4507.0</v>
      </c>
      <c r="E29" s="68">
        <v>2214.0</v>
      </c>
      <c r="F29" s="68">
        <v>4097.51</v>
      </c>
      <c r="G29" s="68">
        <v>5675.02</v>
      </c>
      <c r="H29" s="68">
        <v>4555.02</v>
      </c>
      <c r="I29" s="72">
        <v>5241.0</v>
      </c>
      <c r="J29" s="68">
        <v>5458.0</v>
      </c>
      <c r="K29" s="68">
        <v>5092.5</v>
      </c>
      <c r="L29" s="68">
        <v>2734.5</v>
      </c>
      <c r="M29" s="68">
        <v>7409.01</v>
      </c>
      <c r="N29" s="68">
        <v>8037.5</v>
      </c>
      <c r="O29" s="68">
        <v>5373.52</v>
      </c>
      <c r="P29" s="68">
        <v>5224.52</v>
      </c>
      <c r="Q29" s="70">
        <v>3675.05</v>
      </c>
      <c r="R29" s="68">
        <v>4177.03</v>
      </c>
      <c r="S29" s="68">
        <v>3770.53</v>
      </c>
      <c r="T29" s="68">
        <v>3168.51</v>
      </c>
      <c r="U29" s="68">
        <v>3730.5</v>
      </c>
      <c r="V29" s="68">
        <v>3618.5</v>
      </c>
      <c r="W29" s="68">
        <v>6697.26</v>
      </c>
      <c r="X29" s="68">
        <v>2478.75</v>
      </c>
      <c r="Y29" s="68">
        <v>6062.25</v>
      </c>
      <c r="Z29" s="68">
        <v>5634.5</v>
      </c>
      <c r="AA29" s="68">
        <v>5398.77</v>
      </c>
      <c r="AB29" s="68">
        <v>4911.0</v>
      </c>
      <c r="AC29" s="68">
        <v>5817.01</v>
      </c>
      <c r="AD29" s="68">
        <v>2224.0</v>
      </c>
      <c r="AE29" s="68">
        <v>2461.5</v>
      </c>
      <c r="AF29" s="68">
        <v>3132.9</v>
      </c>
      <c r="AG29" s="20">
        <v>3228.5</v>
      </c>
      <c r="AH29" s="20">
        <v>4417.25</v>
      </c>
      <c r="AI29" s="20">
        <v>2282.5</v>
      </c>
      <c r="AJ29" s="20">
        <v>2806.51</v>
      </c>
      <c r="AK29" s="18">
        <v>6372.0</v>
      </c>
      <c r="AL29" s="18">
        <v>4992.01</v>
      </c>
      <c r="AM29" s="18">
        <v>3262.5</v>
      </c>
      <c r="AN29" s="18">
        <v>2959.51</v>
      </c>
      <c r="AO29" s="18">
        <v>3912.0</v>
      </c>
    </row>
    <row r="30" ht="15.75" customHeight="1">
      <c r="A30" s="66" t="s">
        <v>20</v>
      </c>
      <c r="B30" s="68">
        <v>4736.0</v>
      </c>
      <c r="C30" s="68">
        <v>2552.5</v>
      </c>
      <c r="D30" s="68">
        <v>3237.5</v>
      </c>
      <c r="E30" s="68">
        <v>2214.0</v>
      </c>
      <c r="F30" s="68">
        <v>4193.5</v>
      </c>
      <c r="G30" s="75">
        <v>6820.0</v>
      </c>
      <c r="H30" s="68">
        <v>4701.5</v>
      </c>
      <c r="I30" s="72">
        <v>3710.5</v>
      </c>
      <c r="J30" s="68">
        <v>5944.0</v>
      </c>
      <c r="K30" s="68">
        <v>4474.0</v>
      </c>
      <c r="L30" s="68">
        <v>0.0</v>
      </c>
      <c r="M30" s="68">
        <v>8351.0</v>
      </c>
      <c r="N30" s="68">
        <v>10609.51</v>
      </c>
      <c r="O30" s="68">
        <v>4384.0</v>
      </c>
      <c r="P30" s="68">
        <v>4299.09</v>
      </c>
      <c r="Q30" s="70">
        <v>2337.51</v>
      </c>
      <c r="R30" s="68">
        <v>5134.57</v>
      </c>
      <c r="S30" s="68">
        <v>2330.57</v>
      </c>
      <c r="T30" s="68">
        <v>3691.09</v>
      </c>
      <c r="U30" s="68">
        <v>3346.0</v>
      </c>
      <c r="V30" s="68">
        <v>4389.5</v>
      </c>
      <c r="W30" s="68">
        <v>5108.8</v>
      </c>
      <c r="X30" s="68">
        <v>2270.5</v>
      </c>
      <c r="Y30" s="68">
        <v>5242.77</v>
      </c>
      <c r="Z30" s="68">
        <v>4964.25</v>
      </c>
      <c r="AA30" s="68">
        <v>4646.25</v>
      </c>
      <c r="AB30" s="68">
        <v>2492.02</v>
      </c>
      <c r="AC30" s="68">
        <v>4526.0</v>
      </c>
      <c r="AD30" s="68">
        <v>2497.59</v>
      </c>
      <c r="AE30" s="68">
        <v>3170.15</v>
      </c>
      <c r="AF30" s="68">
        <v>1980.0</v>
      </c>
      <c r="AG30" s="20">
        <v>3071.0</v>
      </c>
      <c r="AH30" s="20">
        <v>2996.41</v>
      </c>
      <c r="AI30" s="20">
        <v>2556.5</v>
      </c>
      <c r="AJ30" s="20">
        <v>3695.5</v>
      </c>
      <c r="AK30" s="18">
        <v>5614.5</v>
      </c>
      <c r="AL30" s="18">
        <v>2943.5</v>
      </c>
      <c r="AM30" s="18">
        <v>3460.0</v>
      </c>
      <c r="AN30" s="18">
        <v>3206.0</v>
      </c>
      <c r="AO30" s="18">
        <v>3848.0</v>
      </c>
    </row>
    <row r="31" ht="15.75" customHeight="1">
      <c r="A31" s="66" t="s">
        <v>7</v>
      </c>
      <c r="B31" s="68">
        <v>2425.5</v>
      </c>
      <c r="C31" s="68">
        <v>2552.5</v>
      </c>
      <c r="D31" s="68">
        <v>1653.0</v>
      </c>
      <c r="E31" s="68">
        <v>2192.5</v>
      </c>
      <c r="F31" s="68">
        <v>2713.5</v>
      </c>
      <c r="G31" s="76">
        <v>4827.0</v>
      </c>
      <c r="H31" s="68">
        <v>3324.0</v>
      </c>
      <c r="I31" s="72">
        <v>2475.5</v>
      </c>
      <c r="J31" s="68">
        <v>2368.5</v>
      </c>
      <c r="K31" s="68">
        <v>2362.5</v>
      </c>
      <c r="L31" s="68">
        <v>2313.0</v>
      </c>
      <c r="M31" s="68">
        <v>2831.53</v>
      </c>
      <c r="N31" s="68">
        <v>5501.53</v>
      </c>
      <c r="O31" s="68">
        <v>3259.51</v>
      </c>
      <c r="P31" s="68">
        <v>2297.56</v>
      </c>
      <c r="Q31" s="77">
        <v>1731.01</v>
      </c>
      <c r="R31" s="68">
        <v>1687.05</v>
      </c>
      <c r="S31" s="68">
        <v>2989.59</v>
      </c>
      <c r="T31" s="68">
        <v>2664.13</v>
      </c>
      <c r="U31" s="73">
        <v>2559.01</v>
      </c>
      <c r="V31" s="68">
        <v>3520.01</v>
      </c>
      <c r="W31" s="68">
        <v>3022.25</v>
      </c>
      <c r="X31" s="68">
        <v>2607.75</v>
      </c>
      <c r="Y31" s="68">
        <v>3328.0</v>
      </c>
      <c r="Z31" s="68">
        <v>2615.5</v>
      </c>
      <c r="AA31" s="68">
        <v>2315.75</v>
      </c>
      <c r="AB31" s="68">
        <v>3103.76</v>
      </c>
      <c r="AC31" s="68">
        <v>2601.76</v>
      </c>
      <c r="AD31" s="68">
        <v>1438.0</v>
      </c>
      <c r="AE31" s="68">
        <v>1445.76</v>
      </c>
      <c r="AF31" s="68">
        <v>1707.51</v>
      </c>
      <c r="AG31" s="20">
        <v>2091.01</v>
      </c>
      <c r="AH31" s="20">
        <v>1874.5</v>
      </c>
      <c r="AI31" s="20">
        <v>1871.0</v>
      </c>
      <c r="AJ31" s="20">
        <v>3029.0</v>
      </c>
      <c r="AK31" s="18">
        <v>1805.0</v>
      </c>
      <c r="AL31" s="18">
        <v>1943.0</v>
      </c>
      <c r="AM31" s="18">
        <v>1080.0</v>
      </c>
      <c r="AN31" s="18">
        <v>1975.0</v>
      </c>
      <c r="AO31" s="45">
        <v>3036.5</v>
      </c>
    </row>
    <row r="32" ht="15.75" customHeight="1">
      <c r="A32" s="66" t="s">
        <v>9</v>
      </c>
      <c r="B32" s="68">
        <v>4354.0</v>
      </c>
      <c r="C32" s="68">
        <v>2440.5</v>
      </c>
      <c r="D32" s="68">
        <v>2390.0</v>
      </c>
      <c r="E32" s="68">
        <v>4254.5</v>
      </c>
      <c r="F32" s="68">
        <v>3506.0</v>
      </c>
      <c r="G32" s="68">
        <v>6342.01</v>
      </c>
      <c r="H32" s="68">
        <v>2423.5</v>
      </c>
      <c r="I32" s="72">
        <v>3361.5</v>
      </c>
      <c r="J32" s="68">
        <v>2282.0</v>
      </c>
      <c r="K32" s="68">
        <v>2935.53</v>
      </c>
      <c r="L32" s="68">
        <v>3151.51</v>
      </c>
      <c r="M32" s="68">
        <v>3881.01</v>
      </c>
      <c r="N32" s="68">
        <v>6711.53</v>
      </c>
      <c r="O32" s="68">
        <v>3560.5</v>
      </c>
      <c r="P32" s="68">
        <v>3683.05</v>
      </c>
      <c r="Q32" s="70">
        <v>3429.01</v>
      </c>
      <c r="R32" s="68">
        <v>3827.66</v>
      </c>
      <c r="S32" s="68">
        <v>3831.03</v>
      </c>
      <c r="T32" s="68">
        <v>3321.55</v>
      </c>
      <c r="U32" s="68">
        <v>2304.51</v>
      </c>
      <c r="V32" s="68">
        <v>2468.53</v>
      </c>
      <c r="W32" s="68">
        <v>2917.27</v>
      </c>
      <c r="X32" s="68">
        <v>0.0</v>
      </c>
      <c r="Y32" s="67">
        <v>4182.0</v>
      </c>
      <c r="Z32" s="68">
        <v>3972.76</v>
      </c>
      <c r="AA32" s="68">
        <v>2303.25</v>
      </c>
      <c r="AB32" s="68">
        <v>2110.78</v>
      </c>
      <c r="AC32" s="68">
        <v>2284.83</v>
      </c>
      <c r="AD32" s="68">
        <v>1397.52</v>
      </c>
      <c r="AE32" s="68">
        <v>2105.26</v>
      </c>
      <c r="AF32" s="68">
        <v>2295.0</v>
      </c>
      <c r="AG32" s="20">
        <v>2125.52</v>
      </c>
      <c r="AH32" s="20">
        <v>835.0</v>
      </c>
      <c r="AI32" s="20">
        <v>1636.0</v>
      </c>
      <c r="AJ32" s="20">
        <v>2334.51</v>
      </c>
      <c r="AK32" s="18">
        <v>2564.0</v>
      </c>
      <c r="AL32" s="18">
        <v>2723.5</v>
      </c>
      <c r="AM32" s="18">
        <v>2301.0</v>
      </c>
      <c r="AN32" s="18">
        <v>2608.52</v>
      </c>
      <c r="AO32" s="18">
        <v>1590.5</v>
      </c>
    </row>
    <row r="33" ht="15.75" customHeight="1">
      <c r="A33" s="66" t="s">
        <v>11</v>
      </c>
      <c r="C33" s="68">
        <v>2898.31</v>
      </c>
      <c r="D33" s="68">
        <v>2691.0</v>
      </c>
      <c r="E33" s="68">
        <v>2231.0</v>
      </c>
      <c r="F33" s="68">
        <v>3397.0</v>
      </c>
      <c r="G33" s="68">
        <v>5435.0</v>
      </c>
      <c r="H33" s="68">
        <v>3032.01</v>
      </c>
      <c r="I33" s="72">
        <v>3391.0</v>
      </c>
      <c r="J33" s="68">
        <v>2955.0</v>
      </c>
      <c r="K33" s="68">
        <v>2625.0</v>
      </c>
      <c r="L33" s="68">
        <v>3852.5</v>
      </c>
      <c r="M33" s="68">
        <v>3380.0</v>
      </c>
      <c r="N33" s="68">
        <v>7669.51</v>
      </c>
      <c r="O33" s="68">
        <v>3606.51</v>
      </c>
      <c r="Q33" s="70">
        <v>2695.66</v>
      </c>
      <c r="R33" s="68">
        <v>3091.06</v>
      </c>
      <c r="S33" s="68">
        <v>2610.6</v>
      </c>
      <c r="T33" s="68">
        <v>2664.13</v>
      </c>
      <c r="U33" s="68">
        <v>2470.5</v>
      </c>
      <c r="V33" s="68">
        <v>2949.0</v>
      </c>
      <c r="W33" s="68">
        <v>3455.25</v>
      </c>
      <c r="X33" s="68">
        <v>1349.75</v>
      </c>
      <c r="Y33" s="68">
        <v>4014.01</v>
      </c>
      <c r="Z33" s="68">
        <v>3786.25</v>
      </c>
      <c r="AA33" s="68">
        <v>3328.25</v>
      </c>
      <c r="AB33" s="68">
        <v>3014.75</v>
      </c>
      <c r="AC33" s="68">
        <v>2608.02</v>
      </c>
      <c r="AD33" s="68">
        <v>2021.76</v>
      </c>
      <c r="AE33" s="68">
        <v>2285.01</v>
      </c>
      <c r="AF33" s="68">
        <v>3937.5</v>
      </c>
      <c r="AH33" s="20">
        <v>2232.03</v>
      </c>
      <c r="AI33" s="20">
        <v>2386.0</v>
      </c>
      <c r="AJ33" s="20">
        <v>0.0</v>
      </c>
      <c r="AK33" s="18">
        <v>4048.5</v>
      </c>
      <c r="AL33" s="18">
        <v>2723.5</v>
      </c>
      <c r="AM33" s="18">
        <v>2330.5</v>
      </c>
      <c r="AN33" s="18">
        <v>3424.5</v>
      </c>
      <c r="AO33" s="18">
        <v>3014.5</v>
      </c>
    </row>
    <row r="34" ht="15.75" customHeight="1">
      <c r="A34" s="66" t="s">
        <v>13</v>
      </c>
      <c r="C34" s="68">
        <v>3012.0</v>
      </c>
      <c r="D34" s="68">
        <v>2403.5</v>
      </c>
      <c r="E34" s="68">
        <v>2854.5</v>
      </c>
      <c r="F34" s="68">
        <v>2585.51</v>
      </c>
      <c r="G34" s="68">
        <v>4686.0</v>
      </c>
      <c r="H34" s="78">
        <v>4048.52</v>
      </c>
      <c r="I34" s="72">
        <v>2520.05</v>
      </c>
      <c r="J34" s="68">
        <v>2615.0</v>
      </c>
      <c r="K34" s="68">
        <v>3455.0</v>
      </c>
      <c r="L34" s="68">
        <v>4043.0</v>
      </c>
      <c r="N34" s="68">
        <v>4429.56</v>
      </c>
      <c r="O34" s="68">
        <v>3487.53</v>
      </c>
      <c r="Q34" s="77">
        <v>2140.55</v>
      </c>
      <c r="R34" s="68">
        <v>3403.54</v>
      </c>
      <c r="T34" s="68">
        <v>3207.61</v>
      </c>
      <c r="U34" s="68">
        <v>2039.5</v>
      </c>
      <c r="V34" s="67">
        <v>3705.03</v>
      </c>
      <c r="W34" s="68">
        <v>5585.51</v>
      </c>
      <c r="X34" s="68">
        <v>2033.5</v>
      </c>
      <c r="Y34" s="68">
        <v>3410.67</v>
      </c>
      <c r="Z34" s="68">
        <v>2676.76</v>
      </c>
      <c r="AA34" s="68">
        <v>3336.29</v>
      </c>
      <c r="AC34" s="68">
        <v>1925.53</v>
      </c>
      <c r="AD34" s="68">
        <v>1648.5</v>
      </c>
      <c r="AE34" s="68">
        <v>2123.8</v>
      </c>
      <c r="AF34" s="68">
        <v>2547.0</v>
      </c>
      <c r="AH34" s="20">
        <v>1986.0</v>
      </c>
      <c r="AI34" s="20">
        <v>3025.52</v>
      </c>
      <c r="AK34" s="18">
        <v>3109.0</v>
      </c>
      <c r="AL34" s="18">
        <v>2439.5</v>
      </c>
      <c r="AM34" s="18">
        <v>1821.5</v>
      </c>
      <c r="AN34" s="18">
        <v>2596.5</v>
      </c>
      <c r="AO34" s="18">
        <v>2225.0</v>
      </c>
    </row>
    <row r="35" ht="15.75" customHeight="1">
      <c r="A35" s="66" t="s">
        <v>17</v>
      </c>
      <c r="C35" s="79">
        <v>7191.5</v>
      </c>
      <c r="D35" s="68">
        <v>3068.0</v>
      </c>
      <c r="E35" s="68">
        <v>3672.0</v>
      </c>
      <c r="F35" s="68">
        <v>2997.01</v>
      </c>
      <c r="G35" s="68">
        <v>4838.01</v>
      </c>
      <c r="I35" s="72">
        <v>7849.5</v>
      </c>
      <c r="J35" s="68">
        <v>2452.0</v>
      </c>
      <c r="L35" s="68">
        <v>2591.5</v>
      </c>
      <c r="O35" s="68">
        <v>5229.0</v>
      </c>
      <c r="Q35" s="70">
        <v>2462.5</v>
      </c>
      <c r="R35" s="68">
        <v>4879.5</v>
      </c>
      <c r="T35" s="68">
        <v>2801.6</v>
      </c>
      <c r="U35" s="68">
        <v>2572.02</v>
      </c>
      <c r="W35" s="68">
        <v>2607.0</v>
      </c>
      <c r="X35" s="68">
        <v>1796.75</v>
      </c>
      <c r="Y35" s="68">
        <v>4003.76</v>
      </c>
      <c r="Z35" s="67">
        <v>3058.57</v>
      </c>
      <c r="AA35" s="67">
        <v>2654.51</v>
      </c>
      <c r="AC35" s="68">
        <v>2221.78</v>
      </c>
      <c r="AD35" s="68">
        <v>2261.53</v>
      </c>
      <c r="AF35" s="68">
        <v>3126.91</v>
      </c>
      <c r="AH35" s="20">
        <v>1035.0</v>
      </c>
      <c r="AI35" s="20">
        <v>3165.5</v>
      </c>
      <c r="AK35" s="18">
        <v>2112.0</v>
      </c>
      <c r="AL35" s="18">
        <v>2766.01</v>
      </c>
      <c r="AM35" s="18">
        <v>2128.0</v>
      </c>
      <c r="AO35" s="18">
        <v>3029.5</v>
      </c>
    </row>
    <row r="36" ht="15.75" customHeight="1">
      <c r="A36" s="66" t="s">
        <v>18</v>
      </c>
      <c r="D36" s="68">
        <v>3659.0</v>
      </c>
      <c r="E36" s="68">
        <v>2701.5</v>
      </c>
      <c r="G36" s="68">
        <v>8039.52</v>
      </c>
      <c r="I36" s="72">
        <v>6272.5</v>
      </c>
      <c r="J36" s="68">
        <v>4101.5</v>
      </c>
      <c r="L36" s="68">
        <v>4350.0</v>
      </c>
      <c r="O36" s="68">
        <v>4470.03</v>
      </c>
      <c r="R36" s="68">
        <v>5251.02</v>
      </c>
      <c r="T36" s="68">
        <v>2807.51</v>
      </c>
      <c r="U36" s="68">
        <v>4090.01</v>
      </c>
      <c r="W36" s="68">
        <v>3276.02</v>
      </c>
      <c r="X36" s="68">
        <v>2694.0</v>
      </c>
      <c r="AA36" s="68">
        <v>3820.25</v>
      </c>
      <c r="AC36" s="68">
        <v>4849.76</v>
      </c>
      <c r="AD36" s="68">
        <v>2964.55</v>
      </c>
      <c r="AF36" s="68">
        <v>3471.5</v>
      </c>
      <c r="AI36" s="20">
        <v>2383.5</v>
      </c>
      <c r="AK36" s="18">
        <v>4380.5</v>
      </c>
      <c r="AL36" s="18">
        <v>3975.5</v>
      </c>
      <c r="AM36" s="18">
        <v>3662.0</v>
      </c>
      <c r="AO36" s="18">
        <v>4465.0</v>
      </c>
    </row>
    <row r="37" ht="15.75" customHeight="1">
      <c r="A37" s="66" t="s">
        <v>20</v>
      </c>
      <c r="D37" s="68">
        <v>2721.0</v>
      </c>
      <c r="G37" s="68">
        <v>7545.03</v>
      </c>
      <c r="J37" s="68">
        <v>5724.0</v>
      </c>
      <c r="L37" s="78">
        <v>0.0</v>
      </c>
      <c r="O37" s="68">
        <v>3468.12</v>
      </c>
      <c r="R37" s="68">
        <v>5516.01</v>
      </c>
      <c r="U37" s="68">
        <v>2706.52</v>
      </c>
      <c r="X37" s="68">
        <v>3085.75</v>
      </c>
      <c r="AA37" s="68">
        <v>3108.0</v>
      </c>
      <c r="AD37" s="68">
        <v>3844.15</v>
      </c>
      <c r="AF37" s="68">
        <v>4099.5</v>
      </c>
      <c r="AI37" s="20">
        <v>4227.5</v>
      </c>
      <c r="AM37" s="18">
        <v>4400.5</v>
      </c>
      <c r="AO37" s="18">
        <v>3762.0</v>
      </c>
    </row>
    <row r="38" ht="15.75" customHeight="1">
      <c r="A38" s="66" t="s">
        <v>7</v>
      </c>
      <c r="G38" s="80">
        <v>2890.0</v>
      </c>
      <c r="J38" s="68">
        <v>2202.57</v>
      </c>
      <c r="U38" s="68">
        <v>3228.05</v>
      </c>
      <c r="X38" s="68">
        <v>2174.5</v>
      </c>
      <c r="AA38" s="81">
        <v>2419.5</v>
      </c>
      <c r="AD38" s="68">
        <v>1652.16</v>
      </c>
      <c r="AM38" s="18">
        <v>2178.0</v>
      </c>
    </row>
    <row r="39" ht="15.75" customHeight="1">
      <c r="A39" s="66" t="s">
        <v>9</v>
      </c>
      <c r="J39" s="68">
        <v>2904.5</v>
      </c>
      <c r="AM39" s="18">
        <v>2128.0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>
      <c r="B47" s="82" t="s">
        <v>26</v>
      </c>
      <c r="C47" s="57"/>
      <c r="D47" s="57"/>
      <c r="E47" s="13"/>
      <c r="F47" s="82" t="s">
        <v>27</v>
      </c>
      <c r="G47" s="57"/>
      <c r="H47" s="57"/>
      <c r="I47" s="57"/>
      <c r="J47" s="13"/>
      <c r="K47" s="82" t="s">
        <v>28</v>
      </c>
      <c r="L47" s="57"/>
      <c r="M47" s="57"/>
      <c r="N47" s="57"/>
      <c r="O47" s="13"/>
      <c r="P47" s="82" t="s">
        <v>29</v>
      </c>
      <c r="Q47" s="57"/>
      <c r="R47" s="57"/>
      <c r="S47" s="57"/>
      <c r="T47" s="13"/>
      <c r="U47" s="82" t="s">
        <v>38</v>
      </c>
      <c r="V47" s="57"/>
      <c r="W47" s="57"/>
      <c r="X47" s="57"/>
      <c r="Y47" s="13"/>
      <c r="Z47" s="82" t="s">
        <v>39</v>
      </c>
      <c r="AA47" s="57"/>
      <c r="AB47" s="57"/>
      <c r="AC47" s="57"/>
      <c r="AD47" s="13"/>
      <c r="AE47" s="82" t="s">
        <v>40</v>
      </c>
      <c r="AF47" s="57"/>
      <c r="AG47" s="57"/>
      <c r="AH47" s="57"/>
      <c r="AI47" s="13"/>
      <c r="AJ47" s="82" t="s">
        <v>41</v>
      </c>
      <c r="AK47" s="57"/>
      <c r="AL47" s="57"/>
      <c r="AM47" s="57"/>
      <c r="AN47" s="13"/>
      <c r="AO47" s="82" t="s">
        <v>42</v>
      </c>
      <c r="AP47" s="57"/>
      <c r="AQ47" s="57"/>
      <c r="AR47" s="57"/>
      <c r="AS47" s="13"/>
      <c r="AT47" s="82" t="s">
        <v>43</v>
      </c>
      <c r="AU47" s="57"/>
      <c r="AV47" s="57"/>
      <c r="AW47" s="57"/>
      <c r="AX47" s="13"/>
      <c r="AY47" s="82" t="s">
        <v>36</v>
      </c>
      <c r="AZ47" s="57"/>
      <c r="BA47" s="57"/>
      <c r="BB47" s="57"/>
      <c r="BC47" s="13"/>
      <c r="BD47" s="82" t="s">
        <v>37</v>
      </c>
      <c r="BE47" s="57"/>
      <c r="BF47" s="57"/>
      <c r="BG47" s="57"/>
      <c r="BH47" s="13"/>
      <c r="BI47" s="82" t="s">
        <v>26</v>
      </c>
      <c r="BJ47" s="57"/>
      <c r="BK47" s="57"/>
      <c r="BL47" s="57"/>
      <c r="BM47" s="13"/>
      <c r="BN47" s="82" t="s">
        <v>27</v>
      </c>
      <c r="BO47" s="57"/>
      <c r="BP47" s="57"/>
      <c r="BQ47" s="57"/>
      <c r="BR47" s="13"/>
      <c r="BS47" s="82" t="s">
        <v>28</v>
      </c>
      <c r="BT47" s="57"/>
      <c r="BU47" s="57"/>
      <c r="BV47" s="57"/>
      <c r="BW47" s="13"/>
      <c r="BX47" s="82" t="s">
        <v>29</v>
      </c>
      <c r="BY47" s="57"/>
      <c r="BZ47" s="57"/>
      <c r="CA47" s="57"/>
      <c r="CB47" s="13"/>
      <c r="CC47" s="82" t="s">
        <v>38</v>
      </c>
      <c r="CD47" s="57"/>
      <c r="CE47" s="57"/>
      <c r="CF47" s="57"/>
      <c r="CG47" s="13"/>
      <c r="CH47" s="82" t="s">
        <v>39</v>
      </c>
      <c r="CI47" s="57"/>
      <c r="CJ47" s="57"/>
      <c r="CK47" s="57"/>
      <c r="CL47" s="13"/>
      <c r="CM47" s="82" t="s">
        <v>40</v>
      </c>
      <c r="CN47" s="57"/>
      <c r="CO47" s="57"/>
      <c r="CP47" s="57"/>
      <c r="CQ47" s="13"/>
      <c r="CR47" s="82" t="s">
        <v>41</v>
      </c>
      <c r="CS47" s="57"/>
      <c r="CT47" s="57"/>
      <c r="CU47" s="57"/>
      <c r="CV47" s="13"/>
      <c r="CW47" s="82" t="s">
        <v>42</v>
      </c>
      <c r="CX47" s="57"/>
      <c r="CY47" s="57"/>
      <c r="CZ47" s="57"/>
      <c r="DA47" s="13"/>
      <c r="DB47" s="82" t="s">
        <v>43</v>
      </c>
      <c r="DC47" s="57"/>
      <c r="DD47" s="57"/>
      <c r="DE47" s="57"/>
      <c r="DF47" s="13"/>
      <c r="DG47" s="82" t="s">
        <v>36</v>
      </c>
      <c r="DH47" s="57"/>
      <c r="DI47" s="57"/>
      <c r="DJ47" s="57"/>
      <c r="DK47" s="13"/>
      <c r="DL47" s="82" t="s">
        <v>37</v>
      </c>
      <c r="DM47" s="57"/>
      <c r="DN47" s="57"/>
      <c r="DO47" s="57"/>
      <c r="DP47" s="13"/>
      <c r="DQ47" s="82" t="s">
        <v>26</v>
      </c>
      <c r="DR47" s="57"/>
      <c r="DS47" s="57"/>
      <c r="DT47" s="57"/>
      <c r="DU47" s="13"/>
      <c r="DV47" s="82" t="s">
        <v>27</v>
      </c>
      <c r="DW47" s="57"/>
      <c r="DX47" s="57"/>
      <c r="DY47" s="57"/>
      <c r="DZ47" s="13"/>
      <c r="EA47" s="82" t="s">
        <v>28</v>
      </c>
      <c r="EB47" s="57"/>
      <c r="EC47" s="57"/>
      <c r="ED47" s="57"/>
      <c r="EE47" s="13"/>
      <c r="EF47" s="82" t="s">
        <v>29</v>
      </c>
      <c r="EG47" s="57"/>
      <c r="EH47" s="57"/>
      <c r="EI47" s="57"/>
      <c r="EJ47" s="13"/>
      <c r="EK47" s="82" t="s">
        <v>38</v>
      </c>
      <c r="EL47" s="57"/>
      <c r="EM47" s="57"/>
      <c r="EN47" s="57"/>
      <c r="EO47" s="13"/>
      <c r="EP47" s="82" t="s">
        <v>39</v>
      </c>
      <c r="EQ47" s="57"/>
      <c r="ER47" s="57"/>
      <c r="ES47" s="57"/>
      <c r="ET47" s="13"/>
      <c r="EU47" s="82" t="s">
        <v>40</v>
      </c>
      <c r="EV47" s="57"/>
      <c r="EW47" s="57"/>
      <c r="EX47" s="57"/>
      <c r="EY47" s="13"/>
      <c r="EZ47" s="82" t="s">
        <v>41</v>
      </c>
      <c r="FA47" s="57"/>
      <c r="FB47" s="57"/>
      <c r="FC47" s="57"/>
      <c r="FD47" s="13"/>
      <c r="FE47" s="82" t="s">
        <v>42</v>
      </c>
      <c r="FF47" s="57"/>
      <c r="FG47" s="57"/>
      <c r="FH47" s="57"/>
      <c r="FI47" s="13"/>
      <c r="FJ47" s="82" t="s">
        <v>43</v>
      </c>
      <c r="FK47" s="57"/>
      <c r="FL47" s="57"/>
      <c r="FM47" s="57"/>
      <c r="FN47" s="13"/>
      <c r="FO47" s="82" t="s">
        <v>36</v>
      </c>
      <c r="FP47" s="57"/>
      <c r="FQ47" s="57"/>
      <c r="FR47" s="57"/>
      <c r="FS47" s="13"/>
      <c r="FT47" s="82" t="s">
        <v>37</v>
      </c>
      <c r="FU47" s="57"/>
      <c r="FV47" s="57"/>
      <c r="FW47" s="57"/>
      <c r="FX47" s="13"/>
      <c r="FY47" s="82" t="s">
        <v>26</v>
      </c>
      <c r="FZ47" s="57"/>
      <c r="GA47" s="57"/>
      <c r="GB47" s="57"/>
      <c r="GC47" s="82" t="s">
        <v>27</v>
      </c>
      <c r="GD47" s="57"/>
      <c r="GE47" s="57"/>
      <c r="GF47" s="57"/>
      <c r="GG47" s="13"/>
      <c r="GH47" s="83" t="s">
        <v>28</v>
      </c>
      <c r="GI47" s="8"/>
      <c r="GJ47" s="8"/>
      <c r="GK47" s="8"/>
      <c r="GL47" s="8"/>
      <c r="GM47" s="83" t="s">
        <v>29</v>
      </c>
      <c r="GN47" s="8"/>
      <c r="GO47" s="8"/>
      <c r="GP47" s="8"/>
      <c r="GQ47" s="8"/>
    </row>
    <row r="48" ht="15.75" customHeight="1">
      <c r="A48" s="66" t="s">
        <v>7</v>
      </c>
      <c r="B48" s="78">
        <v>2425.5</v>
      </c>
      <c r="C48" s="68">
        <v>1924.1</v>
      </c>
      <c r="D48" s="68">
        <v>4060.5</v>
      </c>
      <c r="E48" s="68">
        <v>4152.5</v>
      </c>
      <c r="F48" s="84"/>
      <c r="G48" s="68">
        <v>1963.5</v>
      </c>
      <c r="H48" s="68">
        <v>1733.0</v>
      </c>
      <c r="I48" s="68">
        <v>2219.0</v>
      </c>
      <c r="J48" s="68">
        <v>2552.5</v>
      </c>
      <c r="K48" s="84"/>
      <c r="L48" s="68">
        <v>2511.0</v>
      </c>
      <c r="M48" s="68">
        <v>2381.5</v>
      </c>
      <c r="N48" s="68">
        <v>2356.5</v>
      </c>
      <c r="O48" s="68">
        <v>1653.0</v>
      </c>
      <c r="Q48" s="68">
        <v>2641.5</v>
      </c>
      <c r="R48" s="68">
        <v>3488.0</v>
      </c>
      <c r="S48" s="68">
        <v>2666.0</v>
      </c>
      <c r="T48" s="68">
        <v>2192.5</v>
      </c>
      <c r="U48" s="84"/>
      <c r="V48" s="68">
        <v>2131.5</v>
      </c>
      <c r="W48" s="68">
        <v>2140.5</v>
      </c>
      <c r="X48" s="68">
        <v>2145.0</v>
      </c>
      <c r="Y48" s="68">
        <v>2713.5</v>
      </c>
      <c r="Z48" s="68">
        <v>2610.5</v>
      </c>
      <c r="AA48" s="76">
        <v>2475.0</v>
      </c>
      <c r="AB48" s="76">
        <v>2881.01</v>
      </c>
      <c r="AC48" s="76">
        <v>4827.0</v>
      </c>
      <c r="AD48" s="80">
        <v>2890.0</v>
      </c>
      <c r="AE48" s="85"/>
      <c r="AF48" s="68">
        <v>2794.5</v>
      </c>
      <c r="AG48" s="68">
        <v>4478.0</v>
      </c>
      <c r="AH48" s="68">
        <v>2345.5</v>
      </c>
      <c r="AI48" s="68">
        <v>3324.0</v>
      </c>
      <c r="AJ48" s="67"/>
      <c r="AK48" s="68">
        <v>2163.51</v>
      </c>
      <c r="AL48" s="68">
        <v>2128.01</v>
      </c>
      <c r="AM48" s="68">
        <v>2641.02</v>
      </c>
      <c r="AN48" s="68">
        <v>2475.5</v>
      </c>
      <c r="AO48" s="68">
        <v>2202.57</v>
      </c>
      <c r="AP48" s="68">
        <v>4109.51</v>
      </c>
      <c r="AQ48" s="68">
        <v>1880.5</v>
      </c>
      <c r="AR48" s="68">
        <v>3158.0</v>
      </c>
      <c r="AS48" s="68">
        <v>2368.5</v>
      </c>
      <c r="AT48" s="68"/>
      <c r="AU48" s="68">
        <v>1906.0</v>
      </c>
      <c r="AV48" s="68">
        <v>2463.52</v>
      </c>
      <c r="AW48" s="68">
        <v>6636.5</v>
      </c>
      <c r="AX48" s="68">
        <v>2362.5</v>
      </c>
      <c r="AY48" s="68"/>
      <c r="AZ48" s="68">
        <v>3183.53</v>
      </c>
      <c r="BA48" s="68">
        <v>3076.0</v>
      </c>
      <c r="BB48" s="68">
        <v>2293.0</v>
      </c>
      <c r="BC48" s="68">
        <v>2313.0</v>
      </c>
      <c r="BD48" s="68">
        <v>4329.0</v>
      </c>
      <c r="BE48" s="68">
        <v>2145.5</v>
      </c>
      <c r="BF48" s="68">
        <v>2846.51</v>
      </c>
      <c r="BG48" s="68">
        <v>3812.01</v>
      </c>
      <c r="BH48" s="68">
        <v>2831.53</v>
      </c>
      <c r="BJ48" s="68">
        <v>3300.63</v>
      </c>
      <c r="BK48" s="68">
        <v>3647.55</v>
      </c>
      <c r="BL48" s="68">
        <v>3044.52</v>
      </c>
      <c r="BM48" s="68">
        <v>5501.53</v>
      </c>
      <c r="BO48" s="68">
        <v>3477.02</v>
      </c>
      <c r="BP48" s="68">
        <v>3917.53</v>
      </c>
      <c r="BQ48" s="68">
        <v>2444.53</v>
      </c>
      <c r="BR48" s="68">
        <v>3259.51</v>
      </c>
      <c r="BS48" s="68">
        <v>2397.07</v>
      </c>
      <c r="BT48" s="68">
        <v>2049.0</v>
      </c>
      <c r="BU48" s="68">
        <v>3081.04</v>
      </c>
      <c r="BV48" s="68">
        <v>4340.04</v>
      </c>
      <c r="BW48" s="68">
        <v>2297.56</v>
      </c>
      <c r="BX48" s="68"/>
      <c r="BY48" s="70">
        <v>1989.07</v>
      </c>
      <c r="BZ48" s="70">
        <v>3067.68</v>
      </c>
      <c r="CA48" s="70">
        <v>2431.9</v>
      </c>
      <c r="CB48" s="70">
        <v>1731.01</v>
      </c>
      <c r="CD48" s="68">
        <v>2002.58</v>
      </c>
      <c r="CE48" s="73">
        <v>2220.52</v>
      </c>
      <c r="CF48" s="68">
        <v>2158.65</v>
      </c>
      <c r="CG48" s="68">
        <v>1687.05</v>
      </c>
      <c r="CH48" s="68">
        <v>2267.5</v>
      </c>
      <c r="CI48" s="68">
        <v>3263.04</v>
      </c>
      <c r="CJ48" s="68">
        <v>2651.58</v>
      </c>
      <c r="CK48" s="68">
        <v>2250.08</v>
      </c>
      <c r="CL48" s="68">
        <v>2989.59</v>
      </c>
      <c r="CN48" s="68">
        <v>2502.51</v>
      </c>
      <c r="CO48" s="68">
        <v>2737.7</v>
      </c>
      <c r="CP48" s="68"/>
      <c r="CQ48" s="68">
        <v>2664.13</v>
      </c>
      <c r="CR48" s="68">
        <v>2738.03</v>
      </c>
      <c r="CS48" s="68">
        <v>2681.05</v>
      </c>
      <c r="CT48" s="68">
        <v>2699.02</v>
      </c>
      <c r="CU48" s="73">
        <v>2559.01</v>
      </c>
      <c r="CV48" s="68">
        <v>3228.05</v>
      </c>
      <c r="CX48" s="68">
        <v>4573.11</v>
      </c>
      <c r="CY48" s="68">
        <v>1874.51</v>
      </c>
      <c r="CZ48" s="68">
        <v>5089.51</v>
      </c>
      <c r="DA48" s="68">
        <v>3520.01</v>
      </c>
      <c r="DC48" s="68">
        <v>2204.51</v>
      </c>
      <c r="DD48" s="68">
        <v>4360.75</v>
      </c>
      <c r="DE48" s="68">
        <v>4523.53</v>
      </c>
      <c r="DF48" s="68">
        <v>3022.25</v>
      </c>
      <c r="DG48" s="68">
        <v>3672.88</v>
      </c>
      <c r="DH48" s="68">
        <v>2929.75</v>
      </c>
      <c r="DI48" s="68">
        <v>2508.0</v>
      </c>
      <c r="DJ48" s="68">
        <v>2607.75</v>
      </c>
      <c r="DK48" s="68">
        <v>2174.5</v>
      </c>
      <c r="DM48" s="68">
        <v>2484.0</v>
      </c>
      <c r="DN48" s="68">
        <v>2271.75</v>
      </c>
      <c r="DO48" s="68">
        <v>4567.5</v>
      </c>
      <c r="DP48" s="68">
        <v>3328.0</v>
      </c>
      <c r="DR48" s="68">
        <v>2798.26</v>
      </c>
      <c r="DS48" s="68">
        <v>4290.77</v>
      </c>
      <c r="DT48" s="68">
        <v>3555.75</v>
      </c>
      <c r="DU48" s="68">
        <v>2615.5</v>
      </c>
      <c r="DV48" s="68">
        <v>2419.5</v>
      </c>
      <c r="DW48" s="68">
        <v>4028.76</v>
      </c>
      <c r="DX48" s="68">
        <v>2149.75</v>
      </c>
      <c r="DY48" s="68">
        <v>2571.51</v>
      </c>
      <c r="DZ48" s="68">
        <v>2315.75</v>
      </c>
      <c r="EB48" s="68">
        <v>2848.51</v>
      </c>
      <c r="EC48" s="68">
        <v>2065.51</v>
      </c>
      <c r="ED48" s="68">
        <v>2463.06</v>
      </c>
      <c r="EE48" s="68">
        <v>3103.76</v>
      </c>
      <c r="EG48" s="68">
        <v>2122.81</v>
      </c>
      <c r="EH48" s="68">
        <v>1417.26</v>
      </c>
      <c r="EI48" s="68">
        <v>2093.52</v>
      </c>
      <c r="EJ48" s="68">
        <v>2601.76</v>
      </c>
      <c r="EK48" s="68">
        <v>1652.16</v>
      </c>
      <c r="EL48" s="68">
        <v>1793.0</v>
      </c>
      <c r="EM48" s="68">
        <v>2079.5</v>
      </c>
      <c r="EN48" s="68">
        <v>1500.77</v>
      </c>
      <c r="EO48" s="68">
        <v>1438.0</v>
      </c>
      <c r="EQ48" s="68">
        <v>3226.0</v>
      </c>
      <c r="ER48" s="68">
        <v>1470.52</v>
      </c>
      <c r="ES48" s="68">
        <v>1729.0</v>
      </c>
      <c r="ET48" s="68">
        <v>1445.76</v>
      </c>
      <c r="EV48" s="68">
        <v>3270.0</v>
      </c>
      <c r="EW48" s="68">
        <v>2170.52</v>
      </c>
      <c r="EX48" s="68">
        <v>1835.0</v>
      </c>
      <c r="EY48" s="68">
        <v>1707.51</v>
      </c>
      <c r="EZ48" s="20">
        <v>3205.01</v>
      </c>
      <c r="FA48" s="20">
        <v>2873.5</v>
      </c>
      <c r="FB48" s="20">
        <v>2154.75</v>
      </c>
      <c r="FC48" s="20">
        <v>943.5</v>
      </c>
      <c r="FD48" s="20">
        <v>2091.01</v>
      </c>
      <c r="FF48" s="20">
        <v>4037.02</v>
      </c>
      <c r="FG48" s="20">
        <v>1076.01</v>
      </c>
      <c r="FH48" s="20">
        <v>2376.5</v>
      </c>
      <c r="FI48" s="20">
        <v>1874.5</v>
      </c>
      <c r="FK48" s="20">
        <v>2232.0</v>
      </c>
      <c r="FL48" s="20">
        <v>2552.0</v>
      </c>
      <c r="FM48" s="20">
        <v>1562.5</v>
      </c>
      <c r="FN48" s="20">
        <v>1871.0</v>
      </c>
      <c r="FO48" s="20">
        <v>3679.0</v>
      </c>
      <c r="FP48" s="20">
        <v>2690.5</v>
      </c>
      <c r="FQ48" s="20">
        <v>1849.0</v>
      </c>
      <c r="FR48" s="20">
        <v>2690.5</v>
      </c>
      <c r="FS48" s="20">
        <v>3029.0</v>
      </c>
      <c r="FU48" s="18">
        <v>2465.0</v>
      </c>
      <c r="FV48" s="18">
        <v>2547.5</v>
      </c>
      <c r="FW48" s="18">
        <v>2201.51</v>
      </c>
      <c r="FX48" s="18">
        <v>1805.0</v>
      </c>
      <c r="FY48" s="18">
        <v>2024.5</v>
      </c>
      <c r="FZ48" s="18">
        <v>3695.0</v>
      </c>
      <c r="GA48" s="18">
        <v>2008.5</v>
      </c>
      <c r="GB48" s="18">
        <v>1943.0</v>
      </c>
      <c r="GC48" s="18">
        <v>1674.5</v>
      </c>
      <c r="GD48" s="18">
        <v>2013.5</v>
      </c>
      <c r="GE48" s="18">
        <v>1635.5</v>
      </c>
      <c r="GF48" s="18">
        <v>1080.0</v>
      </c>
      <c r="GG48" s="18">
        <v>2178.0</v>
      </c>
      <c r="GI48" s="18">
        <v>1649.01</v>
      </c>
      <c r="GJ48" s="18">
        <v>1953.0</v>
      </c>
      <c r="GK48" s="18">
        <v>2595.0</v>
      </c>
      <c r="GL48" s="18">
        <v>1975.0</v>
      </c>
      <c r="GM48" s="18">
        <v>2540.0</v>
      </c>
      <c r="GN48" s="45">
        <v>1685.0</v>
      </c>
      <c r="GO48" s="18">
        <v>1406.0</v>
      </c>
      <c r="GP48" s="45">
        <v>3036.5</v>
      </c>
    </row>
    <row r="49" ht="15.75" customHeight="1">
      <c r="A49" s="66" t="s">
        <v>9</v>
      </c>
      <c r="B49" s="78">
        <v>4354.0</v>
      </c>
      <c r="C49" s="68">
        <v>2705.14</v>
      </c>
      <c r="D49" s="68">
        <v>3627.5</v>
      </c>
      <c r="E49" s="68">
        <v>4456.5</v>
      </c>
      <c r="F49" s="84"/>
      <c r="G49" s="68">
        <v>2828.5</v>
      </c>
      <c r="H49" s="68">
        <v>3690.0</v>
      </c>
      <c r="I49" s="68">
        <v>2553.5</v>
      </c>
      <c r="J49" s="68">
        <v>2440.5</v>
      </c>
      <c r="K49" s="84"/>
      <c r="L49" s="68">
        <v>2393.5</v>
      </c>
      <c r="M49" s="68">
        <v>1988.0</v>
      </c>
      <c r="N49" s="68">
        <v>4678.5</v>
      </c>
      <c r="O49" s="68">
        <v>2390.0</v>
      </c>
      <c r="Q49" s="68">
        <v>4765.0</v>
      </c>
      <c r="R49" s="68">
        <v>3590.5</v>
      </c>
      <c r="S49" s="68">
        <v>3580.5</v>
      </c>
      <c r="T49" s="68">
        <v>4254.5</v>
      </c>
      <c r="U49" s="84"/>
      <c r="V49" s="68">
        <v>1955.5</v>
      </c>
      <c r="W49" s="68">
        <v>2227.5</v>
      </c>
      <c r="X49" s="68">
        <v>2556.0</v>
      </c>
      <c r="Y49" s="68">
        <v>3506.0</v>
      </c>
      <c r="Z49" s="68">
        <v>2460.0</v>
      </c>
      <c r="AA49" s="68">
        <v>3082.52</v>
      </c>
      <c r="AB49" s="68">
        <v>3468.5</v>
      </c>
      <c r="AC49" s="68">
        <v>6342.01</v>
      </c>
      <c r="AE49" s="68">
        <v>4263.0</v>
      </c>
      <c r="AF49" s="68">
        <v>3748.51</v>
      </c>
      <c r="AG49" s="68">
        <v>3859.0</v>
      </c>
      <c r="AH49" s="68">
        <v>3308.01</v>
      </c>
      <c r="AI49" s="68">
        <v>2423.5</v>
      </c>
      <c r="AJ49" s="67"/>
      <c r="AK49" s="68">
        <v>5262.5</v>
      </c>
      <c r="AL49" s="68">
        <v>2463.0</v>
      </c>
      <c r="AM49" s="68">
        <v>2972.0</v>
      </c>
      <c r="AN49" s="68">
        <v>3361.5</v>
      </c>
      <c r="AO49" s="68">
        <v>2904.5</v>
      </c>
      <c r="AP49" s="68">
        <v>4020.0</v>
      </c>
      <c r="AQ49" s="68">
        <v>2136.59</v>
      </c>
      <c r="AR49" s="68">
        <v>2059.5</v>
      </c>
      <c r="AS49" s="68">
        <v>2282.0</v>
      </c>
      <c r="AT49" s="68"/>
      <c r="AU49" s="68">
        <v>3034.5</v>
      </c>
      <c r="AV49" s="68">
        <v>3122.5</v>
      </c>
      <c r="AW49" s="68">
        <v>2481.0</v>
      </c>
      <c r="AX49" s="68">
        <v>2935.53</v>
      </c>
      <c r="AY49" s="68"/>
      <c r="AZ49" s="68">
        <v>2779.0</v>
      </c>
      <c r="BA49" s="68">
        <v>3028.01</v>
      </c>
      <c r="BB49" s="68">
        <v>2868.5</v>
      </c>
      <c r="BC49" s="68">
        <v>3151.51</v>
      </c>
      <c r="BD49" s="68">
        <v>3538.5</v>
      </c>
      <c r="BE49" s="68">
        <v>2845.0</v>
      </c>
      <c r="BF49" s="68">
        <v>3897.01</v>
      </c>
      <c r="BG49" s="68">
        <v>4180.0</v>
      </c>
      <c r="BH49" s="68">
        <v>3881.01</v>
      </c>
      <c r="BJ49" s="68">
        <v>4051.51</v>
      </c>
      <c r="BK49" s="68">
        <v>4739.5</v>
      </c>
      <c r="BL49" s="68">
        <v>2547.53</v>
      </c>
      <c r="BM49" s="68">
        <v>6711.53</v>
      </c>
      <c r="BO49" s="68">
        <v>4959.07</v>
      </c>
      <c r="BP49" s="68">
        <v>5202.0</v>
      </c>
      <c r="BQ49" s="68">
        <v>4869.08</v>
      </c>
      <c r="BR49" s="68">
        <v>3560.5</v>
      </c>
      <c r="BS49" s="68">
        <v>3490.12</v>
      </c>
      <c r="BT49" s="68">
        <v>3501.51</v>
      </c>
      <c r="BU49" s="68">
        <v>3665.53</v>
      </c>
      <c r="BV49" s="68">
        <v>4233.52</v>
      </c>
      <c r="BW49" s="68">
        <v>3683.05</v>
      </c>
      <c r="BX49" s="68"/>
      <c r="BY49" s="70">
        <v>2624.08</v>
      </c>
      <c r="BZ49" s="70">
        <v>2663.59</v>
      </c>
      <c r="CA49" s="70">
        <v>2303.08</v>
      </c>
      <c r="CB49" s="70">
        <v>3429.01</v>
      </c>
      <c r="CD49" s="68">
        <v>2648.57</v>
      </c>
      <c r="CE49" s="68">
        <v>1779.11</v>
      </c>
      <c r="CF49" s="68">
        <v>2025.03</v>
      </c>
      <c r="CG49" s="68">
        <v>3827.66</v>
      </c>
      <c r="CH49" s="68">
        <v>3462.5</v>
      </c>
      <c r="CI49" s="68">
        <v>2942.51</v>
      </c>
      <c r="CJ49" s="68">
        <v>2505.5</v>
      </c>
      <c r="CK49" s="73">
        <v>2718.09</v>
      </c>
      <c r="CL49" s="68">
        <v>3831.03</v>
      </c>
      <c r="CN49" s="68">
        <v>2849.68</v>
      </c>
      <c r="CO49" s="68">
        <v>2837.1</v>
      </c>
      <c r="CP49" s="68">
        <v>2925.06</v>
      </c>
      <c r="CQ49" s="68">
        <v>3321.55</v>
      </c>
      <c r="CR49" s="68">
        <v>2823.51</v>
      </c>
      <c r="CS49" s="68">
        <v>2430.52</v>
      </c>
      <c r="CT49" s="68">
        <v>4766.03</v>
      </c>
      <c r="CU49" s="68">
        <v>2304.51</v>
      </c>
      <c r="CW49" s="68">
        <v>2892.04</v>
      </c>
      <c r="CX49" s="68">
        <v>4419.53</v>
      </c>
      <c r="CY49" s="68">
        <v>3094.03</v>
      </c>
      <c r="CZ49" s="68">
        <v>3999.38</v>
      </c>
      <c r="DA49" s="68">
        <v>2468.53</v>
      </c>
      <c r="DC49" s="68">
        <v>3185.51</v>
      </c>
      <c r="DD49" s="68">
        <v>5184.8</v>
      </c>
      <c r="DE49" s="68">
        <v>6178.52</v>
      </c>
      <c r="DF49" s="68">
        <v>2917.27</v>
      </c>
      <c r="DG49" s="68">
        <v>3349.51</v>
      </c>
      <c r="DH49" s="68">
        <v>2934.75</v>
      </c>
      <c r="DI49" s="68">
        <v>3633.6</v>
      </c>
      <c r="DJ49" s="68"/>
      <c r="DM49" s="68">
        <v>3829.85</v>
      </c>
      <c r="DN49" s="68">
        <v>3730.25</v>
      </c>
      <c r="DO49" s="68">
        <v>3183.75</v>
      </c>
      <c r="DP49" s="67">
        <v>4182.0</v>
      </c>
      <c r="DR49" s="68">
        <v>3123.29</v>
      </c>
      <c r="DS49" s="68">
        <v>4036.0</v>
      </c>
      <c r="DT49" s="68">
        <v>3488.54</v>
      </c>
      <c r="DU49" s="68">
        <v>3972.76</v>
      </c>
      <c r="DW49" s="68">
        <v>3807.25</v>
      </c>
      <c r="DX49" s="68">
        <v>2203.75</v>
      </c>
      <c r="DY49" s="68">
        <v>2507.52</v>
      </c>
      <c r="DZ49" s="68">
        <v>2303.25</v>
      </c>
      <c r="EA49" s="68">
        <v>2152.27</v>
      </c>
      <c r="EB49" s="68">
        <v>1988.75</v>
      </c>
      <c r="EC49" s="68">
        <v>1480.76</v>
      </c>
      <c r="ED49" s="68">
        <v>2204.5</v>
      </c>
      <c r="EE49" s="68">
        <v>2110.78</v>
      </c>
      <c r="EG49" s="68">
        <v>2852.76</v>
      </c>
      <c r="EH49" s="68">
        <v>1942.27</v>
      </c>
      <c r="EI49" s="68">
        <v>2438.0</v>
      </c>
      <c r="EJ49" s="68">
        <v>2284.83</v>
      </c>
      <c r="EL49" s="68">
        <v>1909.01</v>
      </c>
      <c r="EM49" s="68">
        <v>2123.76</v>
      </c>
      <c r="EN49" s="68">
        <v>1245.76</v>
      </c>
      <c r="EO49" s="68">
        <v>1397.52</v>
      </c>
      <c r="EP49" s="68">
        <v>1645.71</v>
      </c>
      <c r="EQ49" s="68">
        <v>1465.51</v>
      </c>
      <c r="ER49" s="68">
        <v>2484.4</v>
      </c>
      <c r="ES49" s="68">
        <v>2054.54</v>
      </c>
      <c r="ET49" s="68">
        <v>2105.26</v>
      </c>
      <c r="EV49" s="68">
        <v>2543.54</v>
      </c>
      <c r="EW49" s="68">
        <v>3052.0</v>
      </c>
      <c r="EX49" s="68">
        <v>2066.0</v>
      </c>
      <c r="EY49" s="68">
        <v>2295.0</v>
      </c>
      <c r="EZ49" s="20">
        <v>2619.0</v>
      </c>
      <c r="FA49" s="20">
        <v>1530.5</v>
      </c>
      <c r="FB49" s="20">
        <v>1894.51</v>
      </c>
      <c r="FC49" s="20">
        <v>1312.52</v>
      </c>
      <c r="FD49" s="20">
        <v>2125.52</v>
      </c>
      <c r="FF49" s="20">
        <v>5475.01</v>
      </c>
      <c r="FG49" s="20">
        <v>2593.01</v>
      </c>
      <c r="FH49" s="20">
        <v>2089.5</v>
      </c>
      <c r="FI49" s="20">
        <v>835.0</v>
      </c>
      <c r="FK49" s="20">
        <v>1153.25</v>
      </c>
      <c r="FL49" s="20">
        <v>3252.5</v>
      </c>
      <c r="FM49" s="20">
        <v>1135.01</v>
      </c>
      <c r="FN49" s="20">
        <v>1636.0</v>
      </c>
      <c r="FO49" s="20">
        <v>2380.0</v>
      </c>
      <c r="FP49" s="20">
        <v>3328.5</v>
      </c>
      <c r="FQ49" s="20">
        <v>1986.51</v>
      </c>
      <c r="FR49" s="20">
        <v>1277.02</v>
      </c>
      <c r="FS49" s="20">
        <v>2334.51</v>
      </c>
      <c r="FU49" s="18">
        <v>2457.51</v>
      </c>
      <c r="FV49" s="18">
        <v>1989.0</v>
      </c>
      <c r="FW49" s="18">
        <v>7027.02</v>
      </c>
      <c r="FX49" s="18">
        <v>2564.0</v>
      </c>
      <c r="FY49" s="18">
        <v>2597.5</v>
      </c>
      <c r="FZ49" s="45">
        <v>3054.5</v>
      </c>
      <c r="GA49" s="18">
        <v>2237.0</v>
      </c>
      <c r="GB49" s="18">
        <v>2723.5</v>
      </c>
      <c r="GC49" s="18">
        <v>3251.0</v>
      </c>
      <c r="GD49" s="45">
        <v>2396.0</v>
      </c>
      <c r="GE49" s="18">
        <v>2055.5</v>
      </c>
      <c r="GF49" s="18">
        <v>2301.0</v>
      </c>
      <c r="GG49" s="18">
        <v>2128.0</v>
      </c>
      <c r="GI49" s="18">
        <v>1514.0</v>
      </c>
      <c r="GJ49" s="18">
        <v>2354.55</v>
      </c>
      <c r="GK49" s="18">
        <v>3196.5</v>
      </c>
      <c r="GL49" s="18">
        <v>2608.52</v>
      </c>
      <c r="GM49" s="18">
        <v>1781.0</v>
      </c>
      <c r="GN49" s="18">
        <v>2066.0</v>
      </c>
      <c r="GO49" s="18">
        <v>1741.0</v>
      </c>
      <c r="GP49" s="18">
        <v>1590.5</v>
      </c>
    </row>
    <row r="50" ht="15.75" customHeight="1">
      <c r="A50" s="66" t="s">
        <v>11</v>
      </c>
      <c r="B50" s="68">
        <v>3910.81</v>
      </c>
      <c r="C50" s="68">
        <v>2399.9</v>
      </c>
      <c r="D50" s="68">
        <v>3655.62</v>
      </c>
      <c r="E50" s="68">
        <v>4146.5</v>
      </c>
      <c r="F50" s="68">
        <v>2935.0</v>
      </c>
      <c r="G50" s="68">
        <v>3716.0</v>
      </c>
      <c r="H50" s="68">
        <v>3608.5</v>
      </c>
      <c r="I50" s="68">
        <v>3062.0</v>
      </c>
      <c r="J50" s="68">
        <v>2898.31</v>
      </c>
      <c r="K50" s="84"/>
      <c r="L50" s="68">
        <v>2022.5</v>
      </c>
      <c r="M50" s="68">
        <v>2640.0</v>
      </c>
      <c r="N50" s="68">
        <v>2052.5</v>
      </c>
      <c r="O50" s="68">
        <v>2691.0</v>
      </c>
      <c r="Q50" s="68">
        <v>4180.5</v>
      </c>
      <c r="R50" s="68">
        <v>2005.5</v>
      </c>
      <c r="S50" s="68">
        <v>3120.5</v>
      </c>
      <c r="T50" s="68">
        <v>2231.0</v>
      </c>
      <c r="U50" s="84"/>
      <c r="V50" s="68">
        <v>3011.5</v>
      </c>
      <c r="W50" s="68">
        <v>3156.51</v>
      </c>
      <c r="X50" s="68">
        <v>2371.0</v>
      </c>
      <c r="Y50" s="68">
        <v>3397.0</v>
      </c>
      <c r="Z50" s="68">
        <v>2996.5</v>
      </c>
      <c r="AA50" s="68">
        <v>3377.5</v>
      </c>
      <c r="AB50" s="68">
        <v>3813.0</v>
      </c>
      <c r="AC50" s="68">
        <v>5435.0</v>
      </c>
      <c r="AE50" s="68">
        <v>3839.5</v>
      </c>
      <c r="AF50" s="68">
        <v>3880.5</v>
      </c>
      <c r="AG50" s="68">
        <v>3860.01</v>
      </c>
      <c r="AH50" s="68">
        <v>3837.04</v>
      </c>
      <c r="AI50" s="68">
        <v>3032.01</v>
      </c>
      <c r="AJ50" s="67"/>
      <c r="AK50" s="68">
        <v>2961.01</v>
      </c>
      <c r="AL50" s="68">
        <v>3068.0</v>
      </c>
      <c r="AM50" s="68">
        <v>2657.0</v>
      </c>
      <c r="AN50" s="68">
        <v>3391.0</v>
      </c>
      <c r="AO50" s="67"/>
      <c r="AP50" s="68">
        <v>3080.5</v>
      </c>
      <c r="AQ50" s="68">
        <v>3153.51</v>
      </c>
      <c r="AR50" s="68">
        <v>3622.5</v>
      </c>
      <c r="AS50" s="68">
        <v>2955.0</v>
      </c>
      <c r="AT50" s="68">
        <v>3877.5</v>
      </c>
      <c r="AU50" s="68">
        <v>3194.02</v>
      </c>
      <c r="AV50" s="68">
        <v>8558.5</v>
      </c>
      <c r="AW50" s="68">
        <v>3232.0</v>
      </c>
      <c r="AX50" s="68">
        <v>2625.0</v>
      </c>
      <c r="AY50" s="68"/>
      <c r="AZ50" s="68">
        <v>2817.5</v>
      </c>
      <c r="BA50" s="68">
        <v>3176.0</v>
      </c>
      <c r="BB50" s="68">
        <v>2735.51</v>
      </c>
      <c r="BC50" s="68">
        <v>3852.5</v>
      </c>
      <c r="BD50" s="68">
        <v>3345.5</v>
      </c>
      <c r="BE50" s="68">
        <v>3176.51</v>
      </c>
      <c r="BF50" s="68">
        <v>3552.02</v>
      </c>
      <c r="BG50" s="68">
        <v>4146.5</v>
      </c>
      <c r="BH50" s="68">
        <v>3380.0</v>
      </c>
      <c r="BJ50" s="68">
        <v>3850.0</v>
      </c>
      <c r="BK50" s="68">
        <v>3983.03</v>
      </c>
      <c r="BL50" s="68">
        <v>3458.5</v>
      </c>
      <c r="BM50" s="68">
        <v>7669.51</v>
      </c>
      <c r="BO50" s="68">
        <v>4626.51</v>
      </c>
      <c r="BP50" s="68">
        <v>4511.03</v>
      </c>
      <c r="BQ50" s="68">
        <v>3148.57</v>
      </c>
      <c r="BR50" s="68">
        <v>3606.51</v>
      </c>
      <c r="BS50" s="68">
        <v>2457.5</v>
      </c>
      <c r="BT50" s="68">
        <v>3855.04</v>
      </c>
      <c r="BU50" s="68">
        <v>3542.58</v>
      </c>
      <c r="BV50" s="68">
        <v>2946.53</v>
      </c>
      <c r="BX50" s="70">
        <v>3035.03</v>
      </c>
      <c r="BY50" s="70">
        <v>2410.55</v>
      </c>
      <c r="BZ50" s="70">
        <v>2751.06</v>
      </c>
      <c r="CA50" s="70">
        <v>2339.07</v>
      </c>
      <c r="CB50" s="70">
        <v>2695.66</v>
      </c>
      <c r="CD50" s="68">
        <v>2459.08</v>
      </c>
      <c r="CE50" s="68">
        <v>3044.03</v>
      </c>
      <c r="CF50" s="68">
        <v>2132.57</v>
      </c>
      <c r="CG50" s="68">
        <v>3091.06</v>
      </c>
      <c r="CH50" s="68">
        <v>3879.05</v>
      </c>
      <c r="CI50" s="73">
        <v>2437.05</v>
      </c>
      <c r="CJ50" s="68">
        <v>3621.52</v>
      </c>
      <c r="CK50" s="68">
        <v>3490.5</v>
      </c>
      <c r="CL50" s="68">
        <v>2610.6</v>
      </c>
      <c r="CN50" s="68">
        <v>1872.57</v>
      </c>
      <c r="CO50" s="68">
        <v>3064.52</v>
      </c>
      <c r="CP50" s="68">
        <v>3664.0</v>
      </c>
      <c r="CQ50" s="68">
        <v>2664.13</v>
      </c>
      <c r="CR50" s="68">
        <v>2639.54</v>
      </c>
      <c r="CS50" s="68">
        <v>2415.5</v>
      </c>
      <c r="CT50" s="68">
        <v>3146.5</v>
      </c>
      <c r="CU50" s="68">
        <v>2470.5</v>
      </c>
      <c r="CW50" s="68">
        <v>3157.5</v>
      </c>
      <c r="CX50" s="68">
        <v>4276.57</v>
      </c>
      <c r="CY50" s="68">
        <v>2191.5</v>
      </c>
      <c r="CZ50" s="68">
        <v>1713.06</v>
      </c>
      <c r="DA50" s="68">
        <v>2949.0</v>
      </c>
      <c r="DC50" s="68">
        <v>2361.06</v>
      </c>
      <c r="DD50" s="68">
        <v>6840.76</v>
      </c>
      <c r="DE50" s="68">
        <v>7137.28</v>
      </c>
      <c r="DF50" s="68">
        <v>3455.25</v>
      </c>
      <c r="DG50" s="68">
        <v>2933.0</v>
      </c>
      <c r="DH50" s="68">
        <v>2933.75</v>
      </c>
      <c r="DI50" s="68">
        <v>2616.0</v>
      </c>
      <c r="DJ50" s="68">
        <v>1349.75</v>
      </c>
      <c r="DM50" s="68">
        <v>4595.25</v>
      </c>
      <c r="DN50" s="68">
        <v>3770.26</v>
      </c>
      <c r="DO50" s="68">
        <v>3561.0</v>
      </c>
      <c r="DP50" s="68">
        <v>4014.01</v>
      </c>
      <c r="DR50" s="68">
        <v>3196.5</v>
      </c>
      <c r="DS50" s="68">
        <v>5012.26</v>
      </c>
      <c r="DT50" s="68">
        <v>4198.01</v>
      </c>
      <c r="DU50" s="68">
        <v>3786.25</v>
      </c>
      <c r="DW50" s="68">
        <v>3865.78</v>
      </c>
      <c r="DX50" s="68">
        <v>3651.0</v>
      </c>
      <c r="DY50" s="68">
        <v>2404.02</v>
      </c>
      <c r="DZ50" s="68">
        <v>3328.25</v>
      </c>
      <c r="EA50" s="68">
        <v>2586.75</v>
      </c>
      <c r="EB50" s="68">
        <v>2392.0</v>
      </c>
      <c r="EC50" s="68">
        <v>3039.0</v>
      </c>
      <c r="ED50" s="68">
        <v>2588.51</v>
      </c>
      <c r="EE50" s="68">
        <v>3014.75</v>
      </c>
      <c r="EG50" s="68">
        <v>2315.5</v>
      </c>
      <c r="EH50" s="68">
        <v>2700.0</v>
      </c>
      <c r="EI50" s="68">
        <v>2086.76</v>
      </c>
      <c r="EJ50" s="68">
        <v>2608.02</v>
      </c>
      <c r="EL50" s="68">
        <v>2132.76</v>
      </c>
      <c r="EM50" s="68">
        <v>2997.75</v>
      </c>
      <c r="EN50" s="68">
        <v>2614.03</v>
      </c>
      <c r="EO50" s="68">
        <v>2021.76</v>
      </c>
      <c r="EP50" s="68">
        <v>2767.5</v>
      </c>
      <c r="EQ50" s="68">
        <v>2495.5</v>
      </c>
      <c r="ER50" s="68">
        <v>2447.5</v>
      </c>
      <c r="ES50" s="68">
        <v>2148.03</v>
      </c>
      <c r="ET50" s="68">
        <v>2285.01</v>
      </c>
      <c r="EV50" s="68">
        <v>2101.01</v>
      </c>
      <c r="EW50" s="68">
        <v>3561.52</v>
      </c>
      <c r="EX50" s="68">
        <v>1960.0</v>
      </c>
      <c r="EY50" s="68">
        <v>3937.5</v>
      </c>
      <c r="EZ50" s="20">
        <v>2668.51</v>
      </c>
      <c r="FA50" s="20">
        <v>2097.29</v>
      </c>
      <c r="FB50" s="20">
        <v>2338.51</v>
      </c>
      <c r="FC50" s="20">
        <v>2002.04</v>
      </c>
      <c r="FE50" s="20">
        <v>1866.01</v>
      </c>
      <c r="FF50" s="20">
        <v>7205.5</v>
      </c>
      <c r="FG50" s="20">
        <v>2003.52</v>
      </c>
      <c r="FH50" s="20">
        <v>2055.5</v>
      </c>
      <c r="FI50" s="20">
        <v>2232.03</v>
      </c>
      <c r="FK50" s="20">
        <v>2083.5</v>
      </c>
      <c r="FL50" s="20">
        <v>1830.5</v>
      </c>
      <c r="FM50" s="20">
        <v>2343.01</v>
      </c>
      <c r="FN50" s="20">
        <v>2386.0</v>
      </c>
      <c r="FO50" s="20">
        <v>3015.02</v>
      </c>
      <c r="FP50" s="20">
        <v>2934.01</v>
      </c>
      <c r="FQ50" s="20">
        <v>1610.0</v>
      </c>
      <c r="FR50" s="20"/>
      <c r="FU50" s="18">
        <v>3659.0</v>
      </c>
      <c r="FV50" s="18">
        <v>3473.04</v>
      </c>
      <c r="FW50" s="18">
        <v>1784.0</v>
      </c>
      <c r="FX50" s="18">
        <v>4048.5</v>
      </c>
      <c r="FY50" s="18">
        <v>2935.91</v>
      </c>
      <c r="FZ50" s="45">
        <v>4457.0</v>
      </c>
      <c r="GA50" s="18">
        <v>1707.5</v>
      </c>
      <c r="GB50" s="18">
        <v>2723.5</v>
      </c>
      <c r="GC50" s="18">
        <v>2356.0</v>
      </c>
      <c r="GD50" s="45">
        <v>5202.0</v>
      </c>
      <c r="GE50" s="18">
        <v>1266.0</v>
      </c>
      <c r="GF50" s="18">
        <v>2330.5</v>
      </c>
      <c r="GH50" s="18">
        <v>1454.0</v>
      </c>
      <c r="GI50" s="18">
        <v>2793.0</v>
      </c>
      <c r="GJ50" s="18">
        <v>2607.51</v>
      </c>
      <c r="GK50" s="18">
        <v>2064.5</v>
      </c>
      <c r="GL50" s="18">
        <v>3424.5</v>
      </c>
      <c r="GM50" s="18">
        <v>3419.5</v>
      </c>
      <c r="GN50" s="18">
        <v>3548.0</v>
      </c>
      <c r="GO50" s="18">
        <v>1648.0</v>
      </c>
      <c r="GP50" s="18">
        <v>3014.5</v>
      </c>
    </row>
    <row r="51" ht="15.75" customHeight="1">
      <c r="A51" s="66" t="s">
        <v>13</v>
      </c>
      <c r="B51" s="68">
        <v>2479.32</v>
      </c>
      <c r="C51" s="68">
        <v>3475.38</v>
      </c>
      <c r="D51" s="68">
        <v>2025.0</v>
      </c>
      <c r="E51" s="68">
        <v>2418.5</v>
      </c>
      <c r="F51" s="68">
        <v>2988.0</v>
      </c>
      <c r="G51" s="68">
        <v>2288.5</v>
      </c>
      <c r="H51" s="68">
        <v>2119.5</v>
      </c>
      <c r="I51" s="68">
        <v>2894.5</v>
      </c>
      <c r="J51" s="68">
        <v>3012.0</v>
      </c>
      <c r="K51" s="84"/>
      <c r="L51" s="68">
        <v>2776.0</v>
      </c>
      <c r="M51" s="68">
        <v>2426.5</v>
      </c>
      <c r="N51" s="68">
        <v>2868.0</v>
      </c>
      <c r="O51" s="68">
        <v>2403.5</v>
      </c>
      <c r="P51" s="68">
        <v>3650.0</v>
      </c>
      <c r="Q51" s="68">
        <v>1962.0</v>
      </c>
      <c r="R51" s="68">
        <v>2120.5</v>
      </c>
      <c r="S51" s="68">
        <v>1309.5</v>
      </c>
      <c r="T51" s="68">
        <v>2854.5</v>
      </c>
      <c r="U51" s="68">
        <v>2119.0</v>
      </c>
      <c r="V51" s="68">
        <v>4296.0</v>
      </c>
      <c r="W51" s="68">
        <v>2657.51</v>
      </c>
      <c r="X51" s="68">
        <v>3537.5</v>
      </c>
      <c r="Y51" s="68">
        <v>2585.51</v>
      </c>
      <c r="Z51" s="68">
        <v>2261.52</v>
      </c>
      <c r="AA51" s="68">
        <v>3606.02</v>
      </c>
      <c r="AB51" s="68">
        <v>5307.02</v>
      </c>
      <c r="AC51" s="68">
        <v>4686.0</v>
      </c>
      <c r="AE51" s="68">
        <v>4248.04</v>
      </c>
      <c r="AF51" s="68">
        <v>2187.51</v>
      </c>
      <c r="AG51" s="68">
        <v>2902.5</v>
      </c>
      <c r="AH51" s="68">
        <v>3837.04</v>
      </c>
      <c r="AI51" s="78">
        <v>4048.52</v>
      </c>
      <c r="AJ51" s="67"/>
      <c r="AK51" s="68">
        <v>4629.0</v>
      </c>
      <c r="AL51" s="68">
        <v>2362.0</v>
      </c>
      <c r="AM51" s="68">
        <v>2459.01</v>
      </c>
      <c r="AN51" s="68">
        <v>2520.05</v>
      </c>
      <c r="AO51" s="67"/>
      <c r="AP51" s="68">
        <v>2868.01</v>
      </c>
      <c r="AQ51" s="68">
        <v>6548.5</v>
      </c>
      <c r="AR51" s="68">
        <v>3047.01</v>
      </c>
      <c r="AS51" s="68">
        <v>2615.0</v>
      </c>
      <c r="AT51" s="68">
        <v>6601.53</v>
      </c>
      <c r="AU51" s="68">
        <v>3569.03</v>
      </c>
      <c r="AV51" s="68">
        <v>2608.5</v>
      </c>
      <c r="AW51" s="68">
        <v>2389.51</v>
      </c>
      <c r="AX51" s="68">
        <v>3455.0</v>
      </c>
      <c r="AY51" s="68"/>
      <c r="AZ51" s="68">
        <v>3965.53</v>
      </c>
      <c r="BA51" s="68">
        <v>3841.51</v>
      </c>
      <c r="BB51" s="68">
        <v>3217.03</v>
      </c>
      <c r="BC51" s="68">
        <v>4043.0</v>
      </c>
      <c r="BD51" s="68">
        <v>2988.51</v>
      </c>
      <c r="BE51" s="68">
        <v>3624.04</v>
      </c>
      <c r="BF51" s="68">
        <v>2445.5</v>
      </c>
      <c r="BG51" s="68">
        <v>4785.02</v>
      </c>
      <c r="BH51" s="84"/>
      <c r="BI51" s="68">
        <v>4371.62</v>
      </c>
      <c r="BJ51" s="68">
        <v>2967.53</v>
      </c>
      <c r="BK51" s="68">
        <v>4318.03</v>
      </c>
      <c r="BL51" s="68">
        <v>5258.01</v>
      </c>
      <c r="BM51" s="68">
        <v>4429.56</v>
      </c>
      <c r="BO51" s="68">
        <v>4090.51</v>
      </c>
      <c r="BP51" s="68">
        <v>2940.52</v>
      </c>
      <c r="BQ51" s="68">
        <v>4010.03</v>
      </c>
      <c r="BR51" s="68">
        <v>3487.53</v>
      </c>
      <c r="BS51" s="68">
        <v>4090.51</v>
      </c>
      <c r="BT51" s="68">
        <v>4783.54</v>
      </c>
      <c r="BU51" s="68">
        <v>3078.1</v>
      </c>
      <c r="BV51" s="68">
        <v>2552.55</v>
      </c>
      <c r="BX51" s="70">
        <v>2139.02</v>
      </c>
      <c r="BY51" s="70">
        <v>2216.54</v>
      </c>
      <c r="BZ51" s="70">
        <v>2984.53</v>
      </c>
      <c r="CA51" s="70">
        <v>2740.55</v>
      </c>
      <c r="CB51" s="70">
        <v>2140.55</v>
      </c>
      <c r="CD51" s="68">
        <v>1952.52</v>
      </c>
      <c r="CE51" s="68">
        <v>2266.57</v>
      </c>
      <c r="CF51" s="68">
        <v>2538.53</v>
      </c>
      <c r="CG51" s="68">
        <v>3403.54</v>
      </c>
      <c r="CH51" s="68">
        <v>3291.0</v>
      </c>
      <c r="CI51" s="68">
        <v>3111.5</v>
      </c>
      <c r="CJ51" s="68">
        <v>2359.5</v>
      </c>
      <c r="CK51" s="68">
        <v>3646.03</v>
      </c>
      <c r="CM51" s="68">
        <v>2321.08</v>
      </c>
      <c r="CN51" s="68">
        <v>3432.62</v>
      </c>
      <c r="CO51" s="68">
        <v>2748.05</v>
      </c>
      <c r="CP51" s="68">
        <v>2935.13</v>
      </c>
      <c r="CQ51" s="68">
        <v>3207.61</v>
      </c>
      <c r="CR51" s="68">
        <v>1626.01</v>
      </c>
      <c r="CS51" s="68">
        <v>2605.52</v>
      </c>
      <c r="CT51" s="68">
        <v>1952.02</v>
      </c>
      <c r="CU51" s="68">
        <v>2039.5</v>
      </c>
      <c r="CW51" s="68">
        <v>2555.52</v>
      </c>
      <c r="CX51" s="68">
        <v>4676.55</v>
      </c>
      <c r="CY51" s="68">
        <v>2777.54</v>
      </c>
      <c r="CZ51" s="68">
        <v>2836.53</v>
      </c>
      <c r="DA51" s="67">
        <v>3705.03</v>
      </c>
      <c r="DC51" s="68">
        <v>5680.52</v>
      </c>
      <c r="DD51" s="68">
        <v>3973.78</v>
      </c>
      <c r="DE51" s="68">
        <v>3774.76</v>
      </c>
      <c r="DF51" s="68">
        <v>5585.51</v>
      </c>
      <c r="DG51" s="68">
        <v>2908.0</v>
      </c>
      <c r="DH51" s="68">
        <v>2501.6</v>
      </c>
      <c r="DI51" s="68">
        <v>2690.81</v>
      </c>
      <c r="DJ51" s="68">
        <v>2033.5</v>
      </c>
      <c r="DL51" s="68">
        <v>2801.25</v>
      </c>
      <c r="DM51" s="68">
        <v>3879.5</v>
      </c>
      <c r="DN51" s="68">
        <v>3424.02</v>
      </c>
      <c r="DO51" s="68">
        <v>3948.5</v>
      </c>
      <c r="DP51" s="68">
        <v>3410.67</v>
      </c>
      <c r="DR51" s="68">
        <v>4774.27</v>
      </c>
      <c r="DS51" s="68">
        <v>4701.75</v>
      </c>
      <c r="DT51" s="68">
        <v>3899.51</v>
      </c>
      <c r="DU51" s="68">
        <v>2676.76</v>
      </c>
      <c r="DW51" s="68">
        <v>4310.26</v>
      </c>
      <c r="DX51" s="68">
        <v>3370.25</v>
      </c>
      <c r="DY51" s="68">
        <v>2565.5</v>
      </c>
      <c r="DZ51" s="68">
        <v>3336.29</v>
      </c>
      <c r="EA51" s="68">
        <v>1924.01</v>
      </c>
      <c r="EB51" s="68">
        <v>2441.01</v>
      </c>
      <c r="EC51" s="68">
        <v>2141.04</v>
      </c>
      <c r="ED51" s="68">
        <v>1523.75</v>
      </c>
      <c r="EF51" s="68">
        <v>4156.01</v>
      </c>
      <c r="EG51" s="68">
        <v>2369.26</v>
      </c>
      <c r="EH51" s="68">
        <v>2343.0</v>
      </c>
      <c r="EI51" s="68">
        <v>2587.26</v>
      </c>
      <c r="EJ51" s="68">
        <v>1925.53</v>
      </c>
      <c r="EL51" s="68">
        <v>1690.26</v>
      </c>
      <c r="EM51" s="68">
        <v>3996.29</v>
      </c>
      <c r="EN51" s="68">
        <v>2380.75</v>
      </c>
      <c r="EO51" s="68">
        <v>1648.5</v>
      </c>
      <c r="EP51" s="68">
        <v>2230.26</v>
      </c>
      <c r="EQ51" s="68">
        <v>3523.02</v>
      </c>
      <c r="ER51" s="68">
        <v>2762.5</v>
      </c>
      <c r="ES51" s="68">
        <v>3636.1</v>
      </c>
      <c r="ET51" s="68">
        <v>2123.8</v>
      </c>
      <c r="EV51" s="68">
        <v>2547.42</v>
      </c>
      <c r="EW51" s="68">
        <v>2677.52</v>
      </c>
      <c r="EX51" s="68">
        <v>4493.0</v>
      </c>
      <c r="EY51" s="68">
        <v>2547.0</v>
      </c>
      <c r="EZ51" s="20">
        <v>2248.51</v>
      </c>
      <c r="FA51" s="20">
        <v>2250.0</v>
      </c>
      <c r="FB51" s="20">
        <v>1838.0</v>
      </c>
      <c r="FC51" s="20">
        <v>2439.0</v>
      </c>
      <c r="FE51" s="20">
        <v>3476.5</v>
      </c>
      <c r="FF51" s="20">
        <v>7879.81</v>
      </c>
      <c r="FG51" s="20">
        <v>2930.52</v>
      </c>
      <c r="FH51" s="20">
        <v>1910.5</v>
      </c>
      <c r="FI51" s="20">
        <v>1986.0</v>
      </c>
      <c r="FK51" s="20">
        <v>3006.26</v>
      </c>
      <c r="FL51" s="20">
        <v>2209.0</v>
      </c>
      <c r="FM51" s="20">
        <v>3377.51</v>
      </c>
      <c r="FN51" s="20">
        <v>3025.52</v>
      </c>
      <c r="FO51" s="20">
        <v>3900.5</v>
      </c>
      <c r="FP51" s="20">
        <v>2524.0</v>
      </c>
      <c r="FQ51" s="20">
        <v>2127.5</v>
      </c>
      <c r="FR51" s="20">
        <v>941.02</v>
      </c>
      <c r="FT51" s="18">
        <v>2674.0</v>
      </c>
      <c r="FU51" s="18">
        <v>2701.5</v>
      </c>
      <c r="FV51" s="18">
        <v>2970.0</v>
      </c>
      <c r="FW51" s="18">
        <v>4027.53</v>
      </c>
      <c r="FX51" s="18">
        <v>3109.0</v>
      </c>
      <c r="FY51" s="18">
        <v>3079.5</v>
      </c>
      <c r="FZ51" s="18">
        <v>1257.0</v>
      </c>
      <c r="GA51" s="18">
        <v>1749.5</v>
      </c>
      <c r="GB51" s="18">
        <v>2439.5</v>
      </c>
      <c r="GC51" s="18">
        <v>1897.5</v>
      </c>
      <c r="GD51" s="18">
        <v>2442.5</v>
      </c>
      <c r="GE51" s="18">
        <v>2001.5</v>
      </c>
      <c r="GF51" s="18">
        <v>1821.5</v>
      </c>
      <c r="GH51" s="18">
        <v>1926.5</v>
      </c>
      <c r="GI51" s="18">
        <v>2022.5</v>
      </c>
      <c r="GJ51" s="18">
        <v>1818.5</v>
      </c>
      <c r="GK51" s="18">
        <v>3013.5</v>
      </c>
      <c r="GL51" s="18">
        <v>2596.5</v>
      </c>
      <c r="GM51" s="18">
        <v>3043.5</v>
      </c>
      <c r="GN51" s="18">
        <v>1981.53</v>
      </c>
      <c r="GO51" s="18">
        <v>1950.5</v>
      </c>
      <c r="GP51" s="18">
        <v>2225.0</v>
      </c>
    </row>
    <row r="52" ht="15.75" customHeight="1">
      <c r="A52" s="66" t="s">
        <v>17</v>
      </c>
      <c r="B52" s="68">
        <v>4701.23</v>
      </c>
      <c r="C52" s="68">
        <v>4031.92</v>
      </c>
      <c r="D52" s="68">
        <v>2346.5</v>
      </c>
      <c r="E52" s="68">
        <v>3142.0</v>
      </c>
      <c r="F52" s="68">
        <v>3214.0</v>
      </c>
      <c r="G52" s="68">
        <v>3160.5</v>
      </c>
      <c r="H52" s="68">
        <v>3235.5</v>
      </c>
      <c r="I52" s="68">
        <v>2850.0</v>
      </c>
      <c r="J52" s="68">
        <v>7191.5</v>
      </c>
      <c r="K52" s="84"/>
      <c r="L52" s="68">
        <v>4051.5</v>
      </c>
      <c r="M52" s="68">
        <v>6451.0</v>
      </c>
      <c r="N52" s="68">
        <v>4995.5</v>
      </c>
      <c r="O52" s="68">
        <v>3068.0</v>
      </c>
      <c r="P52" s="68">
        <v>2156.0</v>
      </c>
      <c r="Q52" s="68">
        <v>2081.5</v>
      </c>
      <c r="R52" s="68">
        <v>2688.0</v>
      </c>
      <c r="S52" s="68">
        <v>2044.5</v>
      </c>
      <c r="T52" s="68">
        <v>3672.0</v>
      </c>
      <c r="U52" s="68">
        <v>2262.0</v>
      </c>
      <c r="V52" s="68">
        <v>3098.5</v>
      </c>
      <c r="W52" s="68">
        <v>2385.02</v>
      </c>
      <c r="X52" s="68">
        <v>3413.5</v>
      </c>
      <c r="Y52" s="68">
        <v>2997.01</v>
      </c>
      <c r="Z52" s="68">
        <v>2952.01</v>
      </c>
      <c r="AA52" s="68">
        <v>3082.5</v>
      </c>
      <c r="AB52" s="68">
        <v>5198.5</v>
      </c>
      <c r="AC52" s="68">
        <v>4838.01</v>
      </c>
      <c r="AE52" s="68">
        <v>4161.51</v>
      </c>
      <c r="AF52" s="68">
        <v>2958.0</v>
      </c>
      <c r="AG52" s="68">
        <v>2904.0</v>
      </c>
      <c r="AH52" s="68">
        <v>3264.02</v>
      </c>
      <c r="AJ52" s="68">
        <v>2905.5</v>
      </c>
      <c r="AK52" s="68">
        <v>3444.0</v>
      </c>
      <c r="AL52" s="68">
        <v>3320.5</v>
      </c>
      <c r="AM52" s="68">
        <v>4058.5</v>
      </c>
      <c r="AN52" s="68">
        <v>7849.5</v>
      </c>
      <c r="AO52" s="68"/>
      <c r="AP52" s="68">
        <v>3473.51</v>
      </c>
      <c r="AQ52" s="68">
        <v>6433.0</v>
      </c>
      <c r="AR52" s="68">
        <v>4769.0</v>
      </c>
      <c r="AS52" s="68">
        <v>2452.0</v>
      </c>
      <c r="AT52" s="68">
        <v>3818.04</v>
      </c>
      <c r="AU52" s="68">
        <v>3728.02</v>
      </c>
      <c r="AV52" s="68">
        <v>3220.0</v>
      </c>
      <c r="AW52" s="68">
        <v>3746.5</v>
      </c>
      <c r="AX52" s="68"/>
      <c r="AY52" s="68">
        <v>4192.5</v>
      </c>
      <c r="AZ52" s="68">
        <v>3688.0</v>
      </c>
      <c r="BA52" s="68">
        <v>2814.01</v>
      </c>
      <c r="BB52" s="68">
        <v>3927.0</v>
      </c>
      <c r="BC52" s="68">
        <v>2591.5</v>
      </c>
      <c r="BD52" s="68">
        <v>3696.0</v>
      </c>
      <c r="BE52" s="68">
        <v>3733.53</v>
      </c>
      <c r="BF52" s="68">
        <v>3505.01</v>
      </c>
      <c r="BG52" s="68">
        <v>5060.5</v>
      </c>
      <c r="BH52" s="84"/>
      <c r="BI52" s="68">
        <v>4086.52</v>
      </c>
      <c r="BJ52" s="68">
        <v>3114.53</v>
      </c>
      <c r="BK52" s="68">
        <v>5971.5</v>
      </c>
      <c r="BL52" s="68">
        <v>6791.08</v>
      </c>
      <c r="BN52" s="68">
        <v>5660.52</v>
      </c>
      <c r="BO52" s="68">
        <v>6856.5</v>
      </c>
      <c r="BP52" s="68">
        <v>3841.5</v>
      </c>
      <c r="BQ52" s="68">
        <v>2485.05</v>
      </c>
      <c r="BR52" s="68">
        <v>5229.0</v>
      </c>
      <c r="BS52" s="68">
        <v>3500.52</v>
      </c>
      <c r="BT52" s="68">
        <v>3759.54</v>
      </c>
      <c r="BU52" s="68">
        <v>3223.0</v>
      </c>
      <c r="BV52" s="68">
        <v>3727.06</v>
      </c>
      <c r="BX52" s="70">
        <v>1931.02</v>
      </c>
      <c r="BY52" s="74">
        <v>2109.57</v>
      </c>
      <c r="BZ52" s="70">
        <v>2660.53</v>
      </c>
      <c r="CA52" s="70">
        <v>1891.01</v>
      </c>
      <c r="CB52" s="70">
        <v>2462.5</v>
      </c>
      <c r="CD52" s="68">
        <v>2451.6</v>
      </c>
      <c r="CE52" s="68">
        <v>3083.04</v>
      </c>
      <c r="CF52" s="68">
        <v>2749.59</v>
      </c>
      <c r="CG52" s="68">
        <v>4879.5</v>
      </c>
      <c r="CH52" s="68">
        <v>2809.01</v>
      </c>
      <c r="CI52" s="68">
        <v>2512.56</v>
      </c>
      <c r="CJ52" s="68">
        <v>3186.5</v>
      </c>
      <c r="CK52" s="68">
        <v>2198.1</v>
      </c>
      <c r="CM52" s="68">
        <v>2473.12</v>
      </c>
      <c r="CN52" s="68">
        <v>2343.63</v>
      </c>
      <c r="CO52" s="68">
        <v>1730.0</v>
      </c>
      <c r="CP52" s="73">
        <v>2231.05</v>
      </c>
      <c r="CQ52" s="68">
        <v>2801.6</v>
      </c>
      <c r="CR52" s="68">
        <v>2656.51</v>
      </c>
      <c r="CS52" s="68">
        <v>2431.5</v>
      </c>
      <c r="CT52" s="68">
        <v>2626.01</v>
      </c>
      <c r="CU52" s="68">
        <v>2572.02</v>
      </c>
      <c r="CW52" s="68">
        <v>6734.42</v>
      </c>
      <c r="CX52" s="68">
        <v>4732.57</v>
      </c>
      <c r="CY52" s="68">
        <v>2639.51</v>
      </c>
      <c r="CZ52" s="68">
        <v>2337.5</v>
      </c>
      <c r="DB52" s="68">
        <v>2717.01</v>
      </c>
      <c r="DC52" s="68">
        <v>6553.12</v>
      </c>
      <c r="DD52" s="68">
        <v>8689.26</v>
      </c>
      <c r="DE52" s="68">
        <v>3855.02</v>
      </c>
      <c r="DF52" s="68">
        <v>2607.0</v>
      </c>
      <c r="DG52" s="68">
        <v>2907.85</v>
      </c>
      <c r="DH52" s="68">
        <v>3563.35</v>
      </c>
      <c r="DI52" s="68">
        <v>2366.0</v>
      </c>
      <c r="DJ52" s="68">
        <v>1796.75</v>
      </c>
      <c r="DL52" s="68">
        <v>2801.51</v>
      </c>
      <c r="DM52" s="68">
        <v>2982.75</v>
      </c>
      <c r="DN52" s="68">
        <v>2989.75</v>
      </c>
      <c r="DO52" s="68">
        <v>6062.25</v>
      </c>
      <c r="DP52" s="68">
        <v>4003.76</v>
      </c>
      <c r="DR52" s="68">
        <v>5214.75</v>
      </c>
      <c r="DS52" s="68">
        <v>3829.5</v>
      </c>
      <c r="DT52" s="68">
        <v>4059.45</v>
      </c>
      <c r="DU52" s="67">
        <v>3058.57</v>
      </c>
      <c r="DW52" s="68">
        <v>4051.5</v>
      </c>
      <c r="DX52" s="68">
        <v>2659.01</v>
      </c>
      <c r="DY52" s="68">
        <v>3666.75</v>
      </c>
      <c r="DZ52" s="67">
        <v>2654.51</v>
      </c>
      <c r="EA52" s="68">
        <v>2322.27</v>
      </c>
      <c r="EB52" s="68">
        <v>3065.81</v>
      </c>
      <c r="EC52" s="68">
        <v>1976.5</v>
      </c>
      <c r="ED52" s="68">
        <v>3375.5</v>
      </c>
      <c r="EF52" s="68">
        <v>3059.75</v>
      </c>
      <c r="EG52" s="68">
        <v>2985.26</v>
      </c>
      <c r="EH52" s="68">
        <v>2099.76</v>
      </c>
      <c r="EI52" s="68">
        <v>3058.25</v>
      </c>
      <c r="EJ52" s="68">
        <v>2221.78</v>
      </c>
      <c r="EL52" s="68">
        <v>2939.29</v>
      </c>
      <c r="EM52" s="68">
        <v>1930.5</v>
      </c>
      <c r="EN52" s="68">
        <v>1809.59</v>
      </c>
      <c r="EO52" s="68">
        <v>2261.53</v>
      </c>
      <c r="EP52" s="68">
        <v>3552.76</v>
      </c>
      <c r="EQ52" s="68">
        <v>3388.5</v>
      </c>
      <c r="ER52" s="68">
        <v>2244.27</v>
      </c>
      <c r="ES52" s="68">
        <v>1866.5</v>
      </c>
      <c r="EU52" s="68">
        <v>1669.0</v>
      </c>
      <c r="EV52" s="68">
        <v>1932.5</v>
      </c>
      <c r="EW52" s="68">
        <v>2163.5</v>
      </c>
      <c r="EX52" s="68">
        <v>2014.0</v>
      </c>
      <c r="EY52" s="68">
        <v>3126.91</v>
      </c>
      <c r="EZ52" s="20">
        <v>1568.0</v>
      </c>
      <c r="FA52" s="20">
        <v>2097.93</v>
      </c>
      <c r="FB52" s="20">
        <v>1633.01</v>
      </c>
      <c r="FC52" s="20">
        <v>2878.92</v>
      </c>
      <c r="FE52" s="20">
        <v>5068.51</v>
      </c>
      <c r="FF52" s="20">
        <v>6661.76</v>
      </c>
      <c r="FG52" s="20">
        <v>1796.5</v>
      </c>
      <c r="FH52" s="20">
        <v>2070.75</v>
      </c>
      <c r="FI52" s="20">
        <v>1035.0</v>
      </c>
      <c r="FK52" s="20">
        <v>3303.75</v>
      </c>
      <c r="FL52" s="20">
        <v>2235.0</v>
      </c>
      <c r="FM52" s="20">
        <v>2239.0</v>
      </c>
      <c r="FN52" s="20">
        <v>3165.5</v>
      </c>
      <c r="FO52" s="20">
        <v>2976.01</v>
      </c>
      <c r="FP52" s="20">
        <v>2651.0</v>
      </c>
      <c r="FQ52" s="20">
        <v>1266.0</v>
      </c>
      <c r="FR52" s="20">
        <v>1994.01</v>
      </c>
      <c r="FT52" s="18">
        <v>4655.5</v>
      </c>
      <c r="FU52" s="18">
        <v>3397.5</v>
      </c>
      <c r="FV52" s="18">
        <v>3421.5</v>
      </c>
      <c r="FW52" s="18">
        <v>3482.0</v>
      </c>
      <c r="FX52" s="18">
        <v>2112.0</v>
      </c>
      <c r="FY52" s="18">
        <v>2657.5</v>
      </c>
      <c r="FZ52" s="18">
        <v>1471.5</v>
      </c>
      <c r="GA52" s="18">
        <v>2585.4</v>
      </c>
      <c r="GB52" s="18">
        <v>2766.01</v>
      </c>
      <c r="GC52" s="18">
        <v>2130.5</v>
      </c>
      <c r="GD52" s="18">
        <v>2079.0</v>
      </c>
      <c r="GE52" s="18">
        <v>2674.0</v>
      </c>
      <c r="GF52" s="18">
        <v>2128.0</v>
      </c>
      <c r="GH52" s="18">
        <v>2649.0</v>
      </c>
      <c r="GI52" s="45">
        <v>2358.0</v>
      </c>
      <c r="GJ52" s="18">
        <v>2350.5</v>
      </c>
      <c r="GK52" s="18">
        <v>2211.0</v>
      </c>
      <c r="GM52" s="18">
        <v>1952.0</v>
      </c>
      <c r="GN52" s="18">
        <v>1924.0</v>
      </c>
      <c r="GO52" s="18">
        <v>2996.0</v>
      </c>
      <c r="GP52" s="18">
        <v>3029.5</v>
      </c>
      <c r="GQ52" s="18">
        <v>6527.5</v>
      </c>
    </row>
    <row r="53" ht="15.75" customHeight="1">
      <c r="A53" s="66" t="s">
        <v>18</v>
      </c>
      <c r="B53" s="68">
        <v>6723.1</v>
      </c>
      <c r="C53" s="68">
        <v>5536.05</v>
      </c>
      <c r="D53" s="68">
        <v>3673.0</v>
      </c>
      <c r="E53" s="68">
        <v>4052.5</v>
      </c>
      <c r="F53" s="68">
        <v>4675.5</v>
      </c>
      <c r="G53" s="68">
        <v>5589.5</v>
      </c>
      <c r="H53" s="68">
        <v>4443.0</v>
      </c>
      <c r="I53" s="68">
        <v>3524.5</v>
      </c>
      <c r="J53" s="84"/>
      <c r="K53" s="68">
        <v>4355.0</v>
      </c>
      <c r="L53" s="68">
        <v>5664.5</v>
      </c>
      <c r="M53" s="68">
        <v>4568.5</v>
      </c>
      <c r="N53" s="68">
        <v>4507.0</v>
      </c>
      <c r="O53" s="68">
        <v>3659.0</v>
      </c>
      <c r="P53" s="68">
        <v>2190.0</v>
      </c>
      <c r="Q53" s="68">
        <v>2482.0</v>
      </c>
      <c r="R53" s="68">
        <v>2466.5</v>
      </c>
      <c r="S53" s="68">
        <v>2214.0</v>
      </c>
      <c r="T53" s="68">
        <v>2701.5</v>
      </c>
      <c r="U53" s="68">
        <v>4739.5</v>
      </c>
      <c r="V53" s="68">
        <v>3258.5</v>
      </c>
      <c r="W53" s="68">
        <v>5408.51</v>
      </c>
      <c r="X53" s="68">
        <v>4097.51</v>
      </c>
      <c r="Y53" s="68"/>
      <c r="Z53" s="68">
        <v>2952.01</v>
      </c>
      <c r="AA53" s="68">
        <v>3862.0</v>
      </c>
      <c r="AB53" s="68">
        <v>5675.02</v>
      </c>
      <c r="AC53" s="68">
        <v>8039.52</v>
      </c>
      <c r="AD53" s="76">
        <v>3232.5</v>
      </c>
      <c r="AE53" s="68">
        <v>6064.0</v>
      </c>
      <c r="AF53" s="68">
        <v>4542.01</v>
      </c>
      <c r="AG53" s="68">
        <v>5272.0</v>
      </c>
      <c r="AH53" s="68">
        <v>4555.02</v>
      </c>
      <c r="AI53" s="67"/>
      <c r="AJ53" s="68">
        <v>5756.0</v>
      </c>
      <c r="AK53" s="68">
        <v>4754.01</v>
      </c>
      <c r="AL53" s="68">
        <v>3240.5</v>
      </c>
      <c r="AM53" s="68">
        <v>5241.0</v>
      </c>
      <c r="AN53" s="68">
        <v>6272.5</v>
      </c>
      <c r="AO53" s="68"/>
      <c r="AP53" s="68">
        <v>6836.0</v>
      </c>
      <c r="AQ53" s="68">
        <v>7005.0</v>
      </c>
      <c r="AR53" s="68">
        <v>5458.0</v>
      </c>
      <c r="AS53" s="68">
        <v>4101.5</v>
      </c>
      <c r="AT53" s="68">
        <v>2671.0</v>
      </c>
      <c r="AU53" s="68">
        <v>4232.0</v>
      </c>
      <c r="AV53" s="68">
        <v>6592.5</v>
      </c>
      <c r="AW53" s="68">
        <v>5092.5</v>
      </c>
      <c r="AX53" s="68"/>
      <c r="AY53" s="68">
        <v>5839.52</v>
      </c>
      <c r="AZ53" s="68">
        <v>5054.5</v>
      </c>
      <c r="BA53" s="68">
        <v>4268.03</v>
      </c>
      <c r="BB53" s="68">
        <v>2734.5</v>
      </c>
      <c r="BC53" s="68">
        <v>4350.0</v>
      </c>
      <c r="BD53" s="68">
        <v>5441.55</v>
      </c>
      <c r="BE53" s="68">
        <v>5902.04</v>
      </c>
      <c r="BF53" s="68">
        <v>6416.01</v>
      </c>
      <c r="BG53" s="68">
        <v>7409.01</v>
      </c>
      <c r="BH53" s="84"/>
      <c r="BI53" s="68">
        <v>8196.01</v>
      </c>
      <c r="BJ53" s="68">
        <v>4429.56</v>
      </c>
      <c r="BK53" s="68">
        <v>7659.03</v>
      </c>
      <c r="BL53" s="68">
        <v>8037.5</v>
      </c>
      <c r="BN53" s="68">
        <v>7785.52</v>
      </c>
      <c r="BO53" s="68">
        <v>7348.01</v>
      </c>
      <c r="BP53" s="68">
        <v>7511.1</v>
      </c>
      <c r="BQ53" s="68">
        <v>5373.52</v>
      </c>
      <c r="BR53" s="68">
        <v>4470.03</v>
      </c>
      <c r="BS53" s="68">
        <v>5998.03</v>
      </c>
      <c r="BT53" s="68">
        <v>5133.04</v>
      </c>
      <c r="BU53" s="68">
        <v>4206.56</v>
      </c>
      <c r="BV53" s="68">
        <v>5224.52</v>
      </c>
      <c r="BX53" s="70">
        <v>2095.53</v>
      </c>
      <c r="BY53" s="70">
        <v>2295.52</v>
      </c>
      <c r="BZ53" s="70">
        <v>2511.53</v>
      </c>
      <c r="CA53" s="70">
        <v>3675.05</v>
      </c>
      <c r="CC53" s="68">
        <v>2436.04</v>
      </c>
      <c r="CD53" s="68">
        <v>2090.0</v>
      </c>
      <c r="CE53" s="68">
        <v>2458.84</v>
      </c>
      <c r="CF53" s="68">
        <v>4177.03</v>
      </c>
      <c r="CG53" s="68">
        <v>5251.02</v>
      </c>
      <c r="CH53" s="68">
        <v>3387.03</v>
      </c>
      <c r="CI53" s="68">
        <v>3434.54</v>
      </c>
      <c r="CJ53" s="68">
        <v>2792.03</v>
      </c>
      <c r="CK53" s="68">
        <v>3770.53</v>
      </c>
      <c r="CM53" s="68">
        <v>2189.54</v>
      </c>
      <c r="CN53" s="68">
        <v>3024.06</v>
      </c>
      <c r="CO53" s="68">
        <v>3810.52</v>
      </c>
      <c r="CP53" s="68">
        <v>3168.51</v>
      </c>
      <c r="CQ53" s="68">
        <v>2807.51</v>
      </c>
      <c r="CR53" s="68">
        <v>3874.0</v>
      </c>
      <c r="CS53" s="68">
        <v>3454.51</v>
      </c>
      <c r="CT53" s="68">
        <v>3730.5</v>
      </c>
      <c r="CU53" s="68">
        <v>4090.01</v>
      </c>
      <c r="CW53" s="68">
        <v>7501.06</v>
      </c>
      <c r="CX53" s="68">
        <v>5725.01</v>
      </c>
      <c r="CY53" s="68">
        <v>2003.5</v>
      </c>
      <c r="CZ53" s="68">
        <v>3618.5</v>
      </c>
      <c r="DB53" s="68">
        <v>3755.01</v>
      </c>
      <c r="DC53" s="68">
        <v>8614.0</v>
      </c>
      <c r="DD53" s="68">
        <v>8072.52</v>
      </c>
      <c r="DE53" s="68">
        <v>6697.26</v>
      </c>
      <c r="DF53" s="68">
        <v>3276.02</v>
      </c>
      <c r="DG53" s="68">
        <v>3392.75</v>
      </c>
      <c r="DH53" s="68">
        <v>2487.0</v>
      </c>
      <c r="DI53" s="68">
        <v>2478.75</v>
      </c>
      <c r="DJ53" s="68">
        <v>2694.0</v>
      </c>
      <c r="DL53" s="68">
        <v>4097.75</v>
      </c>
      <c r="DM53" s="68">
        <v>5174.0</v>
      </c>
      <c r="DN53" s="68">
        <v>5551.52</v>
      </c>
      <c r="DO53" s="68">
        <v>6062.25</v>
      </c>
      <c r="DQ53" s="68">
        <v>5627.25</v>
      </c>
      <c r="DR53" s="68">
        <v>6359.77</v>
      </c>
      <c r="DS53" s="68">
        <v>5093.75</v>
      </c>
      <c r="DT53" s="68">
        <v>5634.5</v>
      </c>
      <c r="DV53" s="68">
        <v>4655.0</v>
      </c>
      <c r="DW53" s="68">
        <v>6328.75</v>
      </c>
      <c r="DX53" s="68">
        <v>4990.75</v>
      </c>
      <c r="DY53" s="68">
        <v>5398.77</v>
      </c>
      <c r="DZ53" s="68">
        <v>3820.25</v>
      </c>
      <c r="EA53" s="68">
        <v>2719.76</v>
      </c>
      <c r="EB53" s="68">
        <v>3065.25</v>
      </c>
      <c r="EC53" s="68">
        <v>3048.54</v>
      </c>
      <c r="ED53" s="68">
        <v>4911.0</v>
      </c>
      <c r="EF53" s="68">
        <v>3847.75</v>
      </c>
      <c r="EG53" s="68">
        <v>3706.01</v>
      </c>
      <c r="EH53" s="68">
        <v>3700.0</v>
      </c>
      <c r="EI53" s="68">
        <v>5817.01</v>
      </c>
      <c r="EJ53" s="68">
        <v>4849.76</v>
      </c>
      <c r="EL53" s="68">
        <v>3811.75</v>
      </c>
      <c r="EM53" s="68">
        <v>3716.29</v>
      </c>
      <c r="EN53" s="68">
        <v>2224.0</v>
      </c>
      <c r="EO53" s="68">
        <v>2964.55</v>
      </c>
      <c r="EP53" s="68">
        <v>2805.0</v>
      </c>
      <c r="EQ53" s="68">
        <v>4008.16</v>
      </c>
      <c r="ER53" s="68">
        <v>2244.5</v>
      </c>
      <c r="ES53" s="68">
        <v>2461.5</v>
      </c>
      <c r="EU53" s="68">
        <v>3284.15</v>
      </c>
      <c r="EV53" s="68">
        <v>3584.42</v>
      </c>
      <c r="EW53" s="68">
        <v>3196.9</v>
      </c>
      <c r="EX53" s="68">
        <v>3132.9</v>
      </c>
      <c r="EY53" s="68">
        <v>3471.5</v>
      </c>
      <c r="EZ53" s="20">
        <v>3452.51</v>
      </c>
      <c r="FA53" s="20">
        <v>3593.8</v>
      </c>
      <c r="FB53" s="20">
        <v>2976.67</v>
      </c>
      <c r="FC53" s="20">
        <v>3228.5</v>
      </c>
      <c r="FE53" s="20">
        <v>5921.51</v>
      </c>
      <c r="FF53" s="20">
        <v>8622.0</v>
      </c>
      <c r="FG53" s="20">
        <v>3029.9</v>
      </c>
      <c r="FH53" s="20">
        <v>4417.25</v>
      </c>
      <c r="FJ53" s="20">
        <v>4149.5</v>
      </c>
      <c r="FK53" s="20">
        <v>5357.5</v>
      </c>
      <c r="FL53" s="20">
        <v>3360.5</v>
      </c>
      <c r="FM53" s="20">
        <v>2282.5</v>
      </c>
      <c r="FN53" s="20">
        <v>2383.5</v>
      </c>
      <c r="FO53" s="20">
        <v>4037.5</v>
      </c>
      <c r="FP53" s="20">
        <v>4429.01</v>
      </c>
      <c r="FQ53" s="20">
        <v>3522.0</v>
      </c>
      <c r="FR53" s="20">
        <v>2806.51</v>
      </c>
      <c r="FT53" s="18">
        <v>5409.5</v>
      </c>
      <c r="FU53" s="18">
        <v>5844.01</v>
      </c>
      <c r="FV53" s="18">
        <v>5946.0</v>
      </c>
      <c r="FW53" s="18">
        <v>6372.0</v>
      </c>
      <c r="FX53" s="18">
        <v>4380.5</v>
      </c>
      <c r="FY53" s="18">
        <v>5130.0</v>
      </c>
      <c r="FZ53" s="18">
        <v>3689.5</v>
      </c>
      <c r="GA53" s="18">
        <v>4992.01</v>
      </c>
      <c r="GB53" s="18">
        <v>3975.5</v>
      </c>
      <c r="GC53" s="18">
        <v>3652.01</v>
      </c>
      <c r="GD53" s="18">
        <v>2945.5</v>
      </c>
      <c r="GE53" s="18">
        <v>3262.5</v>
      </c>
      <c r="GF53" s="18">
        <v>3662.0</v>
      </c>
      <c r="GH53" s="18">
        <v>4476.5</v>
      </c>
      <c r="GI53" s="45">
        <v>4750.5</v>
      </c>
      <c r="GJ53" s="18">
        <v>4164.5</v>
      </c>
      <c r="GK53" s="18">
        <v>2959.51</v>
      </c>
      <c r="GM53" s="18">
        <v>6028.06</v>
      </c>
      <c r="GN53" s="18">
        <v>6114.0</v>
      </c>
      <c r="GO53" s="18">
        <v>3912.0</v>
      </c>
      <c r="GP53" s="18">
        <v>4465.0</v>
      </c>
      <c r="GQ53" s="18">
        <v>3245.5</v>
      </c>
    </row>
    <row r="54" ht="15.75" customHeight="1">
      <c r="A54" s="66" t="s">
        <v>20</v>
      </c>
      <c r="B54" s="68">
        <v>5052.11</v>
      </c>
      <c r="C54" s="68">
        <v>5480.5</v>
      </c>
      <c r="D54" s="68">
        <v>3671.0</v>
      </c>
      <c r="E54" s="68">
        <v>4736.0</v>
      </c>
      <c r="F54" s="68">
        <v>5030.0</v>
      </c>
      <c r="G54" s="68">
        <v>4383.0</v>
      </c>
      <c r="H54" s="68">
        <v>3675.5</v>
      </c>
      <c r="I54" s="68">
        <v>2552.5</v>
      </c>
      <c r="J54" s="84"/>
      <c r="K54" s="68">
        <v>4468.5</v>
      </c>
      <c r="L54" s="68">
        <v>3716.0</v>
      </c>
      <c r="M54" s="68">
        <v>3877.5</v>
      </c>
      <c r="N54" s="68">
        <v>3237.5</v>
      </c>
      <c r="O54" s="68">
        <v>2721.0</v>
      </c>
      <c r="P54" s="68">
        <v>2986.0</v>
      </c>
      <c r="Q54" s="68">
        <v>2258.0</v>
      </c>
      <c r="R54" s="68">
        <v>2666.0</v>
      </c>
      <c r="S54" s="68">
        <v>2214.0</v>
      </c>
      <c r="U54" s="68">
        <v>3980.5</v>
      </c>
      <c r="V54" s="68">
        <v>3123.5</v>
      </c>
      <c r="W54" s="68">
        <v>3754.5</v>
      </c>
      <c r="X54" s="68">
        <v>4193.5</v>
      </c>
      <c r="Y54" s="84"/>
      <c r="Z54" s="75">
        <v>4798.5</v>
      </c>
      <c r="AA54" s="75">
        <v>3467.0</v>
      </c>
      <c r="AB54" s="75">
        <v>6820.0</v>
      </c>
      <c r="AC54" s="68">
        <v>7545.03</v>
      </c>
      <c r="AD54" s="68">
        <v>3942.5</v>
      </c>
      <c r="AE54" s="68">
        <v>4671.02</v>
      </c>
      <c r="AF54" s="68">
        <v>3816.5</v>
      </c>
      <c r="AG54" s="68">
        <v>4979.01</v>
      </c>
      <c r="AH54" s="68">
        <v>4701.5</v>
      </c>
      <c r="AI54" s="67"/>
      <c r="AJ54" s="68">
        <v>4584.01</v>
      </c>
      <c r="AK54" s="68">
        <v>3477.13</v>
      </c>
      <c r="AL54" s="68">
        <v>3979.51</v>
      </c>
      <c r="AM54" s="68">
        <v>3710.5</v>
      </c>
      <c r="AO54" s="68">
        <v>7505.0</v>
      </c>
      <c r="AP54" s="68">
        <v>4521.0</v>
      </c>
      <c r="AQ54" s="68">
        <v>6027.0</v>
      </c>
      <c r="AR54" s="68">
        <v>5944.0</v>
      </c>
      <c r="AS54" s="68">
        <v>5724.0</v>
      </c>
      <c r="AT54" s="68">
        <v>4268.02</v>
      </c>
      <c r="AU54" s="68">
        <v>6334.5</v>
      </c>
      <c r="AV54" s="68">
        <v>5898.0</v>
      </c>
      <c r="AW54" s="68">
        <v>4474.0</v>
      </c>
      <c r="AX54" s="68"/>
      <c r="AY54" s="68">
        <v>4675.5</v>
      </c>
      <c r="AZ54" s="68">
        <v>6274.0</v>
      </c>
      <c r="BA54" s="68">
        <v>4159.5</v>
      </c>
      <c r="BB54" s="68"/>
      <c r="BC54" s="78"/>
      <c r="BD54" s="68">
        <v>4982.0</v>
      </c>
      <c r="BE54" s="68">
        <v>6163.5</v>
      </c>
      <c r="BF54" s="68">
        <v>4838.09</v>
      </c>
      <c r="BG54" s="68">
        <v>8351.0</v>
      </c>
      <c r="BH54" s="68"/>
      <c r="BI54" s="68">
        <v>6234.5</v>
      </c>
      <c r="BJ54" s="68">
        <v>5069.52</v>
      </c>
      <c r="BK54" s="68">
        <v>7680.01</v>
      </c>
      <c r="BL54" s="68">
        <v>10609.51</v>
      </c>
      <c r="BN54" s="68">
        <v>7755.51</v>
      </c>
      <c r="BO54" s="68">
        <v>7547.04</v>
      </c>
      <c r="BP54" s="68">
        <v>6691.53</v>
      </c>
      <c r="BQ54" s="68">
        <v>4384.0</v>
      </c>
      <c r="BR54" s="68">
        <v>3468.12</v>
      </c>
      <c r="BS54" s="68">
        <v>4436.54</v>
      </c>
      <c r="BT54" s="68">
        <v>4879.5</v>
      </c>
      <c r="BU54" s="68">
        <v>4285.06</v>
      </c>
      <c r="BV54" s="68">
        <v>4299.09</v>
      </c>
      <c r="BX54" s="70">
        <v>3064.05</v>
      </c>
      <c r="BY54" s="70">
        <v>2134.07</v>
      </c>
      <c r="BZ54" s="70">
        <v>2559.55</v>
      </c>
      <c r="CA54" s="70">
        <v>2337.51</v>
      </c>
      <c r="CC54" s="68">
        <v>1830.0</v>
      </c>
      <c r="CD54" s="68">
        <v>1864.57</v>
      </c>
      <c r="CE54" s="68">
        <v>1920.53</v>
      </c>
      <c r="CF54" s="68">
        <v>5134.57</v>
      </c>
      <c r="CG54" s="68">
        <v>5516.01</v>
      </c>
      <c r="CH54" s="68">
        <v>3640.0</v>
      </c>
      <c r="CI54" s="68">
        <v>2638.06</v>
      </c>
      <c r="CJ54" s="68">
        <v>2969.0</v>
      </c>
      <c r="CK54" s="68">
        <v>2330.57</v>
      </c>
      <c r="CM54" s="68">
        <v>2452.03</v>
      </c>
      <c r="CN54" s="68">
        <v>1972.08</v>
      </c>
      <c r="CO54" s="68">
        <v>2209.51</v>
      </c>
      <c r="CP54" s="68">
        <v>3691.09</v>
      </c>
      <c r="CR54" s="68">
        <v>2695.5</v>
      </c>
      <c r="CS54" s="68">
        <v>2628.53</v>
      </c>
      <c r="CT54" s="68">
        <v>3346.0</v>
      </c>
      <c r="CU54" s="68">
        <v>2706.52</v>
      </c>
      <c r="CV54" s="68">
        <v>2102.0</v>
      </c>
      <c r="CW54" s="68">
        <v>5339.56</v>
      </c>
      <c r="CX54" s="68">
        <v>6097.03</v>
      </c>
      <c r="CY54" s="68">
        <v>3688.5</v>
      </c>
      <c r="CZ54" s="68">
        <v>4389.5</v>
      </c>
      <c r="DB54" s="68">
        <v>2770.5</v>
      </c>
      <c r="DC54" s="68">
        <v>8551.27</v>
      </c>
      <c r="DD54" s="68">
        <v>6901.26</v>
      </c>
      <c r="DE54" s="68">
        <v>5108.8</v>
      </c>
      <c r="DG54" s="68">
        <v>2658.25</v>
      </c>
      <c r="DH54" s="68">
        <v>3171.75</v>
      </c>
      <c r="DI54" s="68">
        <v>2270.5</v>
      </c>
      <c r="DJ54" s="68">
        <v>3085.75</v>
      </c>
      <c r="DK54" s="68">
        <v>3470.75</v>
      </c>
      <c r="DL54" s="68">
        <v>3457.81</v>
      </c>
      <c r="DM54" s="68">
        <v>3844.25</v>
      </c>
      <c r="DN54" s="68">
        <v>5499.75</v>
      </c>
      <c r="DO54" s="68">
        <v>5242.77</v>
      </c>
      <c r="DQ54" s="68">
        <v>4641.26</v>
      </c>
      <c r="DR54" s="68">
        <v>7420.75</v>
      </c>
      <c r="DS54" s="68">
        <v>4808.85</v>
      </c>
      <c r="DT54" s="68">
        <v>4964.25</v>
      </c>
      <c r="DV54" s="68">
        <v>3510.53</v>
      </c>
      <c r="DW54" s="68">
        <v>5694.01</v>
      </c>
      <c r="DX54" s="68">
        <v>4930.04</v>
      </c>
      <c r="DY54" s="68">
        <v>4646.25</v>
      </c>
      <c r="DZ54" s="68">
        <v>3108.0</v>
      </c>
      <c r="EA54" s="68">
        <v>3215.25</v>
      </c>
      <c r="EB54" s="68">
        <v>2786.01</v>
      </c>
      <c r="EC54" s="68">
        <v>1359.0</v>
      </c>
      <c r="ED54" s="68">
        <v>2492.02</v>
      </c>
      <c r="EF54" s="68">
        <v>3424.27</v>
      </c>
      <c r="EG54" s="68">
        <v>2910.75</v>
      </c>
      <c r="EH54" s="68">
        <v>2456.5</v>
      </c>
      <c r="EI54" s="68">
        <v>4526.0</v>
      </c>
      <c r="EK54" s="68">
        <v>4180.83</v>
      </c>
      <c r="EL54" s="68">
        <v>4635.29</v>
      </c>
      <c r="EM54" s="68">
        <v>2684.02</v>
      </c>
      <c r="EN54" s="68">
        <v>2497.59</v>
      </c>
      <c r="EO54" s="68">
        <v>3844.15</v>
      </c>
      <c r="EP54" s="68">
        <v>3583.24</v>
      </c>
      <c r="EQ54" s="68">
        <v>2679.07</v>
      </c>
      <c r="ER54" s="68">
        <v>2258.2</v>
      </c>
      <c r="ES54" s="68">
        <v>3170.15</v>
      </c>
      <c r="EU54" s="68">
        <v>3413.9</v>
      </c>
      <c r="EV54" s="68">
        <v>3536.91</v>
      </c>
      <c r="EW54" s="68">
        <v>2686.8</v>
      </c>
      <c r="EX54" s="68">
        <v>1980.0</v>
      </c>
      <c r="EY54" s="68">
        <v>4099.5</v>
      </c>
      <c r="EZ54" s="20">
        <v>3052.5</v>
      </c>
      <c r="FA54" s="20">
        <v>2751.0</v>
      </c>
      <c r="FB54" s="20">
        <v>2882.9</v>
      </c>
      <c r="FC54" s="20">
        <v>3071.0</v>
      </c>
      <c r="FE54" s="20">
        <v>6536.4</v>
      </c>
      <c r="FF54" s="20">
        <v>7934.7</v>
      </c>
      <c r="FG54" s="20">
        <v>4194.4</v>
      </c>
      <c r="FH54" s="20">
        <v>2996.41</v>
      </c>
      <c r="FJ54" s="20">
        <v>3339.9</v>
      </c>
      <c r="FK54" s="20">
        <v>5717.4</v>
      </c>
      <c r="FL54" s="20">
        <v>3765.41</v>
      </c>
      <c r="FM54" s="20">
        <v>2556.5</v>
      </c>
      <c r="FN54" s="20">
        <v>4227.5</v>
      </c>
      <c r="FO54" s="20">
        <v>3251.01</v>
      </c>
      <c r="FP54" s="20">
        <v>2350.5</v>
      </c>
      <c r="FQ54" s="20">
        <v>2802.5</v>
      </c>
      <c r="FR54" s="20">
        <v>3695.5</v>
      </c>
      <c r="FT54" s="18">
        <v>5360.01</v>
      </c>
      <c r="FU54" s="18">
        <v>5247.0</v>
      </c>
      <c r="FV54" s="18">
        <v>6474.0</v>
      </c>
      <c r="FW54" s="18">
        <v>5614.5</v>
      </c>
      <c r="FY54" s="18">
        <v>7023.5</v>
      </c>
      <c r="FZ54" s="18">
        <v>2867.5</v>
      </c>
      <c r="GA54" s="18">
        <v>2943.5</v>
      </c>
      <c r="GB54" s="18">
        <v>6048.5</v>
      </c>
      <c r="GC54" s="18">
        <v>3740.5</v>
      </c>
      <c r="GD54" s="18">
        <v>2583.0</v>
      </c>
      <c r="GE54" s="18">
        <v>3460.0</v>
      </c>
      <c r="GF54" s="18">
        <v>4400.5</v>
      </c>
      <c r="GG54" s="18">
        <v>3500.5</v>
      </c>
      <c r="GH54" s="18">
        <v>2620.5</v>
      </c>
      <c r="GI54" s="18">
        <v>4090.0</v>
      </c>
      <c r="GJ54" s="18">
        <v>4225.0</v>
      </c>
      <c r="GK54" s="18">
        <v>3206.0</v>
      </c>
      <c r="GM54" s="45">
        <v>3823.0</v>
      </c>
      <c r="GN54" s="18">
        <v>4655.0</v>
      </c>
      <c r="GO54" s="18">
        <v>3848.0</v>
      </c>
      <c r="GP54" s="18">
        <v>3762.0</v>
      </c>
      <c r="GQ54" s="18">
        <v>6348.0</v>
      </c>
    </row>
    <row r="55" ht="15.75" customHeight="1"/>
    <row r="56" ht="15.75" customHeight="1">
      <c r="B56" s="86" t="s">
        <v>44</v>
      </c>
      <c r="C56" s="86" t="s">
        <v>45</v>
      </c>
      <c r="D56" s="86" t="s">
        <v>46</v>
      </c>
      <c r="E56" s="86" t="s">
        <v>47</v>
      </c>
      <c r="F56" s="86" t="s">
        <v>48</v>
      </c>
      <c r="G56" s="86" t="s">
        <v>49</v>
      </c>
    </row>
    <row r="57" ht="15.75" customHeight="1">
      <c r="A57" s="66" t="s">
        <v>7</v>
      </c>
      <c r="B57" s="65">
        <f t="shared" ref="B57:B63" si="1">MAX(FO48:GQ48)</f>
        <v>3695</v>
      </c>
      <c r="C57" s="65">
        <f t="shared" ref="C57:C63" si="2">MIN(FO48:GQ48)</f>
        <v>1080</v>
      </c>
      <c r="D57" s="86">
        <f t="shared" ref="D57:D63" si="3">COUNTA(FO48:GQ48)</f>
        <v>26</v>
      </c>
      <c r="E57" s="65">
        <f t="shared" ref="E57:E63" si="4">SUM(FO48:GQ48)/D57</f>
        <v>2232.654615</v>
      </c>
      <c r="F57" s="65">
        <f t="shared" ref="F57:F63" si="5">(SUM(FO48:GQ48)-B57-C57)/(D57-2)</f>
        <v>2219.750833</v>
      </c>
      <c r="G57" s="65">
        <f t="shared" ref="G57:G63" si="6">F57*1.1</f>
        <v>2441.725917</v>
      </c>
      <c r="H57" s="87"/>
    </row>
    <row r="58" ht="15.75" customHeight="1">
      <c r="A58" s="66" t="s">
        <v>9</v>
      </c>
      <c r="B58" s="65">
        <f t="shared" si="1"/>
        <v>7027.02</v>
      </c>
      <c r="C58" s="65">
        <f t="shared" si="2"/>
        <v>1277.02</v>
      </c>
      <c r="D58" s="86">
        <f t="shared" si="3"/>
        <v>26</v>
      </c>
      <c r="E58" s="65">
        <f t="shared" si="4"/>
        <v>2497.697692</v>
      </c>
      <c r="F58" s="65">
        <f t="shared" si="5"/>
        <v>2359.8375</v>
      </c>
      <c r="G58" s="65">
        <f t="shared" si="6"/>
        <v>2595.82125</v>
      </c>
      <c r="H58" s="87"/>
    </row>
    <row r="59" ht="15.75" customHeight="1">
      <c r="A59" s="66" t="s">
        <v>11</v>
      </c>
      <c r="B59" s="65">
        <f t="shared" si="1"/>
        <v>5202</v>
      </c>
      <c r="C59" s="65">
        <f t="shared" si="2"/>
        <v>1266</v>
      </c>
      <c r="D59" s="86">
        <f t="shared" si="3"/>
        <v>24</v>
      </c>
      <c r="E59" s="65">
        <f t="shared" si="4"/>
        <v>2811.47875</v>
      </c>
      <c r="F59" s="65">
        <f t="shared" si="5"/>
        <v>2773.067727</v>
      </c>
      <c r="G59" s="65">
        <f t="shared" si="6"/>
        <v>3050.3745</v>
      </c>
      <c r="H59" s="87"/>
    </row>
    <row r="60" ht="15.75" customHeight="1">
      <c r="A60" s="66" t="s">
        <v>13</v>
      </c>
      <c r="B60" s="65">
        <f t="shared" si="1"/>
        <v>4027.53</v>
      </c>
      <c r="C60" s="65">
        <f t="shared" si="2"/>
        <v>941.02</v>
      </c>
      <c r="D60" s="86">
        <f t="shared" si="3"/>
        <v>26</v>
      </c>
      <c r="E60" s="65">
        <f t="shared" si="4"/>
        <v>2393.906923</v>
      </c>
      <c r="F60" s="65">
        <f t="shared" si="5"/>
        <v>2386.37625</v>
      </c>
      <c r="G60" s="65">
        <f t="shared" si="6"/>
        <v>2625.013875</v>
      </c>
      <c r="H60" s="87"/>
    </row>
    <row r="61" ht="15.75" customHeight="1">
      <c r="A61" s="66" t="s">
        <v>17</v>
      </c>
      <c r="B61" s="65">
        <f t="shared" si="1"/>
        <v>6527.5</v>
      </c>
      <c r="C61" s="65">
        <f t="shared" si="2"/>
        <v>1266</v>
      </c>
      <c r="D61" s="86">
        <f t="shared" si="3"/>
        <v>26</v>
      </c>
      <c r="E61" s="65">
        <f t="shared" si="4"/>
        <v>2709.420385</v>
      </c>
      <c r="F61" s="65">
        <f t="shared" si="5"/>
        <v>2610.47625</v>
      </c>
      <c r="G61" s="65">
        <f t="shared" si="6"/>
        <v>2871.523875</v>
      </c>
      <c r="H61" s="87"/>
    </row>
    <row r="62" ht="15.75" customHeight="1">
      <c r="A62" s="66" t="s">
        <v>18</v>
      </c>
      <c r="B62" s="65">
        <f t="shared" si="1"/>
        <v>6372</v>
      </c>
      <c r="C62" s="65">
        <f t="shared" si="2"/>
        <v>2806.51</v>
      </c>
      <c r="D62" s="86">
        <f t="shared" si="3"/>
        <v>26</v>
      </c>
      <c r="E62" s="65">
        <f t="shared" si="4"/>
        <v>4391.216154</v>
      </c>
      <c r="F62" s="65">
        <f t="shared" si="5"/>
        <v>4374.712917</v>
      </c>
      <c r="G62" s="65">
        <f t="shared" si="6"/>
        <v>4812.184208</v>
      </c>
      <c r="H62" s="87"/>
    </row>
    <row r="63" ht="15.75" customHeight="1">
      <c r="A63" s="66" t="s">
        <v>20</v>
      </c>
      <c r="B63" s="65">
        <f t="shared" si="1"/>
        <v>7023.5</v>
      </c>
      <c r="C63" s="65">
        <f t="shared" si="2"/>
        <v>2350.5</v>
      </c>
      <c r="D63" s="86">
        <f t="shared" si="3"/>
        <v>26</v>
      </c>
      <c r="E63" s="65">
        <f t="shared" si="4"/>
        <v>4151.539231</v>
      </c>
      <c r="F63" s="65">
        <f t="shared" si="5"/>
        <v>4106.9175</v>
      </c>
      <c r="G63" s="65">
        <f t="shared" si="6"/>
        <v>4517.60925</v>
      </c>
      <c r="H63" s="87"/>
    </row>
    <row r="64" ht="15.75" customHeight="1"/>
    <row r="65" ht="15.75" customHeight="1">
      <c r="E65" s="86" t="s">
        <v>50</v>
      </c>
    </row>
    <row r="66" ht="15.75" customHeight="1">
      <c r="E66" s="17">
        <v>2465.1209333333336</v>
      </c>
      <c r="F66" s="65">
        <v>2441.725916666667</v>
      </c>
      <c r="G66" s="65">
        <f t="shared" ref="G66:G72" si="7">F66-E66</f>
        <v>-23.39501667</v>
      </c>
      <c r="H66" s="64"/>
    </row>
    <row r="67" ht="15.75" customHeight="1">
      <c r="E67" s="17">
        <v>2649.563933333334</v>
      </c>
      <c r="F67" s="65">
        <v>2595.8212500000004</v>
      </c>
      <c r="G67" s="65">
        <f t="shared" si="7"/>
        <v>-53.74268333</v>
      </c>
      <c r="H67" s="64"/>
    </row>
    <row r="68" ht="15.75" customHeight="1">
      <c r="E68" s="17">
        <v>2953.7709090909098</v>
      </c>
      <c r="F68" s="65">
        <v>3050.3744999999994</v>
      </c>
      <c r="G68" s="65">
        <f t="shared" si="7"/>
        <v>96.60359091</v>
      </c>
      <c r="H68" s="64"/>
    </row>
    <row r="69" ht="15.75" customHeight="1">
      <c r="E69" s="41">
        <v>2785.570200000001</v>
      </c>
      <c r="F69" s="65">
        <v>2625.0138750000006</v>
      </c>
      <c r="G69" s="65">
        <f t="shared" si="7"/>
        <v>-160.556325</v>
      </c>
      <c r="H69" s="64"/>
    </row>
    <row r="70" ht="15.75" customHeight="1">
      <c r="E70" s="17">
        <v>2874.878330434783</v>
      </c>
      <c r="F70" s="65">
        <v>2871.523875</v>
      </c>
      <c r="G70" s="65">
        <f t="shared" si="7"/>
        <v>-3.354455435</v>
      </c>
      <c r="H70" s="64"/>
    </row>
    <row r="71" ht="15.75" customHeight="1">
      <c r="E71" s="17">
        <v>4633.349466666666</v>
      </c>
      <c r="F71" s="65">
        <v>4812.184208333333</v>
      </c>
      <c r="G71" s="65">
        <f t="shared" si="7"/>
        <v>178.8347417</v>
      </c>
      <c r="H71" s="64"/>
    </row>
    <row r="72" ht="15.75" customHeight="1">
      <c r="E72" s="5">
        <v>4467.714066666667</v>
      </c>
      <c r="F72" s="65">
        <v>4517.609250000001</v>
      </c>
      <c r="G72" s="65">
        <f t="shared" si="7"/>
        <v>49.89518333</v>
      </c>
      <c r="H72" s="64"/>
    </row>
    <row r="73" ht="15.75" customHeight="1">
      <c r="E73" s="65">
        <f t="shared" ref="E73:F73" si="8">SUM(E66:E72)</f>
        <v>22829.96784</v>
      </c>
      <c r="F73" s="65">
        <f t="shared" si="8"/>
        <v>22914.25288</v>
      </c>
      <c r="G73" s="88">
        <f>F73/E73</f>
        <v>1.00369186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</sheetData>
  <mergeCells count="40">
    <mergeCell ref="B47:E47"/>
    <mergeCell ref="F47:J47"/>
    <mergeCell ref="K47:O47"/>
    <mergeCell ref="P47:T47"/>
    <mergeCell ref="U47:Y47"/>
    <mergeCell ref="Z47:AD47"/>
    <mergeCell ref="AE47:AI47"/>
    <mergeCell ref="AJ47:AN47"/>
    <mergeCell ref="AO47:AS47"/>
    <mergeCell ref="AT47:AX47"/>
    <mergeCell ref="AY47:BC47"/>
    <mergeCell ref="BD47:BH47"/>
    <mergeCell ref="BI47:BM47"/>
    <mergeCell ref="BN47:BR47"/>
    <mergeCell ref="BS47:BW47"/>
    <mergeCell ref="BX47:CB47"/>
    <mergeCell ref="CC47:CG47"/>
    <mergeCell ref="CH47:CL47"/>
    <mergeCell ref="CM47:CQ47"/>
    <mergeCell ref="CR47:CV47"/>
    <mergeCell ref="CW47:DA47"/>
    <mergeCell ref="DB47:DF47"/>
    <mergeCell ref="DG47:DK47"/>
    <mergeCell ref="DL47:DP47"/>
    <mergeCell ref="DQ47:DU47"/>
    <mergeCell ref="DV47:DZ47"/>
    <mergeCell ref="EA47:EE47"/>
    <mergeCell ref="EF47:EJ47"/>
    <mergeCell ref="FT47:FX47"/>
    <mergeCell ref="FY47:GB47"/>
    <mergeCell ref="GC47:GG47"/>
    <mergeCell ref="GH47:GL47"/>
    <mergeCell ref="GM47:GQ47"/>
    <mergeCell ref="EK47:EO47"/>
    <mergeCell ref="EP47:ET47"/>
    <mergeCell ref="EU47:EY47"/>
    <mergeCell ref="EZ47:FD47"/>
    <mergeCell ref="FE47:FI47"/>
    <mergeCell ref="FJ47:FN47"/>
    <mergeCell ref="FO47:FS47"/>
  </mergeCells>
  <conditionalFormatting sqref="AJ3:AJ33">
    <cfRule type="cellIs" dxfId="2" priority="1" operator="greaterThanOrEqual">
      <formula>$F3</formula>
    </cfRule>
  </conditionalFormatting>
  <conditionalFormatting sqref="AJ3:AJ33">
    <cfRule type="cellIs" dxfId="3" priority="2" operator="lessThan">
      <formula>$F3</formula>
    </cfRule>
  </conditionalFormatting>
  <conditionalFormatting sqref="AL9:AL36">
    <cfRule type="expression" dxfId="0" priority="3">
      <formula>$D9&gt;=$F9</formula>
    </cfRule>
  </conditionalFormatting>
  <conditionalFormatting sqref="AL9:AL36">
    <cfRule type="expression" dxfId="1" priority="4">
      <formula>$D9&lt;$F9</formula>
    </cfRule>
  </conditionalFormatting>
  <conditionalFormatting sqref="AM9:AM39">
    <cfRule type="expression" dxfId="0" priority="5">
      <formula>$D9&gt;=$F9</formula>
    </cfRule>
  </conditionalFormatting>
  <conditionalFormatting sqref="AM9:AM39">
    <cfRule type="expression" dxfId="1" priority="6">
      <formula>$D9&lt;$F9</formula>
    </cfRule>
  </conditionalFormatting>
  <conditionalFormatting sqref="AN5:AN34">
    <cfRule type="expression" dxfId="0" priority="7">
      <formula>$D5&gt;=$F5</formula>
    </cfRule>
  </conditionalFormatting>
  <conditionalFormatting sqref="AN5:AN34">
    <cfRule type="expression" dxfId="1" priority="8">
      <formula>$D5&lt;$F5</formula>
    </cfRule>
  </conditionalFormatting>
  <conditionalFormatting sqref="FO48:FR54">
    <cfRule type="cellIs" dxfId="2" priority="9" operator="greaterThanOrEqual">
      <formula>$F3</formula>
    </cfRule>
  </conditionalFormatting>
  <conditionalFormatting sqref="FO48:FR54">
    <cfRule type="cellIs" dxfId="3" priority="10" operator="lessThan">
      <formula>$F3</formula>
    </cfRule>
  </conditionalFormatting>
  <conditionalFormatting sqref="FS48:FS49">
    <cfRule type="cellIs" dxfId="2" priority="11" operator="greaterThanOrEqual">
      <formula>$F3</formula>
    </cfRule>
  </conditionalFormatting>
  <conditionalFormatting sqref="FS48:FS49">
    <cfRule type="cellIs" dxfId="3" priority="12" operator="lessThan">
      <formula>$F3</formula>
    </cfRule>
  </conditionalFormatting>
  <conditionalFormatting sqref="FY48:FY54">
    <cfRule type="expression" dxfId="0" priority="13">
      <formula>$D9&gt;=$F9</formula>
    </cfRule>
  </conditionalFormatting>
  <conditionalFormatting sqref="FY48:FY54">
    <cfRule type="expression" dxfId="1" priority="14">
      <formula>$D9&lt;$F9</formula>
    </cfRule>
  </conditionalFormatting>
  <conditionalFormatting sqref="FZ48:GB54">
    <cfRule type="expression" dxfId="0" priority="15">
      <formula>$D10&gt;=$F10</formula>
    </cfRule>
  </conditionalFormatting>
  <conditionalFormatting sqref="FZ48:GB54">
    <cfRule type="expression" dxfId="1" priority="16">
      <formula>$D10&lt;$F10</formula>
    </cfRule>
  </conditionalFormatting>
  <conditionalFormatting sqref="GC48:GF54">
    <cfRule type="expression" dxfId="0" priority="17">
      <formula>$D9&gt;=$F9</formula>
    </cfRule>
  </conditionalFormatting>
  <conditionalFormatting sqref="GC48:GF54">
    <cfRule type="expression" dxfId="1" priority="18">
      <formula>$D9&lt;$F9</formula>
    </cfRule>
  </conditionalFormatting>
  <conditionalFormatting sqref="GG48:GG49">
    <cfRule type="expression" dxfId="0" priority="19">
      <formula>$D9&gt;=$F9</formula>
    </cfRule>
  </conditionalFormatting>
  <conditionalFormatting sqref="GG48:GG49">
    <cfRule type="expression" dxfId="1" priority="20">
      <formula>$D9&lt;$F9</formula>
    </cfRule>
  </conditionalFormatting>
  <conditionalFormatting sqref="GG54">
    <cfRule type="expression" dxfId="0" priority="21">
      <formula>$D15&gt;=$F15</formula>
    </cfRule>
  </conditionalFormatting>
  <conditionalFormatting sqref="GG54">
    <cfRule type="expression" dxfId="1" priority="22">
      <formula>$D15&lt;$F15</formula>
    </cfRule>
  </conditionalFormatting>
  <conditionalFormatting sqref="GH50:GH54">
    <cfRule type="expression" dxfId="0" priority="23">
      <formula>$D5&gt;=$F5</formula>
    </cfRule>
  </conditionalFormatting>
  <conditionalFormatting sqref="GH50:GH54">
    <cfRule type="expression" dxfId="1" priority="24">
      <formula>$D5&lt;$F5</formula>
    </cfRule>
  </conditionalFormatting>
  <conditionalFormatting sqref="GI48:GK54">
    <cfRule type="expression" dxfId="0" priority="25">
      <formula>$D3&gt;=$F3</formula>
    </cfRule>
  </conditionalFormatting>
  <conditionalFormatting sqref="GI48:GK54">
    <cfRule type="expression" dxfId="1" priority="26">
      <formula>$D3&lt;$F3</formula>
    </cfRule>
  </conditionalFormatting>
  <conditionalFormatting sqref="GL48:GL51">
    <cfRule type="expression" dxfId="0" priority="27">
      <formula>$D3&gt;=$F3</formula>
    </cfRule>
  </conditionalFormatting>
  <conditionalFormatting sqref="GL48:GL51">
    <cfRule type="expression" dxfId="1" priority="28">
      <formula>$D3&lt;$F3</formula>
    </cfRule>
  </conditionalFormatting>
  <conditionalFormatting sqref="AO7:AO37">
    <cfRule type="expression" dxfId="0" priority="29">
      <formula>$D7&gt;=$F7</formula>
    </cfRule>
  </conditionalFormatting>
  <conditionalFormatting sqref="AO7:AO37">
    <cfRule type="expression" dxfId="1" priority="30">
      <formula>$D7&lt;$F7</formula>
    </cfRule>
  </conditionalFormatting>
  <conditionalFormatting sqref="GM48:GM54">
    <cfRule type="expression" dxfId="0" priority="31">
      <formula>$D3&gt;=$F3</formula>
    </cfRule>
  </conditionalFormatting>
  <conditionalFormatting sqref="GM48:GM54">
    <cfRule type="expression" dxfId="1" priority="32">
      <formula>$D3&lt;$F3</formula>
    </cfRule>
  </conditionalFormatting>
  <conditionalFormatting sqref="GN48:GN54">
    <cfRule type="expression" dxfId="0" priority="33">
      <formula>$D3&gt;=$F3</formula>
    </cfRule>
  </conditionalFormatting>
  <conditionalFormatting sqref="GN48:GN54">
    <cfRule type="expression" dxfId="1" priority="34">
      <formula>$D3&lt;$F3</formula>
    </cfRule>
  </conditionalFormatting>
  <conditionalFormatting sqref="GO48:GO54">
    <cfRule type="expression" dxfId="0" priority="35">
      <formula>$D3&gt;=$F3</formula>
    </cfRule>
  </conditionalFormatting>
  <conditionalFormatting sqref="GO48:GO54">
    <cfRule type="expression" dxfId="1" priority="36">
      <formula>$D3&lt;$F3</formula>
    </cfRule>
  </conditionalFormatting>
  <conditionalFormatting sqref="GP48:GP54">
    <cfRule type="expression" dxfId="0" priority="37">
      <formula>$D3&gt;=$F3</formula>
    </cfRule>
  </conditionalFormatting>
  <conditionalFormatting sqref="GP48:GP54">
    <cfRule type="expression" dxfId="1" priority="38">
      <formula>$D3&lt;$F3</formula>
    </cfRule>
  </conditionalFormatting>
  <conditionalFormatting sqref="GQ52:GQ54">
    <cfRule type="expression" dxfId="0" priority="39">
      <formula>$D7&gt;=$F7</formula>
    </cfRule>
  </conditionalFormatting>
  <conditionalFormatting sqref="GQ52:GQ54">
    <cfRule type="expression" dxfId="1" priority="40">
      <formula>$D7&lt;$F7</formula>
    </cfRule>
  </conditionalFormatting>
  <printOptions/>
  <pageMargins bottom="0.7875" footer="0.0" header="0.0" left="0.511805555555556" right="0.511805555555556" top="0.78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5.86"/>
    <col customWidth="1" hidden="1" min="2" max="2" width="9.71"/>
    <col customWidth="1" hidden="1" min="3" max="3" width="11.0"/>
    <col customWidth="1" hidden="1" min="4" max="4" width="11.86"/>
    <col customWidth="1" hidden="1" min="5" max="5" width="4.86"/>
    <col customWidth="1" hidden="1" min="6" max="6" width="5.71"/>
    <col customWidth="1" hidden="1" min="7" max="7" width="5.86"/>
    <col customWidth="1" hidden="1" min="8" max="8" width="9.71"/>
    <col customWidth="1" hidden="1" min="9" max="10" width="11.86"/>
    <col customWidth="1" hidden="1" min="11" max="11" width="4.86"/>
    <col customWidth="1" hidden="1" min="12" max="12" width="5.71"/>
    <col customWidth="1" hidden="1" min="13" max="13" width="5.86"/>
    <col customWidth="1" hidden="1" min="14" max="14" width="9.71"/>
    <col customWidth="1" hidden="1" min="15" max="15" width="11.86"/>
    <col customWidth="1" hidden="1" min="16" max="16" width="11.0"/>
    <col customWidth="1" hidden="1" min="17" max="17" width="4.29"/>
    <col customWidth="1" hidden="1" min="18" max="19" width="5.71"/>
    <col customWidth="1" hidden="1" min="20" max="20" width="9.71"/>
    <col customWidth="1" hidden="1" min="21" max="21" width="11.86"/>
    <col customWidth="1" hidden="1" min="22" max="22" width="11.0"/>
    <col customWidth="1" hidden="1" min="23" max="24" width="5.71"/>
    <col customWidth="1" hidden="1" min="25" max="25" width="2.57"/>
    <col customWidth="1" hidden="1" min="26" max="26" width="10.14"/>
    <col customWidth="1" hidden="1" min="27" max="27" width="11.86"/>
    <col customWidth="1" hidden="1" min="28" max="28" width="11.0"/>
    <col customWidth="1" hidden="1" min="29" max="31" width="5.71"/>
    <col customWidth="1" hidden="1" min="32" max="32" width="10.14"/>
    <col customWidth="1" hidden="1" min="33" max="34" width="11.86"/>
    <col customWidth="1" hidden="1" min="35" max="37" width="5.71"/>
    <col customWidth="1" hidden="1" min="38" max="38" width="10.14"/>
    <col customWidth="1" hidden="1" min="39" max="40" width="11.86"/>
    <col customWidth="1" hidden="1" min="41" max="43" width="5.71"/>
    <col customWidth="1" hidden="1" min="44" max="44" width="9.71"/>
    <col customWidth="1" hidden="1" min="45" max="46" width="11.86"/>
    <col customWidth="1" hidden="1" min="47" max="49" width="5.71"/>
    <col customWidth="1" hidden="1" min="50" max="50" width="10.14"/>
    <col customWidth="1" hidden="1" min="51" max="52" width="11.86"/>
    <col customWidth="1" hidden="1" min="53" max="55" width="5.71"/>
    <col customWidth="1" hidden="1" min="56" max="56" width="10.14"/>
    <col customWidth="1" hidden="1" min="57" max="58" width="11.86"/>
    <col customWidth="1" hidden="1" min="59" max="61" width="5.71"/>
    <col customWidth="1" hidden="1" min="62" max="62" width="10.14"/>
    <col customWidth="1" hidden="1" min="63" max="64" width="11.86"/>
    <col customWidth="1" hidden="1" min="65" max="67" width="5.71"/>
    <col customWidth="1" hidden="1" min="68" max="68" width="10.14"/>
    <col customWidth="1" hidden="1" min="69" max="70" width="11.86"/>
    <col customWidth="1" hidden="1" min="71" max="73" width="5.71"/>
    <col customWidth="1" hidden="1" min="74" max="74" width="10.14"/>
    <col customWidth="1" hidden="1" min="75" max="76" width="11.86"/>
    <col customWidth="1" hidden="1" min="77" max="79" width="5.71"/>
    <col customWidth="1" hidden="1" min="80" max="80" width="9.71"/>
    <col customWidth="1" hidden="1" min="81" max="82" width="11.14"/>
    <col customWidth="1" hidden="1" min="83" max="85" width="5.71"/>
    <col customWidth="1" hidden="1" min="86" max="86" width="9.57"/>
    <col customWidth="1" hidden="1" min="87" max="88" width="11.57"/>
    <col customWidth="1" hidden="1" min="89" max="91" width="5.71"/>
    <col customWidth="1" hidden="1" min="92" max="92" width="10.14"/>
    <col customWidth="1" hidden="1" min="93" max="93" width="11.86"/>
    <col customWidth="1" hidden="1" min="94" max="94" width="11.0"/>
    <col customWidth="1" hidden="1" min="95" max="96" width="5.71"/>
    <col customWidth="1" hidden="1" min="97" max="97" width="2.57"/>
    <col customWidth="1" hidden="1" min="98" max="98" width="10.14"/>
    <col customWidth="1" hidden="1" min="99" max="99" width="11.86"/>
    <col customWidth="1" hidden="1" min="100" max="100" width="11.0"/>
    <col customWidth="1" hidden="1" min="101" max="103" width="5.71"/>
    <col customWidth="1" hidden="1" min="104" max="104" width="10.14"/>
    <col customWidth="1" hidden="1" min="105" max="105" width="11.86"/>
    <col customWidth="1" hidden="1" min="106" max="106" width="11.0"/>
    <col customWidth="1" hidden="1" min="107" max="109" width="5.71"/>
    <col customWidth="1" hidden="1" min="110" max="110" width="10.14"/>
    <col customWidth="1" hidden="1" min="111" max="111" width="11.86"/>
    <col customWidth="1" hidden="1" min="112" max="112" width="11.0"/>
    <col customWidth="1" hidden="1" min="113" max="116" width="5.71"/>
    <col customWidth="1" hidden="1" min="117" max="117" width="11.14"/>
    <col customWidth="1" hidden="1" min="118" max="118" width="10.43"/>
    <col customWidth="1" hidden="1" min="119" max="121" width="5.71"/>
    <col customWidth="1" hidden="1" min="122" max="122" width="10.14"/>
    <col customWidth="1" hidden="1" min="123" max="123" width="11.0"/>
    <col customWidth="1" hidden="1" min="124" max="124" width="11.86"/>
    <col customWidth="1" hidden="1" min="125" max="127" width="5.71"/>
    <col customWidth="1" hidden="1" min="128" max="128" width="9.71"/>
    <col customWidth="1" hidden="1" min="129" max="130" width="11.14"/>
    <col customWidth="1" hidden="1" min="131" max="133" width="5.71"/>
    <col customWidth="1" hidden="1" min="134" max="134" width="10.14"/>
    <col customWidth="1" hidden="1" min="135" max="135" width="12.0"/>
    <col customWidth="1" hidden="1" min="136" max="136" width="11.14"/>
    <col customWidth="1" hidden="1" min="137" max="139" width="5.71"/>
    <col customWidth="1" hidden="1" min="140" max="140" width="15.14"/>
    <col customWidth="1" hidden="1" min="141" max="142" width="18.0"/>
    <col customWidth="1" hidden="1" min="143" max="143" width="7.14"/>
    <col customWidth="1" hidden="1" min="144" max="145" width="5.71"/>
    <col customWidth="1" hidden="1" min="146" max="146" width="15.14"/>
    <col customWidth="1" hidden="1" min="147" max="148" width="17.86"/>
    <col customWidth="1" hidden="1" min="149" max="149" width="7.14"/>
    <col customWidth="1" hidden="1" min="150" max="151" width="5.71"/>
    <col customWidth="1" hidden="1" min="152" max="152" width="15.14"/>
    <col customWidth="1" hidden="1" min="153" max="154" width="18.0"/>
    <col customWidth="1" hidden="1" min="155" max="155" width="7.14"/>
    <col customWidth="1" hidden="1" min="156" max="157" width="9.57"/>
    <col customWidth="1" hidden="1" min="158" max="158" width="15.14"/>
    <col customWidth="1" hidden="1" min="159" max="159" width="18.0"/>
    <col customWidth="1" hidden="1" min="160" max="160" width="16.57"/>
    <col customWidth="1" hidden="1" min="161" max="163" width="9.57"/>
    <col customWidth="1" hidden="1" min="164" max="164" width="15.14"/>
    <col customWidth="1" hidden="1" min="165" max="165" width="18.0"/>
    <col customWidth="1" hidden="1" min="166" max="166" width="16.57"/>
    <col customWidth="1" hidden="1" min="167" max="170" width="9.57"/>
    <col customWidth="1" hidden="1" min="171" max="171" width="18.0"/>
    <col customWidth="1" hidden="1" min="172" max="172" width="16.57"/>
    <col customWidth="1" hidden="1" min="173" max="175" width="9.57"/>
    <col customWidth="1" hidden="1" min="176" max="176" width="15.14"/>
    <col customWidth="1" hidden="1" min="177" max="177" width="18.0"/>
    <col customWidth="1" hidden="1" min="178" max="178" width="16.57"/>
    <col customWidth="1" hidden="1" min="179" max="179" width="9.57"/>
    <col customWidth="1" hidden="1" min="180" max="181" width="11.0"/>
    <col customWidth="1" hidden="1" min="182" max="182" width="13.29"/>
    <col customWidth="1" hidden="1" min="183" max="183" width="18.0"/>
    <col customWidth="1" hidden="1" min="184" max="184" width="16.57"/>
    <col customWidth="1" hidden="1" min="185" max="187" width="11.0"/>
    <col customWidth="1" hidden="1" min="188" max="188" width="14.0"/>
    <col customWidth="1" hidden="1" min="189" max="190" width="14.71"/>
    <col customWidth="1" hidden="1" min="191" max="193" width="11.0"/>
    <col customWidth="1" hidden="1" min="194" max="194" width="14.0"/>
    <col customWidth="1" hidden="1" min="195" max="195" width="14.71"/>
    <col customWidth="1" hidden="1" min="196" max="196" width="15.86"/>
    <col customWidth="1" hidden="1" min="197" max="197" width="11.0"/>
    <col customWidth="1" hidden="1" min="198" max="200" width="12.57"/>
    <col customWidth="1" hidden="1" min="201" max="201" width="15.86"/>
    <col customWidth="1" hidden="1" min="202" max="202" width="14.71"/>
    <col customWidth="1" hidden="1" min="203" max="203" width="12.57"/>
    <col customWidth="1" hidden="1" min="204" max="210" width="0.14"/>
    <col customWidth="1" min="214" max="214" width="15.86"/>
    <col customWidth="1" min="219" max="219" width="14.71"/>
    <col customWidth="1" min="237" max="237" width="15.86"/>
  </cols>
  <sheetData>
    <row r="1">
      <c r="A1" s="89">
        <v>44958.0</v>
      </c>
      <c r="B1" s="57"/>
      <c r="C1" s="57"/>
      <c r="D1" s="57"/>
      <c r="E1" s="13"/>
      <c r="F1" s="90"/>
      <c r="G1" s="89">
        <v>44986.0</v>
      </c>
      <c r="H1" s="57"/>
      <c r="I1" s="57"/>
      <c r="J1" s="57"/>
      <c r="K1" s="13"/>
      <c r="L1" s="90"/>
      <c r="M1" s="89">
        <v>45017.0</v>
      </c>
      <c r="N1" s="57"/>
      <c r="O1" s="57"/>
      <c r="P1" s="57"/>
      <c r="Q1" s="13"/>
      <c r="R1" s="90"/>
      <c r="S1" s="89">
        <v>45047.0</v>
      </c>
      <c r="T1" s="57"/>
      <c r="U1" s="57"/>
      <c r="V1" s="57"/>
      <c r="W1" s="13"/>
      <c r="X1" s="90"/>
      <c r="Y1" s="91">
        <v>45078.0</v>
      </c>
      <c r="AD1" s="90"/>
      <c r="AE1" s="91">
        <v>45108.0</v>
      </c>
      <c r="AJ1" s="90"/>
      <c r="AK1" s="91">
        <v>45139.0</v>
      </c>
      <c r="AP1" s="90"/>
      <c r="AQ1" s="92">
        <v>45170.0</v>
      </c>
      <c r="AR1" s="8"/>
      <c r="AS1" s="8"/>
      <c r="AT1" s="8"/>
      <c r="AU1" s="90"/>
      <c r="AV1" s="90"/>
      <c r="AW1" s="92">
        <v>45200.0</v>
      </c>
      <c r="AX1" s="8"/>
      <c r="AY1" s="8"/>
      <c r="AZ1" s="8"/>
      <c r="BA1" s="90"/>
      <c r="BB1" s="90"/>
      <c r="BC1" s="91">
        <v>45231.0</v>
      </c>
      <c r="BH1" s="90"/>
      <c r="BI1" s="91">
        <v>45261.0</v>
      </c>
      <c r="BN1" s="90"/>
      <c r="BO1" s="91">
        <v>45292.0</v>
      </c>
      <c r="BT1" s="90"/>
      <c r="BU1" s="91">
        <v>45323.0</v>
      </c>
      <c r="BZ1" s="90"/>
      <c r="CA1" s="91">
        <v>45352.0</v>
      </c>
      <c r="CF1" s="90"/>
      <c r="CG1" s="91">
        <v>45383.0</v>
      </c>
      <c r="CL1" s="90"/>
      <c r="CM1" s="91">
        <v>45413.0</v>
      </c>
      <c r="CR1" s="90"/>
      <c r="CS1" s="91">
        <v>45444.0</v>
      </c>
      <c r="CX1" s="90"/>
      <c r="CY1" s="91">
        <v>45474.0</v>
      </c>
      <c r="DD1" s="90"/>
      <c r="DE1" s="91">
        <v>45505.0</v>
      </c>
      <c r="DJ1" s="90"/>
      <c r="DK1" s="91">
        <v>45536.0</v>
      </c>
      <c r="DP1" s="90"/>
      <c r="DQ1" s="91">
        <v>45566.0</v>
      </c>
      <c r="DV1" s="93"/>
      <c r="DW1" s="91">
        <v>45597.0</v>
      </c>
      <c r="EB1" s="90"/>
      <c r="EC1" s="91">
        <v>45627.0</v>
      </c>
      <c r="EH1" s="93"/>
      <c r="EI1" s="91">
        <v>45658.0</v>
      </c>
      <c r="EN1" s="90"/>
      <c r="EO1" s="91">
        <v>45689.0</v>
      </c>
      <c r="ET1" s="90"/>
      <c r="EU1" s="91">
        <v>45717.0</v>
      </c>
      <c r="FA1" s="91">
        <v>45748.0</v>
      </c>
      <c r="FG1" s="91">
        <v>45778.0</v>
      </c>
      <c r="FM1" s="91">
        <v>45809.0</v>
      </c>
      <c r="FS1" s="91">
        <v>45839.0</v>
      </c>
      <c r="FY1" s="91">
        <v>45870.0</v>
      </c>
      <c r="GE1" s="91">
        <v>45901.0</v>
      </c>
      <c r="GK1" s="91">
        <v>45931.0</v>
      </c>
      <c r="GQ1" s="91">
        <v>45962.0</v>
      </c>
      <c r="GW1" s="91">
        <v>45992.0</v>
      </c>
      <c r="HC1" s="91">
        <v>46023.0</v>
      </c>
      <c r="HI1" s="91">
        <v>46054.0</v>
      </c>
      <c r="HO1" s="91">
        <v>46082.0</v>
      </c>
      <c r="HU1" s="91">
        <v>46113.0</v>
      </c>
      <c r="IA1" s="91">
        <v>46143.0</v>
      </c>
    </row>
    <row r="2">
      <c r="A2" s="94" t="s">
        <v>2</v>
      </c>
      <c r="B2" s="13"/>
      <c r="C2" s="95" t="s">
        <v>3</v>
      </c>
      <c r="D2" s="96" t="s">
        <v>4</v>
      </c>
      <c r="E2" s="95" t="s">
        <v>51</v>
      </c>
      <c r="F2" s="90"/>
      <c r="G2" s="94" t="s">
        <v>2</v>
      </c>
      <c r="H2" s="13"/>
      <c r="I2" s="95" t="s">
        <v>3</v>
      </c>
      <c r="J2" s="96" t="s">
        <v>4</v>
      </c>
      <c r="K2" s="95" t="s">
        <v>51</v>
      </c>
      <c r="L2" s="90"/>
      <c r="M2" s="94" t="s">
        <v>2</v>
      </c>
      <c r="N2" s="13"/>
      <c r="O2" s="95" t="s">
        <v>3</v>
      </c>
      <c r="P2" s="96" t="s">
        <v>4</v>
      </c>
      <c r="Q2" s="95" t="s">
        <v>51</v>
      </c>
      <c r="R2" s="90"/>
      <c r="S2" s="94" t="s">
        <v>2</v>
      </c>
      <c r="T2" s="13"/>
      <c r="U2" s="95" t="s">
        <v>3</v>
      </c>
      <c r="V2" s="96" t="s">
        <v>4</v>
      </c>
      <c r="W2" s="95" t="s">
        <v>51</v>
      </c>
      <c r="X2" s="90"/>
      <c r="Y2" s="97" t="s">
        <v>2</v>
      </c>
      <c r="Z2" s="98"/>
      <c r="AA2" s="99" t="s">
        <v>3</v>
      </c>
      <c r="AB2" s="100" t="s">
        <v>4</v>
      </c>
      <c r="AC2" s="90"/>
      <c r="AD2" s="90"/>
      <c r="AE2" s="101" t="s">
        <v>2</v>
      </c>
      <c r="AF2" s="102"/>
      <c r="AG2" s="99" t="s">
        <v>3</v>
      </c>
      <c r="AH2" s="100" t="s">
        <v>4</v>
      </c>
      <c r="AI2" s="90"/>
      <c r="AJ2" s="90"/>
      <c r="AK2" s="97" t="s">
        <v>2</v>
      </c>
      <c r="AL2" s="98"/>
      <c r="AM2" s="99" t="s">
        <v>3</v>
      </c>
      <c r="AN2" s="100" t="s">
        <v>4</v>
      </c>
      <c r="AO2" s="90"/>
      <c r="AP2" s="90"/>
      <c r="AQ2" s="94" t="s">
        <v>2</v>
      </c>
      <c r="AR2" s="13"/>
      <c r="AS2" s="95" t="s">
        <v>3</v>
      </c>
      <c r="AT2" s="96" t="s">
        <v>4</v>
      </c>
      <c r="AU2" s="90"/>
      <c r="AV2" s="90"/>
      <c r="AW2" s="94" t="s">
        <v>2</v>
      </c>
      <c r="AX2" s="13"/>
      <c r="AY2" s="95" t="s">
        <v>3</v>
      </c>
      <c r="AZ2" s="96" t="s">
        <v>4</v>
      </c>
      <c r="BA2" s="90"/>
      <c r="BB2" s="90"/>
      <c r="BC2" s="94" t="s">
        <v>2</v>
      </c>
      <c r="BD2" s="13"/>
      <c r="BE2" s="95" t="s">
        <v>3</v>
      </c>
      <c r="BF2" s="96" t="s">
        <v>4</v>
      </c>
      <c r="BG2" s="90"/>
      <c r="BH2" s="90"/>
      <c r="BI2" s="94" t="s">
        <v>2</v>
      </c>
      <c r="BJ2" s="13"/>
      <c r="BK2" s="95" t="s">
        <v>3</v>
      </c>
      <c r="BL2" s="96" t="s">
        <v>4</v>
      </c>
      <c r="BM2" s="90"/>
      <c r="BN2" s="90"/>
      <c r="BO2" s="94" t="s">
        <v>2</v>
      </c>
      <c r="BP2" s="13"/>
      <c r="BQ2" s="95" t="s">
        <v>3</v>
      </c>
      <c r="BR2" s="96" t="s">
        <v>4</v>
      </c>
      <c r="BS2" s="90"/>
      <c r="BT2" s="90"/>
      <c r="BU2" s="94" t="s">
        <v>2</v>
      </c>
      <c r="BV2" s="13"/>
      <c r="BW2" s="95" t="s">
        <v>3</v>
      </c>
      <c r="BX2" s="96" t="s">
        <v>4</v>
      </c>
      <c r="BY2" s="90"/>
      <c r="BZ2" s="90"/>
      <c r="CA2" s="94" t="s">
        <v>2</v>
      </c>
      <c r="CB2" s="13"/>
      <c r="CC2" s="95" t="s">
        <v>3</v>
      </c>
      <c r="CD2" s="96" t="s">
        <v>4</v>
      </c>
      <c r="CE2" s="90"/>
      <c r="CF2" s="90"/>
      <c r="CG2" s="94" t="s">
        <v>2</v>
      </c>
      <c r="CH2" s="13"/>
      <c r="CI2" s="95" t="s">
        <v>3</v>
      </c>
      <c r="CJ2" s="96" t="s">
        <v>4</v>
      </c>
      <c r="CK2" s="90"/>
      <c r="CL2" s="90"/>
      <c r="CM2" s="94" t="s">
        <v>2</v>
      </c>
      <c r="CN2" s="13"/>
      <c r="CO2" s="95" t="s">
        <v>3</v>
      </c>
      <c r="CP2" s="96" t="s">
        <v>4</v>
      </c>
      <c r="CQ2" s="90"/>
      <c r="CR2" s="90"/>
      <c r="CS2" s="94" t="s">
        <v>2</v>
      </c>
      <c r="CT2" s="13"/>
      <c r="CU2" s="95" t="s">
        <v>3</v>
      </c>
      <c r="CV2" s="96" t="s">
        <v>4</v>
      </c>
      <c r="CW2" s="90"/>
      <c r="CX2" s="90"/>
      <c r="CY2" s="94" t="s">
        <v>2</v>
      </c>
      <c r="CZ2" s="13"/>
      <c r="DA2" s="95" t="s">
        <v>3</v>
      </c>
      <c r="DB2" s="96" t="s">
        <v>4</v>
      </c>
      <c r="DC2" s="90"/>
      <c r="DD2" s="90"/>
      <c r="DE2" s="94" t="s">
        <v>2</v>
      </c>
      <c r="DF2" s="13"/>
      <c r="DG2" s="95" t="s">
        <v>3</v>
      </c>
      <c r="DH2" s="96" t="s">
        <v>4</v>
      </c>
      <c r="DI2" s="90"/>
      <c r="DJ2" s="90"/>
      <c r="DK2" s="94" t="s">
        <v>2</v>
      </c>
      <c r="DL2" s="13"/>
      <c r="DM2" s="95" t="s">
        <v>3</v>
      </c>
      <c r="DN2" s="96" t="s">
        <v>4</v>
      </c>
      <c r="DO2" s="90"/>
      <c r="DP2" s="90"/>
      <c r="DQ2" s="94" t="s">
        <v>2</v>
      </c>
      <c r="DR2" s="13"/>
      <c r="DS2" s="95" t="s">
        <v>3</v>
      </c>
      <c r="DT2" s="96" t="s">
        <v>4</v>
      </c>
      <c r="DU2" s="90"/>
      <c r="DV2" s="90"/>
      <c r="DW2" s="94" t="s">
        <v>2</v>
      </c>
      <c r="DX2" s="13"/>
      <c r="DY2" s="95" t="s">
        <v>3</v>
      </c>
      <c r="DZ2" s="96" t="s">
        <v>4</v>
      </c>
      <c r="EA2" s="90"/>
      <c r="EB2" s="90"/>
      <c r="EC2" s="94" t="s">
        <v>2</v>
      </c>
      <c r="ED2" s="13"/>
      <c r="EE2" s="95" t="s">
        <v>3</v>
      </c>
      <c r="EF2" s="96" t="s">
        <v>4</v>
      </c>
      <c r="EG2" s="90"/>
      <c r="EH2" s="90"/>
      <c r="EI2" s="94" t="s">
        <v>2</v>
      </c>
      <c r="EJ2" s="13"/>
      <c r="EK2" s="95" t="s">
        <v>3</v>
      </c>
      <c r="EL2" s="96" t="s">
        <v>4</v>
      </c>
      <c r="EM2" s="90" t="s">
        <v>51</v>
      </c>
      <c r="EN2" s="90"/>
      <c r="EO2" s="94" t="s">
        <v>2</v>
      </c>
      <c r="EP2" s="13"/>
      <c r="EQ2" s="95" t="s">
        <v>3</v>
      </c>
      <c r="ER2" s="96" t="s">
        <v>4</v>
      </c>
      <c r="ES2" s="90" t="s">
        <v>51</v>
      </c>
      <c r="ET2" s="90"/>
      <c r="EU2" s="94" t="s">
        <v>2</v>
      </c>
      <c r="EV2" s="13"/>
      <c r="EW2" s="95" t="s">
        <v>3</v>
      </c>
      <c r="EX2" s="96" t="s">
        <v>4</v>
      </c>
      <c r="EY2" s="90" t="s">
        <v>51</v>
      </c>
      <c r="FA2" s="94" t="s">
        <v>2</v>
      </c>
      <c r="FB2" s="13"/>
      <c r="FC2" s="95" t="s">
        <v>3</v>
      </c>
      <c r="FD2" s="96" t="s">
        <v>4</v>
      </c>
      <c r="FE2" s="90" t="s">
        <v>51</v>
      </c>
      <c r="FG2" s="94" t="s">
        <v>2</v>
      </c>
      <c r="FH2" s="13"/>
      <c r="FI2" s="95" t="s">
        <v>3</v>
      </c>
      <c r="FJ2" s="96" t="s">
        <v>4</v>
      </c>
      <c r="FK2" s="90" t="s">
        <v>51</v>
      </c>
      <c r="FL2" s="90"/>
      <c r="FM2" s="94" t="s">
        <v>2</v>
      </c>
      <c r="FN2" s="13"/>
      <c r="FO2" s="95" t="s">
        <v>3</v>
      </c>
      <c r="FP2" s="96" t="s">
        <v>4</v>
      </c>
      <c r="FQ2" s="90" t="s">
        <v>51</v>
      </c>
      <c r="FS2" s="94" t="s">
        <v>2</v>
      </c>
      <c r="FT2" s="13"/>
      <c r="FU2" s="95" t="s">
        <v>3</v>
      </c>
      <c r="FV2" s="96" t="s">
        <v>4</v>
      </c>
      <c r="FW2" s="90" t="s">
        <v>51</v>
      </c>
      <c r="FY2" s="94" t="s">
        <v>2</v>
      </c>
      <c r="FZ2" s="13"/>
      <c r="GA2" s="95" t="s">
        <v>3</v>
      </c>
      <c r="GB2" s="96" t="s">
        <v>4</v>
      </c>
      <c r="GC2" s="90" t="s">
        <v>51</v>
      </c>
      <c r="GE2" s="56" t="s">
        <v>2</v>
      </c>
      <c r="GF2" s="13"/>
      <c r="GG2" s="16" t="s">
        <v>3</v>
      </c>
      <c r="GH2" s="17" t="s">
        <v>4</v>
      </c>
      <c r="GI2" s="90" t="s">
        <v>51</v>
      </c>
      <c r="GK2" s="56" t="s">
        <v>2</v>
      </c>
      <c r="GL2" s="13"/>
      <c r="GM2" s="16" t="s">
        <v>3</v>
      </c>
      <c r="GN2" s="17" t="s">
        <v>4</v>
      </c>
      <c r="GO2" s="90" t="s">
        <v>51</v>
      </c>
      <c r="GQ2" s="56" t="s">
        <v>2</v>
      </c>
      <c r="GR2" s="13"/>
      <c r="GS2" s="16" t="s">
        <v>3</v>
      </c>
      <c r="GT2" s="17" t="s">
        <v>4</v>
      </c>
      <c r="GU2" s="90" t="s">
        <v>51</v>
      </c>
      <c r="GW2" s="56" t="s">
        <v>2</v>
      </c>
      <c r="GX2" s="13"/>
      <c r="GY2" s="16" t="s">
        <v>3</v>
      </c>
      <c r="GZ2" s="17" t="s">
        <v>4</v>
      </c>
      <c r="HA2" s="90" t="s">
        <v>51</v>
      </c>
      <c r="HC2" s="56" t="s">
        <v>2</v>
      </c>
      <c r="HD2" s="13"/>
      <c r="HE2" s="16" t="s">
        <v>3</v>
      </c>
      <c r="HF2" s="17" t="s">
        <v>4</v>
      </c>
      <c r="HG2" s="90" t="s">
        <v>51</v>
      </c>
      <c r="HI2" s="56" t="s">
        <v>2</v>
      </c>
      <c r="HJ2" s="13"/>
      <c r="HK2" s="16" t="s">
        <v>3</v>
      </c>
      <c r="HL2" s="17" t="s">
        <v>4</v>
      </c>
      <c r="HM2" s="90" t="s">
        <v>51</v>
      </c>
      <c r="HO2" s="56" t="s">
        <v>2</v>
      </c>
      <c r="HP2" s="13"/>
      <c r="HQ2" s="16" t="s">
        <v>3</v>
      </c>
      <c r="HR2" s="17" t="s">
        <v>4</v>
      </c>
      <c r="HS2" s="90" t="s">
        <v>51</v>
      </c>
      <c r="HU2" s="56" t="s">
        <v>2</v>
      </c>
      <c r="HV2" s="13"/>
      <c r="HW2" s="16" t="s">
        <v>3</v>
      </c>
      <c r="HX2" s="17" t="s">
        <v>4</v>
      </c>
      <c r="HY2" s="90" t="s">
        <v>51</v>
      </c>
      <c r="HZ2" s="90"/>
      <c r="IA2" s="56" t="s">
        <v>2</v>
      </c>
      <c r="IB2" s="13"/>
      <c r="IC2" s="16" t="s">
        <v>3</v>
      </c>
      <c r="ID2" s="17" t="s">
        <v>4</v>
      </c>
      <c r="IE2" s="90" t="s">
        <v>51</v>
      </c>
    </row>
    <row r="3">
      <c r="A3" s="95">
        <v>1.0</v>
      </c>
      <c r="B3" s="95" t="s">
        <v>11</v>
      </c>
      <c r="C3" s="103">
        <v>3500.0</v>
      </c>
      <c r="D3" s="68">
        <v>3910.81</v>
      </c>
      <c r="E3" s="104">
        <f t="shared" ref="E3:E31" si="1">D3/C3</f>
        <v>1.117374286</v>
      </c>
      <c r="F3" s="90"/>
      <c r="G3" s="95">
        <v>1.0</v>
      </c>
      <c r="H3" s="95" t="s">
        <v>11</v>
      </c>
      <c r="I3" s="105">
        <v>3528.2075</v>
      </c>
      <c r="J3" s="96">
        <v>2935.0</v>
      </c>
      <c r="K3" s="106">
        <f t="shared" ref="K3:K34" si="2">J3/I3</f>
        <v>0.8318671733</v>
      </c>
      <c r="L3" s="90"/>
      <c r="M3" s="95">
        <v>1.0</v>
      </c>
      <c r="N3" s="95" t="s">
        <v>18</v>
      </c>
      <c r="O3" s="96">
        <v>4968.2295</v>
      </c>
      <c r="P3" s="96">
        <v>4355.0</v>
      </c>
      <c r="Q3" s="106">
        <f t="shared" ref="Q3:Q33" si="3">P3/O3</f>
        <v>0.8765698122</v>
      </c>
      <c r="R3" s="90"/>
      <c r="S3" s="95">
        <v>1.0</v>
      </c>
      <c r="T3" s="95" t="s">
        <v>7</v>
      </c>
      <c r="U3" s="68">
        <v>2494.38333333333</v>
      </c>
      <c r="V3" s="68">
        <v>3650.0</v>
      </c>
      <c r="W3" s="106">
        <f t="shared" ref="W3:W34" si="4">V3/U3</f>
        <v>1.463287519</v>
      </c>
      <c r="X3" s="90"/>
      <c r="Y3" s="107">
        <v>1.0</v>
      </c>
      <c r="Z3" s="95" t="s">
        <v>13</v>
      </c>
      <c r="AA3" s="108">
        <v>2559.51111111111</v>
      </c>
      <c r="AB3" s="68">
        <v>2119.0</v>
      </c>
      <c r="AC3" s="106">
        <f t="shared" ref="AC3:AC33" si="5">AB3/AA3</f>
        <v>0.8278924795</v>
      </c>
      <c r="AD3" s="90"/>
      <c r="AE3" s="109">
        <v>1.0</v>
      </c>
      <c r="AF3" s="110" t="s">
        <v>18</v>
      </c>
      <c r="AG3" s="111">
        <v>4238.41114090909</v>
      </c>
      <c r="AH3" s="76">
        <v>3232.5</v>
      </c>
      <c r="AI3" s="106">
        <f t="shared" ref="AI3:AI34" si="6">AH3/AG3</f>
        <v>0.7626678707</v>
      </c>
      <c r="AJ3" s="90"/>
      <c r="AK3" s="109">
        <v>1.0</v>
      </c>
      <c r="AL3" s="95" t="s">
        <v>9</v>
      </c>
      <c r="AM3" s="68">
        <v>3417.11331818182</v>
      </c>
      <c r="AN3" s="68">
        <v>4263.0</v>
      </c>
      <c r="AO3" s="106">
        <f t="shared" ref="AO3:AO34" si="7">AN3/AM3</f>
        <v>1.247544229</v>
      </c>
      <c r="AP3" s="90"/>
      <c r="AQ3" s="95">
        <v>1.0</v>
      </c>
      <c r="AR3" s="95" t="s">
        <v>17</v>
      </c>
      <c r="AS3" s="68">
        <v>3514.63915384615</v>
      </c>
      <c r="AT3" s="68">
        <v>2905.5</v>
      </c>
      <c r="AU3" s="106">
        <f t="shared" ref="AU3:AU33" si="8">AT3/AS3</f>
        <v>0.8266851511</v>
      </c>
      <c r="AV3" s="90"/>
      <c r="AW3" s="95">
        <v>1.0</v>
      </c>
      <c r="AX3" s="95" t="s">
        <v>20</v>
      </c>
      <c r="AY3" s="68">
        <v>4746.31186153846</v>
      </c>
      <c r="AZ3" s="68">
        <v>7505.0</v>
      </c>
      <c r="BA3" s="106">
        <f t="shared" ref="BA3:BA34" si="9">AZ3/AY3</f>
        <v>1.581227745</v>
      </c>
      <c r="BB3" s="90"/>
      <c r="BC3" s="95">
        <v>1.0</v>
      </c>
      <c r="BD3" s="95" t="s">
        <v>11</v>
      </c>
      <c r="BE3" s="68">
        <v>3500.343</v>
      </c>
      <c r="BF3" s="68">
        <v>3877.5</v>
      </c>
      <c r="BG3" s="106">
        <f t="shared" ref="BG3:BG32" si="10">BF3/BE3</f>
        <v>1.107748583</v>
      </c>
      <c r="BH3" s="90"/>
      <c r="BI3" s="95">
        <v>1.0</v>
      </c>
      <c r="BJ3" s="95" t="s">
        <v>17</v>
      </c>
      <c r="BK3" s="68">
        <v>4128.831</v>
      </c>
      <c r="BL3" s="68">
        <v>4192.5</v>
      </c>
      <c r="BM3" s="106">
        <f t="shared" ref="BM3:BM25" si="11">BL3/BK3</f>
        <v>1.015420588</v>
      </c>
      <c r="BN3" s="90"/>
      <c r="BO3" s="95">
        <v>1.0</v>
      </c>
      <c r="BP3" s="95" t="s">
        <v>7</v>
      </c>
      <c r="BQ3" s="68">
        <v>3068.69284615385</v>
      </c>
      <c r="BR3" s="68">
        <v>4329.0</v>
      </c>
      <c r="BS3" s="106">
        <f t="shared" ref="BS3:BS34" si="12">BR3/BQ3</f>
        <v>1.410698371</v>
      </c>
      <c r="BT3" s="90"/>
      <c r="BU3" s="95">
        <v>1.0</v>
      </c>
      <c r="BV3" s="95" t="s">
        <v>13</v>
      </c>
      <c r="BW3" s="68">
        <v>3978.47259519231</v>
      </c>
      <c r="BX3" s="68">
        <v>4371.62</v>
      </c>
      <c r="BY3" s="106">
        <f t="shared" ref="BY3:BY32" si="13">BX3/BW3</f>
        <v>1.098818679</v>
      </c>
      <c r="BZ3" s="90"/>
      <c r="CA3" s="95">
        <v>1.0</v>
      </c>
      <c r="CB3" s="95" t="s">
        <v>17</v>
      </c>
      <c r="CC3" s="68">
        <v>4398.80697115385</v>
      </c>
      <c r="CD3" s="68">
        <v>5660.52</v>
      </c>
      <c r="CE3" s="106">
        <f t="shared" ref="CE3:CE34" si="14">CD3/CC3</f>
        <v>1.286830733</v>
      </c>
      <c r="CF3" s="90"/>
      <c r="CG3" s="95">
        <v>1.0</v>
      </c>
      <c r="CH3" s="95" t="s">
        <v>7</v>
      </c>
      <c r="CI3" s="96">
        <v>3421.84686778846</v>
      </c>
      <c r="CJ3" s="68">
        <v>2397.07</v>
      </c>
      <c r="CK3" s="106">
        <f t="shared" ref="CK3:CK33" si="15">CJ3/CI3</f>
        <v>0.7005193665</v>
      </c>
      <c r="CL3" s="90"/>
      <c r="CM3" s="95">
        <v>1.0</v>
      </c>
      <c r="CN3" s="95" t="s">
        <v>11</v>
      </c>
      <c r="CO3" s="96">
        <v>4042.78086666667</v>
      </c>
      <c r="CP3" s="70">
        <v>3035.03</v>
      </c>
      <c r="CQ3" s="106">
        <f t="shared" ref="CQ3:CQ34" si="16">CP3/CO3</f>
        <v>0.7507282982</v>
      </c>
      <c r="CR3" s="90"/>
      <c r="CS3" s="95">
        <v>1.0</v>
      </c>
      <c r="CT3" s="95" t="s">
        <v>18</v>
      </c>
      <c r="CU3" s="96">
        <v>5622.48052631579</v>
      </c>
      <c r="CV3" s="68">
        <v>2436.04</v>
      </c>
      <c r="CW3" s="106">
        <f t="shared" ref="CW3:CW33" si="17">CV3/CU3</f>
        <v>0.4332678412</v>
      </c>
      <c r="CX3" s="90"/>
      <c r="CY3" s="95">
        <v>1.0</v>
      </c>
      <c r="CZ3" s="95" t="s">
        <v>7</v>
      </c>
      <c r="DA3" s="96">
        <v>2939.27120833333</v>
      </c>
      <c r="DB3" s="68">
        <v>2267.5</v>
      </c>
      <c r="DC3" s="106">
        <f t="shared" ref="DC3:DC34" si="18">DB3/DA3</f>
        <v>0.7714497368</v>
      </c>
      <c r="DD3" s="90"/>
      <c r="DE3" s="95">
        <v>1.0</v>
      </c>
      <c r="DF3" s="95" t="s">
        <v>13</v>
      </c>
      <c r="DG3" s="96">
        <v>3410.6576875</v>
      </c>
      <c r="DH3" s="68">
        <v>2321.08</v>
      </c>
      <c r="DI3" s="106">
        <f t="shared" ref="DI3:DI20" si="19">DH3/DG3</f>
        <v>0.6805373663</v>
      </c>
      <c r="DJ3" s="90"/>
      <c r="DK3" s="95">
        <v>1.0</v>
      </c>
      <c r="DL3" s="95" t="s">
        <v>20</v>
      </c>
      <c r="DM3" s="96">
        <v>3817.06353333333</v>
      </c>
      <c r="DN3" s="68">
        <v>2102.0</v>
      </c>
      <c r="DO3" s="106">
        <f t="shared" ref="DO3:DO33" si="20">DN3/DM3</f>
        <v>0.5506850964</v>
      </c>
      <c r="DP3" s="90"/>
      <c r="DQ3" s="95">
        <v>1.0</v>
      </c>
      <c r="DR3" s="95" t="s">
        <v>9</v>
      </c>
      <c r="DS3" s="96">
        <v>3195.7760625</v>
      </c>
      <c r="DT3" s="68">
        <v>2892.04</v>
      </c>
      <c r="DU3" s="106">
        <f t="shared" ref="DU3:DU34" si="21">DT3/DS3</f>
        <v>0.9049570256</v>
      </c>
      <c r="DV3" s="90"/>
      <c r="DW3" s="95">
        <v>1.0</v>
      </c>
      <c r="DX3" s="95" t="s">
        <v>17</v>
      </c>
      <c r="DY3" s="112">
        <v>3392.4293424</v>
      </c>
      <c r="DZ3" s="68">
        <v>2717.01</v>
      </c>
      <c r="EA3" s="106">
        <f t="shared" ref="EA3:EA33" si="22">DZ3/DY3</f>
        <v>0.8009039322</v>
      </c>
      <c r="EB3" s="90"/>
      <c r="EC3" s="95">
        <v>1.0</v>
      </c>
      <c r="ED3" s="95" t="s">
        <v>20</v>
      </c>
      <c r="EE3" s="112">
        <v>4361.21492307692</v>
      </c>
      <c r="EF3" s="68">
        <v>3470.75</v>
      </c>
      <c r="EG3" s="106">
        <f t="shared" ref="EG3:EG25" si="23">EF3/EE3</f>
        <v>0.7958218206</v>
      </c>
      <c r="EH3" s="113"/>
      <c r="EI3" s="95">
        <v>1.0</v>
      </c>
      <c r="EJ3" s="95" t="s">
        <v>11</v>
      </c>
      <c r="EK3" s="112"/>
      <c r="EL3" s="68"/>
      <c r="EM3" s="90"/>
      <c r="EN3" s="90"/>
      <c r="EO3" s="95">
        <v>1.0</v>
      </c>
      <c r="EP3" s="95" t="s">
        <v>18</v>
      </c>
      <c r="EQ3" s="112">
        <v>4710.96407692308</v>
      </c>
      <c r="ER3" s="68">
        <v>5627.25</v>
      </c>
      <c r="ES3" s="106">
        <f t="shared" ref="ES3:ES31" si="24">ER3/EQ3</f>
        <v>1.194500724</v>
      </c>
      <c r="ET3" s="90"/>
      <c r="EU3" s="95">
        <v>1.0</v>
      </c>
      <c r="EV3" s="95" t="s">
        <v>18</v>
      </c>
      <c r="EW3" s="112">
        <v>5238.86836</v>
      </c>
      <c r="EX3" s="68">
        <v>4655.0</v>
      </c>
      <c r="EY3" s="106">
        <f t="shared" ref="EY3:EY34" si="25">EX3/EW3</f>
        <v>0.8885506717</v>
      </c>
      <c r="FA3" s="95">
        <v>1.0</v>
      </c>
      <c r="FB3" s="95" t="s">
        <v>9</v>
      </c>
      <c r="FC3" s="112">
        <v>3878.677</v>
      </c>
      <c r="FD3" s="68">
        <v>2152.27</v>
      </c>
      <c r="FE3" s="106">
        <f t="shared" ref="FE3:FE33" si="26">FD3/FC3</f>
        <v>0.5548979717</v>
      </c>
      <c r="FG3" s="95">
        <v>1.0</v>
      </c>
      <c r="FH3" s="95" t="s">
        <v>13</v>
      </c>
      <c r="FI3" s="112">
        <v>3926.07684615385</v>
      </c>
      <c r="FJ3" s="68">
        <v>4156.01</v>
      </c>
      <c r="FK3" s="106">
        <f t="shared" ref="FK3:FK34" si="27">FJ3/FI3</f>
        <v>1.058565627</v>
      </c>
      <c r="FL3" s="113"/>
      <c r="FM3" s="95">
        <v>1.0</v>
      </c>
      <c r="FN3" s="95" t="s">
        <v>20</v>
      </c>
      <c r="FO3" s="112">
        <v>4213.64815384615</v>
      </c>
      <c r="FP3" s="68">
        <v>4180.83</v>
      </c>
      <c r="FQ3" s="106">
        <f t="shared" ref="FQ3:FQ33" si="28">FP3/FO3</f>
        <v>0.9922114632</v>
      </c>
      <c r="FS3" s="95">
        <v>1.0</v>
      </c>
      <c r="FT3" s="95" t="s">
        <v>9</v>
      </c>
      <c r="FU3" s="112">
        <v>2925.96392</v>
      </c>
      <c r="FV3" s="68">
        <v>1645.71</v>
      </c>
      <c r="FW3" s="106">
        <f t="shared" ref="FW3:FW34" si="29">FV3/FU3</f>
        <v>0.5624505445</v>
      </c>
      <c r="FY3" s="95">
        <v>1.0</v>
      </c>
      <c r="FZ3" s="95" t="s">
        <v>17</v>
      </c>
      <c r="GA3" s="112">
        <v>3374.18556</v>
      </c>
      <c r="GB3" s="68">
        <v>1669.0</v>
      </c>
      <c r="GC3" s="106">
        <f t="shared" ref="GC3:GC34" si="30">GB3/GA3</f>
        <v>0.4946378823</v>
      </c>
      <c r="GE3" s="16">
        <v>1.0</v>
      </c>
      <c r="GF3" s="16" t="s">
        <v>7</v>
      </c>
      <c r="GG3" s="5">
        <v>2544.11846153846</v>
      </c>
      <c r="GH3" s="20">
        <v>3205.01</v>
      </c>
      <c r="GI3" s="106">
        <f t="shared" ref="GI3:GI33" si="31">GH3/GG3</f>
        <v>1.259772313</v>
      </c>
      <c r="GK3" s="16">
        <v>1.0</v>
      </c>
      <c r="GL3" s="16" t="s">
        <v>11</v>
      </c>
      <c r="GM3" s="17">
        <v>3098.37467307692</v>
      </c>
      <c r="GN3" s="20">
        <v>1866.01</v>
      </c>
      <c r="GO3" s="106">
        <f t="shared" ref="GO3:GO34" si="32">GN3/GM3</f>
        <v>0.6022544711</v>
      </c>
      <c r="GQ3" s="16">
        <v>1.0</v>
      </c>
      <c r="GR3" s="16" t="s">
        <v>18</v>
      </c>
      <c r="GS3" s="17">
        <v>4984.5622574074</v>
      </c>
      <c r="GT3" s="20">
        <v>4149.5</v>
      </c>
      <c r="GU3" s="106">
        <f t="shared" ref="GU3:GU33" si="33">GT3/GS3</f>
        <v>0.8324702924</v>
      </c>
      <c r="GW3" s="16">
        <v>1.0</v>
      </c>
      <c r="GX3" s="16" t="s">
        <v>7</v>
      </c>
      <c r="GY3" s="17">
        <v>2356.85408333333</v>
      </c>
      <c r="GZ3" s="20">
        <v>3679.0</v>
      </c>
      <c r="HA3" s="106">
        <f t="shared" ref="HA3:HA25" si="34">GZ3/GY3</f>
        <v>1.560979114</v>
      </c>
      <c r="HC3" s="16">
        <v>1.0</v>
      </c>
      <c r="HD3" s="16" t="s">
        <v>13</v>
      </c>
      <c r="HE3" s="17">
        <v>3129.20941666667</v>
      </c>
      <c r="HF3" s="18">
        <v>2674.0</v>
      </c>
      <c r="HG3" s="106">
        <f t="shared" ref="HG3:HG34" si="35">HF3/HE3</f>
        <v>0.8545289381</v>
      </c>
      <c r="HI3" s="16">
        <v>1.0</v>
      </c>
      <c r="HJ3" s="16" t="s">
        <v>20</v>
      </c>
      <c r="HK3" s="17">
        <v>4579.572019230769</v>
      </c>
      <c r="HL3" s="18">
        <v>6048.5</v>
      </c>
      <c r="HM3" s="106">
        <f t="shared" ref="HM3:HM31" si="36">HL3/HK3</f>
        <v>1.320756607</v>
      </c>
      <c r="HO3" s="16">
        <v>1.0</v>
      </c>
      <c r="HP3" s="16" t="s">
        <v>20</v>
      </c>
      <c r="HQ3" s="17">
        <v>4694.977760000001</v>
      </c>
      <c r="HR3" s="18">
        <v>3500.5</v>
      </c>
      <c r="HS3" s="106">
        <f t="shared" ref="HS3:HS34" si="37">HR3/HQ3</f>
        <v>0.7455839365</v>
      </c>
      <c r="HU3" s="16">
        <v>1.0</v>
      </c>
      <c r="HV3" s="16" t="s">
        <v>11</v>
      </c>
      <c r="HW3" s="17">
        <v>2951.8025000000002</v>
      </c>
      <c r="HX3" s="18">
        <v>1454.0</v>
      </c>
      <c r="HY3" s="106">
        <f t="shared" ref="HY3:HY33" si="38">HX3/HW3</f>
        <v>0.492580381</v>
      </c>
      <c r="HZ3" s="113"/>
      <c r="IA3" s="16">
        <v>1.0</v>
      </c>
      <c r="IB3" s="16" t="s">
        <v>17</v>
      </c>
      <c r="IC3" s="17">
        <v>2874.878330434783</v>
      </c>
      <c r="ID3" s="18">
        <v>6527.5</v>
      </c>
      <c r="IE3" s="106">
        <f t="shared" ref="IE3:IE34" si="39">ID3/IC3</f>
        <v>2.270530871</v>
      </c>
    </row>
    <row r="4">
      <c r="A4" s="95">
        <v>2.0</v>
      </c>
      <c r="B4" s="95" t="s">
        <v>13</v>
      </c>
      <c r="C4" s="103">
        <v>2800.0</v>
      </c>
      <c r="D4" s="68">
        <v>2479.32</v>
      </c>
      <c r="E4" s="104">
        <f t="shared" si="1"/>
        <v>0.8854714286</v>
      </c>
      <c r="F4" s="90"/>
      <c r="G4" s="95">
        <v>2.0</v>
      </c>
      <c r="H4" s="95" t="s">
        <v>13</v>
      </c>
      <c r="I4" s="105">
        <v>2599.55</v>
      </c>
      <c r="J4" s="96">
        <v>2988.0</v>
      </c>
      <c r="K4" s="106">
        <f t="shared" si="2"/>
        <v>1.149429709</v>
      </c>
      <c r="L4" s="90"/>
      <c r="M4" s="95">
        <v>2.0</v>
      </c>
      <c r="N4" s="95" t="s">
        <v>20</v>
      </c>
      <c r="O4" s="96">
        <v>4495.4793</v>
      </c>
      <c r="P4" s="96">
        <v>4468.5</v>
      </c>
      <c r="Q4" s="106">
        <f t="shared" si="3"/>
        <v>0.993998571</v>
      </c>
      <c r="R4" s="90"/>
      <c r="S4" s="95">
        <v>2.0</v>
      </c>
      <c r="T4" s="95" t="s">
        <v>9</v>
      </c>
      <c r="U4" s="68">
        <v>3175.47</v>
      </c>
      <c r="V4" s="68">
        <v>2156.0</v>
      </c>
      <c r="W4" s="106">
        <f t="shared" si="4"/>
        <v>0.6789546114</v>
      </c>
      <c r="X4" s="90"/>
      <c r="Y4" s="114">
        <v>2.0</v>
      </c>
      <c r="Z4" s="95" t="s">
        <v>17</v>
      </c>
      <c r="AA4" s="108">
        <v>3615.61944444444</v>
      </c>
      <c r="AB4" s="68">
        <v>2262.0</v>
      </c>
      <c r="AC4" s="106">
        <f t="shared" si="5"/>
        <v>0.6256189388</v>
      </c>
      <c r="AD4" s="90"/>
      <c r="AE4" s="114">
        <v>2.0</v>
      </c>
      <c r="AF4" s="110" t="s">
        <v>20</v>
      </c>
      <c r="AG4" s="108">
        <v>3814.78206190476</v>
      </c>
      <c r="AH4" s="68">
        <v>3942.5</v>
      </c>
      <c r="AI4" s="106">
        <f t="shared" si="6"/>
        <v>1.033479747</v>
      </c>
      <c r="AJ4" s="90"/>
      <c r="AK4" s="114">
        <v>2.0</v>
      </c>
      <c r="AL4" s="95" t="s">
        <v>11</v>
      </c>
      <c r="AM4" s="68">
        <v>3259.27532608696</v>
      </c>
      <c r="AN4" s="68">
        <v>3839.5</v>
      </c>
      <c r="AO4" s="106">
        <f t="shared" si="7"/>
        <v>1.178022602</v>
      </c>
      <c r="AP4" s="90"/>
      <c r="AQ4" s="95">
        <v>2.0</v>
      </c>
      <c r="AR4" s="95" t="s">
        <v>18</v>
      </c>
      <c r="AS4" s="68">
        <v>4983.30807692308</v>
      </c>
      <c r="AT4" s="68">
        <v>5756.0</v>
      </c>
      <c r="AU4" s="106">
        <f t="shared" si="8"/>
        <v>1.155056021</v>
      </c>
      <c r="AV4" s="90"/>
      <c r="AW4" s="95">
        <v>2.0</v>
      </c>
      <c r="AX4" s="95" t="s">
        <v>7</v>
      </c>
      <c r="AY4" s="68">
        <v>2984.17084615385</v>
      </c>
      <c r="AZ4" s="68">
        <v>4109.51</v>
      </c>
      <c r="BA4" s="106">
        <f t="shared" si="9"/>
        <v>1.377102791</v>
      </c>
      <c r="BB4" s="90"/>
      <c r="BC4" s="95">
        <v>2.0</v>
      </c>
      <c r="BD4" s="95" t="s">
        <v>13</v>
      </c>
      <c r="BE4" s="68">
        <v>3575.83073076923</v>
      </c>
      <c r="BF4" s="68">
        <v>6601.53</v>
      </c>
      <c r="BG4" s="106">
        <f t="shared" si="10"/>
        <v>1.846152824</v>
      </c>
      <c r="BH4" s="90"/>
      <c r="BI4" s="95">
        <v>2.0</v>
      </c>
      <c r="BJ4" s="95" t="s">
        <v>18</v>
      </c>
      <c r="BK4" s="68">
        <v>5319.04179545455</v>
      </c>
      <c r="BL4" s="68">
        <v>5839.52</v>
      </c>
      <c r="BM4" s="106">
        <f t="shared" si="11"/>
        <v>1.097851873</v>
      </c>
      <c r="BN4" s="90"/>
      <c r="BO4" s="95">
        <v>2.0</v>
      </c>
      <c r="BP4" s="95" t="s">
        <v>9</v>
      </c>
      <c r="BQ4" s="68">
        <v>3384.92498076923</v>
      </c>
      <c r="BR4" s="68">
        <v>3538.5</v>
      </c>
      <c r="BS4" s="106">
        <f t="shared" si="12"/>
        <v>1.045370287</v>
      </c>
      <c r="BT4" s="90"/>
      <c r="BU4" s="95">
        <v>2.0</v>
      </c>
      <c r="BV4" s="95" t="s">
        <v>17</v>
      </c>
      <c r="BW4" s="68">
        <v>4231.46411826923</v>
      </c>
      <c r="BX4" s="68">
        <v>4086.52</v>
      </c>
      <c r="BY4" s="106">
        <f t="shared" si="13"/>
        <v>0.9657461072</v>
      </c>
      <c r="BZ4" s="90"/>
      <c r="CA4" s="95">
        <v>2.0</v>
      </c>
      <c r="CB4" s="95" t="s">
        <v>18</v>
      </c>
      <c r="CC4" s="68">
        <v>5912.07702884615</v>
      </c>
      <c r="CD4" s="68">
        <v>7785.52</v>
      </c>
      <c r="CE4" s="106">
        <f t="shared" si="14"/>
        <v>1.31688406</v>
      </c>
      <c r="CF4" s="90"/>
      <c r="CG4" s="95">
        <v>2.0</v>
      </c>
      <c r="CH4" s="95" t="s">
        <v>9</v>
      </c>
      <c r="CI4" s="96">
        <v>3787.98645144231</v>
      </c>
      <c r="CJ4" s="68">
        <v>3490.12</v>
      </c>
      <c r="CK4" s="106">
        <f t="shared" si="15"/>
        <v>0.9213654919</v>
      </c>
      <c r="CL4" s="90"/>
      <c r="CM4" s="95">
        <v>2.0</v>
      </c>
      <c r="CN4" s="95" t="s">
        <v>13</v>
      </c>
      <c r="CO4" s="96">
        <v>4144.624</v>
      </c>
      <c r="CP4" s="70">
        <v>2139.02</v>
      </c>
      <c r="CQ4" s="106">
        <f t="shared" si="16"/>
        <v>0.5160950668</v>
      </c>
      <c r="CR4" s="90"/>
      <c r="CS4" s="95">
        <v>2.0</v>
      </c>
      <c r="CT4" s="95" t="s">
        <v>20</v>
      </c>
      <c r="CU4" s="96">
        <v>5211.90105263158</v>
      </c>
      <c r="CV4" s="68">
        <v>1830.0</v>
      </c>
      <c r="CW4" s="106">
        <f t="shared" si="17"/>
        <v>0.3511194824</v>
      </c>
      <c r="CX4" s="90"/>
      <c r="CY4" s="95">
        <v>2.0</v>
      </c>
      <c r="CZ4" s="95" t="s">
        <v>9</v>
      </c>
      <c r="DA4" s="96">
        <v>3688.52485416667</v>
      </c>
      <c r="DB4" s="68">
        <v>3462.5</v>
      </c>
      <c r="DC4" s="106">
        <f t="shared" si="18"/>
        <v>0.938722155</v>
      </c>
      <c r="DD4" s="90"/>
      <c r="DE4" s="95">
        <v>2.0</v>
      </c>
      <c r="DF4" s="95" t="s">
        <v>17</v>
      </c>
      <c r="DG4" s="96">
        <v>3693.521125</v>
      </c>
      <c r="DH4" s="68">
        <v>2473.12</v>
      </c>
      <c r="DI4" s="106">
        <f t="shared" si="19"/>
        <v>0.6695832828</v>
      </c>
      <c r="DJ4" s="90"/>
      <c r="DK4" s="95">
        <v>2.0</v>
      </c>
      <c r="DL4" s="95" t="s">
        <v>7</v>
      </c>
      <c r="DM4" s="96">
        <v>2758.34121739131</v>
      </c>
      <c r="DN4" s="68">
        <v>2738.03</v>
      </c>
      <c r="DO4" s="106">
        <f t="shared" si="20"/>
        <v>0.9926364377</v>
      </c>
      <c r="DP4" s="90"/>
      <c r="DQ4" s="95">
        <v>2.0</v>
      </c>
      <c r="DR4" s="95" t="s">
        <v>11</v>
      </c>
      <c r="DS4" s="96">
        <v>3018.05525</v>
      </c>
      <c r="DT4" s="68">
        <v>3157.5</v>
      </c>
      <c r="DU4" s="106">
        <f t="shared" si="21"/>
        <v>1.046203511</v>
      </c>
      <c r="DV4" s="90"/>
      <c r="DW4" s="95">
        <v>2.0</v>
      </c>
      <c r="DX4" s="95" t="s">
        <v>18</v>
      </c>
      <c r="DY4" s="96">
        <v>4387.4299728</v>
      </c>
      <c r="DZ4" s="68">
        <v>3755.01</v>
      </c>
      <c r="EA4" s="106">
        <f t="shared" si="22"/>
        <v>0.855856395</v>
      </c>
      <c r="EB4" s="90"/>
      <c r="EC4" s="95">
        <v>2.0</v>
      </c>
      <c r="ED4" s="95" t="s">
        <v>7</v>
      </c>
      <c r="EE4" s="96">
        <v>3478.47696</v>
      </c>
      <c r="EF4" s="68">
        <v>3672.88</v>
      </c>
      <c r="EG4" s="106">
        <f t="shared" si="23"/>
        <v>1.055887402</v>
      </c>
      <c r="EH4" s="113"/>
      <c r="EI4" s="95">
        <v>2.0</v>
      </c>
      <c r="EJ4" s="95" t="s">
        <v>13</v>
      </c>
      <c r="EK4" s="96">
        <v>3270.15311538462</v>
      </c>
      <c r="EL4" s="68">
        <v>2801.25</v>
      </c>
      <c r="EM4" s="106">
        <f t="shared" ref="EM4:EM34" si="40">EL4/EK4</f>
        <v>0.8566112659</v>
      </c>
      <c r="EN4" s="90"/>
      <c r="EO4" s="95">
        <v>2.0</v>
      </c>
      <c r="EP4" s="95" t="s">
        <v>20</v>
      </c>
      <c r="EQ4" s="96">
        <v>4203.32253846154</v>
      </c>
      <c r="ER4" s="68">
        <v>4641.26</v>
      </c>
      <c r="ES4" s="106">
        <f t="shared" si="24"/>
        <v>1.104188403</v>
      </c>
      <c r="ET4" s="90"/>
      <c r="EU4" s="95">
        <v>2.0</v>
      </c>
      <c r="EV4" s="95" t="s">
        <v>20</v>
      </c>
      <c r="EW4" s="96">
        <v>4690.301</v>
      </c>
      <c r="EX4" s="68">
        <v>3510.53</v>
      </c>
      <c r="EY4" s="106">
        <f t="shared" si="25"/>
        <v>0.7484658234</v>
      </c>
      <c r="FA4" s="95">
        <v>2.0</v>
      </c>
      <c r="FB4" s="95" t="s">
        <v>11</v>
      </c>
      <c r="FC4" s="96">
        <v>3929.07108</v>
      </c>
      <c r="FD4" s="68">
        <v>2586.75</v>
      </c>
      <c r="FE4" s="106">
        <f t="shared" si="26"/>
        <v>0.6583617215</v>
      </c>
      <c r="FG4" s="95">
        <v>2.0</v>
      </c>
      <c r="FH4" s="95" t="s">
        <v>17</v>
      </c>
      <c r="FI4" s="96">
        <v>4211.02930769231</v>
      </c>
      <c r="FJ4" s="68">
        <v>3059.75</v>
      </c>
      <c r="FK4" s="106">
        <f t="shared" si="27"/>
        <v>0.7266038245</v>
      </c>
      <c r="FL4" s="113"/>
      <c r="FM4" s="95">
        <v>2.0</v>
      </c>
      <c r="FN4" s="95" t="s">
        <v>7</v>
      </c>
      <c r="FO4" s="96">
        <v>3046.40219230769</v>
      </c>
      <c r="FP4" s="68">
        <v>1793.0</v>
      </c>
      <c r="FQ4" s="106">
        <f t="shared" si="28"/>
        <v>0.5885631269</v>
      </c>
      <c r="FS4" s="95">
        <v>2.0</v>
      </c>
      <c r="FT4" s="95" t="s">
        <v>11</v>
      </c>
      <c r="FU4" s="96">
        <v>3453.12792</v>
      </c>
      <c r="FV4" s="68">
        <v>2767.5</v>
      </c>
      <c r="FW4" s="106">
        <f t="shared" si="29"/>
        <v>0.8014472861</v>
      </c>
      <c r="FY4" s="95">
        <v>2.0</v>
      </c>
      <c r="FZ4" s="95" t="s">
        <v>18</v>
      </c>
      <c r="GA4" s="96">
        <v>4768.50242307692</v>
      </c>
      <c r="GB4" s="68">
        <v>3284.15</v>
      </c>
      <c r="GC4" s="106">
        <f t="shared" si="30"/>
        <v>0.6887172761</v>
      </c>
      <c r="GE4" s="16">
        <v>2.0</v>
      </c>
      <c r="GF4" s="16" t="s">
        <v>9</v>
      </c>
      <c r="GG4" s="17">
        <v>2506.32326923077</v>
      </c>
      <c r="GH4" s="20">
        <v>2619.0</v>
      </c>
      <c r="GI4" s="106">
        <f t="shared" si="31"/>
        <v>1.044956982</v>
      </c>
      <c r="GK4" s="16">
        <v>2.0</v>
      </c>
      <c r="GL4" s="16" t="s">
        <v>13</v>
      </c>
      <c r="GM4" s="17">
        <v>3151.42417307692</v>
      </c>
      <c r="GN4" s="20">
        <v>3476.5</v>
      </c>
      <c r="GO4" s="106">
        <f t="shared" si="32"/>
        <v>1.103152038</v>
      </c>
      <c r="GQ4" s="16">
        <v>2.0</v>
      </c>
      <c r="GR4" s="16" t="s">
        <v>20</v>
      </c>
      <c r="GS4" s="17">
        <v>4423.43334444445</v>
      </c>
      <c r="GT4" s="20">
        <v>3339.9</v>
      </c>
      <c r="GU4" s="106">
        <f t="shared" si="33"/>
        <v>0.7550469827</v>
      </c>
      <c r="GW4" s="16">
        <v>2.0</v>
      </c>
      <c r="GX4" s="16" t="s">
        <v>9</v>
      </c>
      <c r="GY4" s="17">
        <v>2287.03039583333</v>
      </c>
      <c r="GZ4" s="20">
        <v>2380.0</v>
      </c>
      <c r="HA4" s="106">
        <f t="shared" si="34"/>
        <v>1.040650795</v>
      </c>
      <c r="HC4" s="16">
        <v>2.0</v>
      </c>
      <c r="HD4" s="16" t="s">
        <v>17</v>
      </c>
      <c r="HE4" s="17">
        <v>2824.96158333333</v>
      </c>
      <c r="HF4" s="18">
        <v>4655.5</v>
      </c>
      <c r="HG4" s="106">
        <f t="shared" si="35"/>
        <v>1.647987012</v>
      </c>
      <c r="HI4" s="16">
        <v>2.0</v>
      </c>
      <c r="HJ4" s="16" t="s">
        <v>7</v>
      </c>
      <c r="HK4" s="17">
        <v>2688.7592692307694</v>
      </c>
      <c r="HL4" s="18">
        <v>2024.5</v>
      </c>
      <c r="HM4" s="106">
        <f t="shared" si="36"/>
        <v>0.7529495196</v>
      </c>
      <c r="HO4" s="16">
        <v>2.0</v>
      </c>
      <c r="HP4" s="16" t="s">
        <v>7</v>
      </c>
      <c r="HQ4" s="17">
        <v>2600.963115384616</v>
      </c>
      <c r="HR4" s="18">
        <v>1674.5</v>
      </c>
      <c r="HS4" s="106">
        <f t="shared" si="37"/>
        <v>0.6437999794</v>
      </c>
      <c r="HU4" s="16">
        <v>2.0</v>
      </c>
      <c r="HV4" s="16" t="s">
        <v>13</v>
      </c>
      <c r="HW4" s="17">
        <v>2871.198916666668</v>
      </c>
      <c r="HX4" s="18">
        <v>1926.5</v>
      </c>
      <c r="HY4" s="106">
        <f t="shared" si="38"/>
        <v>0.670974062</v>
      </c>
      <c r="HZ4" s="113"/>
      <c r="IA4" s="16">
        <v>2.0</v>
      </c>
      <c r="IB4" s="16" t="s">
        <v>18</v>
      </c>
      <c r="IC4" s="17">
        <v>4633.349466666666</v>
      </c>
      <c r="ID4" s="18">
        <v>3245.5</v>
      </c>
      <c r="IE4" s="106">
        <f t="shared" si="39"/>
        <v>0.7004651869</v>
      </c>
    </row>
    <row r="5">
      <c r="A5" s="95">
        <v>3.0</v>
      </c>
      <c r="B5" s="95" t="s">
        <v>17</v>
      </c>
      <c r="C5" s="103">
        <v>4000.0</v>
      </c>
      <c r="D5" s="68">
        <v>4701.23</v>
      </c>
      <c r="E5" s="104">
        <f t="shared" si="1"/>
        <v>1.1753075</v>
      </c>
      <c r="F5" s="90"/>
      <c r="G5" s="95">
        <v>3.0</v>
      </c>
      <c r="H5" s="95" t="s">
        <v>17</v>
      </c>
      <c r="I5" s="105">
        <v>3555.4125</v>
      </c>
      <c r="J5" s="96">
        <v>3214.0</v>
      </c>
      <c r="K5" s="106">
        <f t="shared" si="2"/>
        <v>0.9039738708</v>
      </c>
      <c r="L5" s="90"/>
      <c r="M5" s="95">
        <v>3.0</v>
      </c>
      <c r="N5" s="95" t="s">
        <v>7</v>
      </c>
      <c r="O5" s="96">
        <v>2733.978</v>
      </c>
      <c r="P5" s="96">
        <v>2511.0</v>
      </c>
      <c r="Q5" s="106">
        <f t="shared" si="3"/>
        <v>0.9184419187</v>
      </c>
      <c r="R5" s="90"/>
      <c r="S5" s="95">
        <v>3.0</v>
      </c>
      <c r="T5" s="95" t="s">
        <v>11</v>
      </c>
      <c r="U5" s="68">
        <v>3056.81846153846</v>
      </c>
      <c r="V5" s="68">
        <v>2190.0</v>
      </c>
      <c r="W5" s="106">
        <f t="shared" si="4"/>
        <v>0.7164311612</v>
      </c>
      <c r="X5" s="90"/>
      <c r="Y5" s="114">
        <v>3.0</v>
      </c>
      <c r="Z5" s="95" t="s">
        <v>18</v>
      </c>
      <c r="AA5" s="108">
        <v>4056.95277777778</v>
      </c>
      <c r="AB5" s="68">
        <v>4739.5</v>
      </c>
      <c r="AC5" s="106">
        <f t="shared" si="5"/>
        <v>1.168241352</v>
      </c>
      <c r="AD5" s="90"/>
      <c r="AE5" s="114">
        <v>3.0</v>
      </c>
      <c r="AF5" s="110" t="s">
        <v>7</v>
      </c>
      <c r="AG5" s="108">
        <v>2577.63165</v>
      </c>
      <c r="AH5" s="68">
        <v>2610.5</v>
      </c>
      <c r="AI5" s="106">
        <f t="shared" si="6"/>
        <v>1.012751376</v>
      </c>
      <c r="AJ5" s="90"/>
      <c r="AK5" s="114">
        <v>3.0</v>
      </c>
      <c r="AL5" s="95" t="s">
        <v>13</v>
      </c>
      <c r="AM5" s="68">
        <v>2961.45192</v>
      </c>
      <c r="AN5" s="68">
        <v>4248.04</v>
      </c>
      <c r="AO5" s="106">
        <f t="shared" si="7"/>
        <v>1.434445034</v>
      </c>
      <c r="AP5" s="90"/>
      <c r="AQ5" s="95">
        <v>3.0</v>
      </c>
      <c r="AR5" s="95" t="s">
        <v>20</v>
      </c>
      <c r="AS5" s="68">
        <v>4829.43946153846</v>
      </c>
      <c r="AT5" s="68">
        <v>4584.01</v>
      </c>
      <c r="AU5" s="106">
        <f t="shared" si="8"/>
        <v>0.9491805491</v>
      </c>
      <c r="AV5" s="90"/>
      <c r="AW5" s="95">
        <v>3.0</v>
      </c>
      <c r="AX5" s="95" t="s">
        <v>9</v>
      </c>
      <c r="AY5" s="68">
        <v>3688.79469230769</v>
      </c>
      <c r="AZ5" s="68">
        <v>4020.0</v>
      </c>
      <c r="BA5" s="106">
        <f t="shared" si="9"/>
        <v>1.089786864</v>
      </c>
      <c r="BB5" s="90"/>
      <c r="BC5" s="95">
        <v>3.0</v>
      </c>
      <c r="BD5" s="95" t="s">
        <v>17</v>
      </c>
      <c r="BE5" s="68">
        <v>4199.43784615385</v>
      </c>
      <c r="BF5" s="68">
        <v>3818.04</v>
      </c>
      <c r="BG5" s="106">
        <f t="shared" si="10"/>
        <v>0.9091788329</v>
      </c>
      <c r="BH5" s="90"/>
      <c r="BI5" s="95">
        <v>3.0</v>
      </c>
      <c r="BJ5" s="95" t="s">
        <v>20</v>
      </c>
      <c r="BK5" s="68">
        <v>5306.68711363636</v>
      </c>
      <c r="BL5" s="68">
        <v>4675.5</v>
      </c>
      <c r="BM5" s="106">
        <f t="shared" si="11"/>
        <v>0.881058163</v>
      </c>
      <c r="BN5" s="90"/>
      <c r="BO5" s="95">
        <v>3.0</v>
      </c>
      <c r="BP5" s="95" t="s">
        <v>11</v>
      </c>
      <c r="BQ5" s="68">
        <v>3756.90444230769</v>
      </c>
      <c r="BR5" s="68">
        <v>3345.5</v>
      </c>
      <c r="BS5" s="106">
        <f t="shared" si="12"/>
        <v>0.8904937699</v>
      </c>
      <c r="BT5" s="90"/>
      <c r="BU5" s="95">
        <v>3.0</v>
      </c>
      <c r="BV5" s="95" t="s">
        <v>18</v>
      </c>
      <c r="BW5" s="68">
        <v>5459.13655</v>
      </c>
      <c r="BX5" s="68">
        <v>8196.01</v>
      </c>
      <c r="BY5" s="106">
        <f t="shared" si="13"/>
        <v>1.501338156</v>
      </c>
      <c r="BZ5" s="90"/>
      <c r="CA5" s="95">
        <v>3.0</v>
      </c>
      <c r="CB5" s="95" t="s">
        <v>20</v>
      </c>
      <c r="CC5" s="68">
        <v>6068.54520833333</v>
      </c>
      <c r="CD5" s="68">
        <v>7755.51</v>
      </c>
      <c r="CE5" s="106">
        <f t="shared" si="14"/>
        <v>1.277985042</v>
      </c>
      <c r="CF5" s="90"/>
      <c r="CG5" s="95">
        <v>3.0</v>
      </c>
      <c r="CH5" s="95" t="s">
        <v>11</v>
      </c>
      <c r="CI5" s="96">
        <v>4146.79393557692</v>
      </c>
      <c r="CJ5" s="68">
        <v>2457.5</v>
      </c>
      <c r="CK5" s="106">
        <f t="shared" si="15"/>
        <v>0.5926265057</v>
      </c>
      <c r="CL5" s="90"/>
      <c r="CM5" s="95">
        <v>3.0</v>
      </c>
      <c r="CN5" s="95" t="s">
        <v>17</v>
      </c>
      <c r="CO5" s="96">
        <v>4759.3194</v>
      </c>
      <c r="CP5" s="70">
        <v>1931.02</v>
      </c>
      <c r="CQ5" s="106">
        <f t="shared" si="16"/>
        <v>0.4057344838</v>
      </c>
      <c r="CR5" s="90"/>
      <c r="CS5" s="95">
        <v>3.0</v>
      </c>
      <c r="CT5" s="95" t="s">
        <v>7</v>
      </c>
      <c r="CU5" s="96">
        <v>3035.46</v>
      </c>
      <c r="CV5" s="68">
        <v>2002.58</v>
      </c>
      <c r="CW5" s="106">
        <f t="shared" si="17"/>
        <v>0.6597286737</v>
      </c>
      <c r="CX5" s="90"/>
      <c r="CY5" s="95">
        <v>3.0</v>
      </c>
      <c r="CZ5" s="95" t="s">
        <v>11</v>
      </c>
      <c r="DA5" s="96">
        <v>3391.54861458333</v>
      </c>
      <c r="DB5" s="68">
        <v>3879.05</v>
      </c>
      <c r="DC5" s="106">
        <f t="shared" si="18"/>
        <v>1.143740055</v>
      </c>
      <c r="DD5" s="90"/>
      <c r="DE5" s="95">
        <v>3.0</v>
      </c>
      <c r="DF5" s="95" t="s">
        <v>18</v>
      </c>
      <c r="DG5" s="96">
        <v>4876.4235625</v>
      </c>
      <c r="DH5" s="68">
        <v>2189.54</v>
      </c>
      <c r="DI5" s="106">
        <f t="shared" si="19"/>
        <v>0.449005295</v>
      </c>
      <c r="DJ5" s="90"/>
      <c r="DK5" s="95">
        <v>3.0</v>
      </c>
      <c r="DL5" s="95" t="s">
        <v>9</v>
      </c>
      <c r="DM5" s="96">
        <v>3483.70855</v>
      </c>
      <c r="DN5" s="68">
        <v>2823.51</v>
      </c>
      <c r="DO5" s="106">
        <f t="shared" si="20"/>
        <v>0.8104897294</v>
      </c>
      <c r="DP5" s="90"/>
      <c r="DQ5" s="95">
        <v>3.0</v>
      </c>
      <c r="DR5" s="95" t="s">
        <v>13</v>
      </c>
      <c r="DS5" s="96">
        <v>2876.6968125</v>
      </c>
      <c r="DT5" s="68">
        <v>2555.52</v>
      </c>
      <c r="DU5" s="106">
        <f t="shared" si="21"/>
        <v>0.8883522201</v>
      </c>
      <c r="DV5" s="90"/>
      <c r="DW5" s="95">
        <v>3.0</v>
      </c>
      <c r="DX5" s="95" t="s">
        <v>20</v>
      </c>
      <c r="DY5" s="96">
        <v>4007.91671</v>
      </c>
      <c r="DZ5" s="68">
        <v>2770.5</v>
      </c>
      <c r="EA5" s="106">
        <f t="shared" si="22"/>
        <v>0.6912568799</v>
      </c>
      <c r="EB5" s="90"/>
      <c r="EC5" s="95">
        <v>3.0</v>
      </c>
      <c r="ED5" s="95" t="s">
        <v>9</v>
      </c>
      <c r="EE5" s="96">
        <v>3892.50323076923</v>
      </c>
      <c r="EF5" s="68">
        <v>3349.51</v>
      </c>
      <c r="EG5" s="106">
        <f t="shared" si="23"/>
        <v>0.8605028182</v>
      </c>
      <c r="EH5" s="113"/>
      <c r="EI5" s="95">
        <v>3.0</v>
      </c>
      <c r="EJ5" s="95" t="s">
        <v>17</v>
      </c>
      <c r="EK5" s="96">
        <v>3395.17378846154</v>
      </c>
      <c r="EL5" s="68">
        <v>2801.51</v>
      </c>
      <c r="EM5" s="106">
        <f t="shared" si="40"/>
        <v>0.825144801</v>
      </c>
      <c r="EN5" s="90"/>
      <c r="EO5" s="95">
        <v>3.0</v>
      </c>
      <c r="EP5" s="95" t="s">
        <v>7</v>
      </c>
      <c r="EQ5" s="96">
        <v>3410.95964</v>
      </c>
      <c r="ER5" s="68">
        <v>2798.26</v>
      </c>
      <c r="ES5" s="106">
        <f t="shared" si="24"/>
        <v>0.8203732367</v>
      </c>
      <c r="ET5" s="90"/>
      <c r="EU5" s="95">
        <v>3.0</v>
      </c>
      <c r="EV5" s="95" t="s">
        <v>7</v>
      </c>
      <c r="EW5" s="96">
        <v>3506.36634615385</v>
      </c>
      <c r="EX5" s="68">
        <v>4028.76</v>
      </c>
      <c r="EY5" s="106">
        <f t="shared" si="25"/>
        <v>1.148984334</v>
      </c>
      <c r="FA5" s="95">
        <v>3.0</v>
      </c>
      <c r="FB5" s="95" t="s">
        <v>13</v>
      </c>
      <c r="FC5" s="96">
        <v>3926.07684615385</v>
      </c>
      <c r="FD5" s="68">
        <v>1924.01</v>
      </c>
      <c r="FE5" s="106">
        <f t="shared" si="26"/>
        <v>0.49005918</v>
      </c>
      <c r="FG5" s="95">
        <v>3.0</v>
      </c>
      <c r="FH5" s="95" t="s">
        <v>18</v>
      </c>
      <c r="FI5" s="96">
        <v>5462.33303846154</v>
      </c>
      <c r="FJ5" s="68">
        <v>3847.75</v>
      </c>
      <c r="FK5" s="106">
        <f t="shared" si="27"/>
        <v>0.7044151232</v>
      </c>
      <c r="FL5" s="113"/>
      <c r="FM5" s="95">
        <v>3.0</v>
      </c>
      <c r="FN5" s="95" t="s">
        <v>9</v>
      </c>
      <c r="FO5" s="96">
        <v>3196.46204166667</v>
      </c>
      <c r="FP5" s="68">
        <v>1909.01</v>
      </c>
      <c r="FQ5" s="106">
        <f t="shared" si="28"/>
        <v>0.5972259251</v>
      </c>
      <c r="FS5" s="95">
        <v>3.0</v>
      </c>
      <c r="FT5" s="95" t="s">
        <v>13</v>
      </c>
      <c r="FU5" s="96">
        <v>3309.52769230769</v>
      </c>
      <c r="FV5" s="68">
        <v>2230.26</v>
      </c>
      <c r="FW5" s="106">
        <f t="shared" si="29"/>
        <v>0.6738907202</v>
      </c>
      <c r="FY5" s="95">
        <v>3.0</v>
      </c>
      <c r="FZ5" s="95" t="s">
        <v>20</v>
      </c>
      <c r="GA5" s="96">
        <v>4265.00853846154</v>
      </c>
      <c r="GB5" s="68">
        <v>3413.9</v>
      </c>
      <c r="GC5" s="106">
        <f t="shared" si="30"/>
        <v>0.800443884</v>
      </c>
      <c r="GE5" s="16">
        <v>3.0</v>
      </c>
      <c r="GF5" s="16" t="s">
        <v>11</v>
      </c>
      <c r="GG5" s="17">
        <v>3098.37467307692</v>
      </c>
      <c r="GH5" s="20">
        <v>2668.51</v>
      </c>
      <c r="GI5" s="106">
        <f t="shared" si="31"/>
        <v>0.8612612358</v>
      </c>
      <c r="GK5" s="16">
        <v>3.0</v>
      </c>
      <c r="GL5" s="16" t="s">
        <v>17</v>
      </c>
      <c r="GM5" s="41">
        <v>3011.91634615385</v>
      </c>
      <c r="GN5" s="20">
        <v>5068.51</v>
      </c>
      <c r="GO5" s="106">
        <f t="shared" si="32"/>
        <v>1.682818982</v>
      </c>
      <c r="GQ5" s="16">
        <v>3.0</v>
      </c>
      <c r="GR5" s="16" t="s">
        <v>7</v>
      </c>
      <c r="GS5" s="41">
        <v>2925.73623076923</v>
      </c>
      <c r="GT5" s="20">
        <v>2232.0</v>
      </c>
      <c r="GU5" s="106">
        <f t="shared" si="33"/>
        <v>0.7628849028</v>
      </c>
      <c r="GW5" s="16">
        <v>3.0</v>
      </c>
      <c r="GX5" s="16" t="s">
        <v>11</v>
      </c>
      <c r="GY5" s="41">
        <v>2757.4024375</v>
      </c>
      <c r="GZ5" s="20">
        <v>3015.02</v>
      </c>
      <c r="HA5" s="106">
        <f t="shared" si="34"/>
        <v>1.093427626</v>
      </c>
      <c r="HC5" s="16">
        <v>3.0</v>
      </c>
      <c r="HD5" s="16" t="s">
        <v>18</v>
      </c>
      <c r="HE5" s="5">
        <v>3969.18954166667</v>
      </c>
      <c r="HF5" s="18">
        <v>5409.5</v>
      </c>
      <c r="HG5" s="106">
        <f t="shared" si="35"/>
        <v>1.362872683</v>
      </c>
      <c r="HI5" s="16">
        <v>3.0</v>
      </c>
      <c r="HJ5" s="16" t="s">
        <v>9</v>
      </c>
      <c r="HK5" s="5">
        <v>2784.4127307692306</v>
      </c>
      <c r="HL5" s="18">
        <v>2597.5</v>
      </c>
      <c r="HM5" s="106">
        <f t="shared" si="36"/>
        <v>0.9328717583</v>
      </c>
      <c r="HO5" s="16">
        <v>3.0</v>
      </c>
      <c r="HP5" s="16" t="s">
        <v>9</v>
      </c>
      <c r="HQ5" s="5">
        <v>2691.103461538462</v>
      </c>
      <c r="HR5" s="18">
        <v>3251.0</v>
      </c>
      <c r="HS5" s="106">
        <f t="shared" si="37"/>
        <v>1.208054631</v>
      </c>
      <c r="HU5" s="16">
        <v>3.0</v>
      </c>
      <c r="HV5" s="16" t="s">
        <v>17</v>
      </c>
      <c r="HW5" s="5">
        <v>2948.2951666666677</v>
      </c>
      <c r="HX5" s="18">
        <v>2649.0</v>
      </c>
      <c r="HY5" s="106">
        <f t="shared" si="38"/>
        <v>0.898485345</v>
      </c>
      <c r="HZ5" s="113"/>
      <c r="IA5" s="16">
        <v>3.0</v>
      </c>
      <c r="IB5" s="16" t="s">
        <v>20</v>
      </c>
      <c r="IC5" s="5">
        <v>4467.714066666667</v>
      </c>
      <c r="ID5" s="18">
        <v>6348.0</v>
      </c>
      <c r="IE5" s="106">
        <f t="shared" si="39"/>
        <v>1.420860849</v>
      </c>
    </row>
    <row r="6">
      <c r="A6" s="95">
        <v>4.0</v>
      </c>
      <c r="B6" s="95" t="s">
        <v>18</v>
      </c>
      <c r="C6" s="103">
        <v>5000.0</v>
      </c>
      <c r="D6" s="68">
        <v>6723.1</v>
      </c>
      <c r="E6" s="104">
        <f t="shared" si="1"/>
        <v>1.34462</v>
      </c>
      <c r="F6" s="90"/>
      <c r="G6" s="95">
        <v>4.0</v>
      </c>
      <c r="H6" s="95" t="s">
        <v>18</v>
      </c>
      <c r="I6" s="105">
        <v>4996.1625</v>
      </c>
      <c r="J6" s="96">
        <v>4675.5</v>
      </c>
      <c r="K6" s="106">
        <f t="shared" si="2"/>
        <v>0.9358182405</v>
      </c>
      <c r="L6" s="90"/>
      <c r="M6" s="95">
        <v>4.0</v>
      </c>
      <c r="N6" s="95" t="s">
        <v>9</v>
      </c>
      <c r="O6" s="96">
        <v>3465.2332</v>
      </c>
      <c r="P6" s="96">
        <v>2393.5</v>
      </c>
      <c r="Q6" s="106">
        <f t="shared" si="3"/>
        <v>0.6907183043</v>
      </c>
      <c r="R6" s="90"/>
      <c r="S6" s="95">
        <v>4.0</v>
      </c>
      <c r="T6" s="95" t="s">
        <v>13</v>
      </c>
      <c r="U6" s="68">
        <v>2628.82307692308</v>
      </c>
      <c r="V6" s="68">
        <v>2986.0</v>
      </c>
      <c r="W6" s="106">
        <f t="shared" si="4"/>
        <v>1.135869518</v>
      </c>
      <c r="X6" s="90"/>
      <c r="Y6" s="114">
        <v>4.0</v>
      </c>
      <c r="Z6" s="95" t="s">
        <v>20</v>
      </c>
      <c r="AA6" s="108">
        <v>3689.71235294118</v>
      </c>
      <c r="AB6" s="68">
        <v>3980.5</v>
      </c>
      <c r="AC6" s="106">
        <f t="shared" si="5"/>
        <v>1.078810384</v>
      </c>
      <c r="AD6" s="90"/>
      <c r="AE6" s="114">
        <v>4.0</v>
      </c>
      <c r="AF6" s="110" t="s">
        <v>9</v>
      </c>
      <c r="AG6" s="108">
        <v>3323.86871</v>
      </c>
      <c r="AH6" s="68">
        <v>2460.0</v>
      </c>
      <c r="AI6" s="106">
        <f t="shared" si="6"/>
        <v>0.7401014344</v>
      </c>
      <c r="AJ6" s="90"/>
      <c r="AK6" s="114">
        <v>4.0</v>
      </c>
      <c r="AL6" s="95" t="s">
        <v>17</v>
      </c>
      <c r="AM6" s="68">
        <v>3615.0324</v>
      </c>
      <c r="AN6" s="68">
        <v>4161.51</v>
      </c>
      <c r="AO6" s="106">
        <f t="shared" si="7"/>
        <v>1.151168106</v>
      </c>
      <c r="AP6" s="90"/>
      <c r="AQ6" s="95">
        <v>4.0</v>
      </c>
      <c r="AR6" s="95" t="s">
        <v>7</v>
      </c>
      <c r="AS6" s="68">
        <v>3049.52388461539</v>
      </c>
      <c r="AT6" s="68">
        <v>2163.51</v>
      </c>
      <c r="AU6" s="106">
        <f t="shared" si="8"/>
        <v>0.7094582898</v>
      </c>
      <c r="AV6" s="90"/>
      <c r="AW6" s="95">
        <v>4.0</v>
      </c>
      <c r="AX6" s="95" t="s">
        <v>11</v>
      </c>
      <c r="AY6" s="68">
        <v>3620.84856923077</v>
      </c>
      <c r="AZ6" s="68">
        <v>3080.5</v>
      </c>
      <c r="BA6" s="106">
        <f t="shared" si="9"/>
        <v>0.8507674213</v>
      </c>
      <c r="BB6" s="90"/>
      <c r="BC6" s="95">
        <v>4.0</v>
      </c>
      <c r="BD6" s="95" t="s">
        <v>18</v>
      </c>
      <c r="BE6" s="68">
        <v>5580.95515384616</v>
      </c>
      <c r="BF6" s="68">
        <v>2671.0</v>
      </c>
      <c r="BG6" s="106">
        <f t="shared" si="10"/>
        <v>0.4785919124</v>
      </c>
      <c r="BH6" s="90"/>
      <c r="BI6" s="95">
        <v>4.0</v>
      </c>
      <c r="BJ6" s="95" t="s">
        <v>7</v>
      </c>
      <c r="BK6" s="68">
        <v>3108.05488636364</v>
      </c>
      <c r="BL6" s="68">
        <v>3183.53</v>
      </c>
      <c r="BM6" s="106">
        <f t="shared" si="11"/>
        <v>1.024283713</v>
      </c>
      <c r="BN6" s="90"/>
      <c r="BO6" s="95">
        <v>4.0</v>
      </c>
      <c r="BP6" s="95" t="s">
        <v>13</v>
      </c>
      <c r="BQ6" s="68">
        <v>3789.02151923077</v>
      </c>
      <c r="BR6" s="68">
        <v>2988.51</v>
      </c>
      <c r="BS6" s="106">
        <f t="shared" si="12"/>
        <v>0.7887286955</v>
      </c>
      <c r="BT6" s="90"/>
      <c r="BU6" s="95">
        <v>4.0</v>
      </c>
      <c r="BV6" s="95" t="s">
        <v>20</v>
      </c>
      <c r="BW6" s="68">
        <v>5569.685793</v>
      </c>
      <c r="BX6" s="68">
        <v>6234.5</v>
      </c>
      <c r="BY6" s="106">
        <f t="shared" si="13"/>
        <v>1.119362964</v>
      </c>
      <c r="BZ6" s="90"/>
      <c r="CA6" s="95">
        <v>4.0</v>
      </c>
      <c r="CB6" s="95" t="s">
        <v>7</v>
      </c>
      <c r="CC6" s="68">
        <v>3258.90177884615</v>
      </c>
      <c r="CD6" s="68">
        <v>3477.02</v>
      </c>
      <c r="CE6" s="106">
        <f t="shared" si="14"/>
        <v>1.066929977</v>
      </c>
      <c r="CF6" s="90"/>
      <c r="CG6" s="95">
        <v>4.0</v>
      </c>
      <c r="CH6" s="95" t="s">
        <v>13</v>
      </c>
      <c r="CI6" s="96">
        <v>4164.52486153846</v>
      </c>
      <c r="CJ6" s="68">
        <v>4090.51</v>
      </c>
      <c r="CK6" s="106">
        <f t="shared" si="15"/>
        <v>0.9822272975</v>
      </c>
      <c r="CL6" s="90"/>
      <c r="CM6" s="95">
        <v>4.0</v>
      </c>
      <c r="CN6" s="95" t="s">
        <v>18</v>
      </c>
      <c r="CO6" s="96">
        <v>6903.4878</v>
      </c>
      <c r="CP6" s="70">
        <v>2095.53</v>
      </c>
      <c r="CQ6" s="106">
        <f t="shared" si="16"/>
        <v>0.3035465638</v>
      </c>
      <c r="CR6" s="90"/>
      <c r="CS6" s="95">
        <v>4.0</v>
      </c>
      <c r="CT6" s="95" t="s">
        <v>9</v>
      </c>
      <c r="CU6" s="96">
        <v>3778.056</v>
      </c>
      <c r="CV6" s="68">
        <v>2648.57</v>
      </c>
      <c r="CW6" s="106">
        <f t="shared" si="17"/>
        <v>0.7010404293</v>
      </c>
      <c r="CX6" s="90"/>
      <c r="CY6" s="95">
        <v>4.0</v>
      </c>
      <c r="CZ6" s="95" t="s">
        <v>13</v>
      </c>
      <c r="DA6" s="96">
        <v>3390.73971875</v>
      </c>
      <c r="DB6" s="68">
        <v>3291.0</v>
      </c>
      <c r="DC6" s="106">
        <f t="shared" si="18"/>
        <v>0.9705846727</v>
      </c>
      <c r="DD6" s="90"/>
      <c r="DE6" s="95">
        <v>4.0</v>
      </c>
      <c r="DF6" s="95" t="s">
        <v>20</v>
      </c>
      <c r="DG6" s="96">
        <v>4499.2023125</v>
      </c>
      <c r="DH6" s="68">
        <v>2452.03</v>
      </c>
      <c r="DI6" s="106">
        <f t="shared" si="19"/>
        <v>0.544992163</v>
      </c>
      <c r="DJ6" s="90"/>
      <c r="DK6" s="95">
        <v>4.0</v>
      </c>
      <c r="DL6" s="95" t="s">
        <v>11</v>
      </c>
      <c r="DM6" s="96">
        <v>3244.36143333333</v>
      </c>
      <c r="DN6" s="68">
        <v>2639.54</v>
      </c>
      <c r="DO6" s="106">
        <f t="shared" si="20"/>
        <v>0.8135776652</v>
      </c>
      <c r="DP6" s="90"/>
      <c r="DQ6" s="95">
        <v>4.0</v>
      </c>
      <c r="DR6" s="95" t="s">
        <v>17</v>
      </c>
      <c r="DS6" s="96">
        <v>2817.0883125</v>
      </c>
      <c r="DT6" s="68">
        <v>6734.42</v>
      </c>
      <c r="DU6" s="106">
        <f t="shared" si="21"/>
        <v>2.390560484</v>
      </c>
      <c r="DV6" s="90"/>
      <c r="DW6" s="95">
        <v>4.0</v>
      </c>
      <c r="DX6" s="95" t="s">
        <v>7</v>
      </c>
      <c r="DY6" s="96">
        <v>2896.25827826088</v>
      </c>
      <c r="DZ6" s="68">
        <v>2204.51</v>
      </c>
      <c r="EA6" s="106">
        <f t="shared" si="22"/>
        <v>0.7611579453</v>
      </c>
      <c r="EB6" s="90"/>
      <c r="EC6" s="95">
        <v>4.0</v>
      </c>
      <c r="ED6" s="95" t="s">
        <v>11</v>
      </c>
      <c r="EE6" s="96">
        <v>3820.83230769231</v>
      </c>
      <c r="EF6" s="68">
        <v>2933.0</v>
      </c>
      <c r="EG6" s="106">
        <f t="shared" si="23"/>
        <v>0.7676337938</v>
      </c>
      <c r="EH6" s="113"/>
      <c r="EI6" s="95">
        <v>4.0</v>
      </c>
      <c r="EJ6" s="95" t="s">
        <v>18</v>
      </c>
      <c r="EK6" s="96">
        <v>4193.88859615385</v>
      </c>
      <c r="EL6" s="68">
        <v>4097.75</v>
      </c>
      <c r="EM6" s="106">
        <f t="shared" si="40"/>
        <v>0.9770765022</v>
      </c>
      <c r="EN6" s="90"/>
      <c r="EO6" s="95">
        <v>4.0</v>
      </c>
      <c r="EP6" s="95" t="s">
        <v>9</v>
      </c>
      <c r="EQ6" s="96">
        <v>3824.392</v>
      </c>
      <c r="ER6" s="68">
        <v>3123.29</v>
      </c>
      <c r="ES6" s="106">
        <f t="shared" si="24"/>
        <v>0.8166762194</v>
      </c>
      <c r="ET6" s="90"/>
      <c r="EU6" s="95">
        <v>4.0</v>
      </c>
      <c r="EV6" s="95" t="s">
        <v>9</v>
      </c>
      <c r="EW6" s="96">
        <v>3947.55533333333</v>
      </c>
      <c r="EX6" s="68">
        <v>3807.25</v>
      </c>
      <c r="EY6" s="106">
        <f t="shared" si="25"/>
        <v>0.9644576652</v>
      </c>
      <c r="FA6" s="95">
        <v>4.0</v>
      </c>
      <c r="FB6" s="95" t="s">
        <v>17</v>
      </c>
      <c r="FC6" s="96">
        <v>4211.02930769231</v>
      </c>
      <c r="FD6" s="68">
        <v>2322.27</v>
      </c>
      <c r="FE6" s="106">
        <f t="shared" si="26"/>
        <v>0.5514732457</v>
      </c>
      <c r="FG6" s="95">
        <v>4.0</v>
      </c>
      <c r="FH6" s="95" t="s">
        <v>20</v>
      </c>
      <c r="FI6" s="96">
        <v>5046.12053846154</v>
      </c>
      <c r="FJ6" s="68">
        <v>3424.27</v>
      </c>
      <c r="FK6" s="106">
        <f t="shared" si="27"/>
        <v>0.6785945706</v>
      </c>
      <c r="FL6" s="113"/>
      <c r="FM6" s="95">
        <v>4.0</v>
      </c>
      <c r="FN6" s="95" t="s">
        <v>11</v>
      </c>
      <c r="FO6" s="96">
        <v>3456.04072</v>
      </c>
      <c r="FP6" s="68">
        <v>2132.76</v>
      </c>
      <c r="FQ6" s="106">
        <f t="shared" si="28"/>
        <v>0.6171107845</v>
      </c>
      <c r="FS6" s="95">
        <v>4.0</v>
      </c>
      <c r="FT6" s="95" t="s">
        <v>17</v>
      </c>
      <c r="FU6" s="96">
        <v>3432.83980769231</v>
      </c>
      <c r="FV6" s="68">
        <v>3552.76</v>
      </c>
      <c r="FW6" s="106">
        <f t="shared" si="29"/>
        <v>1.034933233</v>
      </c>
      <c r="FY6" s="95">
        <v>4.0</v>
      </c>
      <c r="FZ6" s="95" t="s">
        <v>7</v>
      </c>
      <c r="GA6" s="96">
        <v>2733.30451923077</v>
      </c>
      <c r="GB6" s="68">
        <v>3270.0</v>
      </c>
      <c r="GC6" s="106">
        <f t="shared" si="30"/>
        <v>1.196354075</v>
      </c>
      <c r="GE6" s="16">
        <v>4.0</v>
      </c>
      <c r="GF6" s="16" t="s">
        <v>13</v>
      </c>
      <c r="GG6" s="17">
        <v>3151.42417307692</v>
      </c>
      <c r="GH6" s="20">
        <v>2248.51</v>
      </c>
      <c r="GI6" s="106">
        <f t="shared" si="31"/>
        <v>0.7134901164</v>
      </c>
      <c r="GK6" s="16">
        <v>4.0</v>
      </c>
      <c r="GL6" s="16" t="s">
        <v>18</v>
      </c>
      <c r="GM6" s="17">
        <v>4334.40196296296</v>
      </c>
      <c r="GN6" s="20">
        <v>5921.51</v>
      </c>
      <c r="GO6" s="106">
        <f t="shared" si="32"/>
        <v>1.366165402</v>
      </c>
      <c r="GQ6" s="16">
        <v>4.0</v>
      </c>
      <c r="GR6" s="16" t="s">
        <v>9</v>
      </c>
      <c r="GS6" s="17">
        <v>2882.27175961539</v>
      </c>
      <c r="GT6" s="20">
        <v>1153.25</v>
      </c>
      <c r="GU6" s="106">
        <f t="shared" si="33"/>
        <v>0.4001184122</v>
      </c>
      <c r="GW6" s="16">
        <v>4.0</v>
      </c>
      <c r="GX6" s="16" t="s">
        <v>13</v>
      </c>
      <c r="GY6" s="17">
        <v>3129.20941666667</v>
      </c>
      <c r="GZ6" s="20">
        <v>3900.5</v>
      </c>
      <c r="HA6" s="106">
        <f t="shared" si="34"/>
        <v>1.246480974</v>
      </c>
      <c r="HC6" s="16">
        <v>4.0</v>
      </c>
      <c r="HD6" s="16" t="s">
        <v>20</v>
      </c>
      <c r="HE6" s="17">
        <v>4064.60462</v>
      </c>
      <c r="HF6" s="18">
        <v>5360.01</v>
      </c>
      <c r="HG6" s="106">
        <f t="shared" si="35"/>
        <v>1.318703909</v>
      </c>
      <c r="HI6" s="16">
        <v>4.0</v>
      </c>
      <c r="HJ6" s="16" t="s">
        <v>11</v>
      </c>
      <c r="HK6" s="17">
        <v>3123.9519999999998</v>
      </c>
      <c r="HL6" s="18">
        <v>2935.91</v>
      </c>
      <c r="HM6" s="106">
        <f t="shared" si="36"/>
        <v>0.9398063735</v>
      </c>
      <c r="HO6" s="16">
        <v>4.0</v>
      </c>
      <c r="HP6" s="16" t="s">
        <v>11</v>
      </c>
      <c r="HQ6" s="17">
        <v>3000.2225000000003</v>
      </c>
      <c r="HR6" s="18">
        <v>2356.0</v>
      </c>
      <c r="HS6" s="106">
        <f t="shared" si="37"/>
        <v>0.7852750921</v>
      </c>
      <c r="HU6" s="16">
        <v>4.0</v>
      </c>
      <c r="HV6" s="16" t="s">
        <v>18</v>
      </c>
      <c r="HW6" s="17">
        <v>4705.9700416666665</v>
      </c>
      <c r="HX6" s="18">
        <v>4476.5</v>
      </c>
      <c r="HY6" s="106">
        <f t="shared" si="38"/>
        <v>0.9512385248</v>
      </c>
      <c r="HZ6" s="113"/>
      <c r="IA6" s="16">
        <v>4.0</v>
      </c>
      <c r="IB6" s="16" t="s">
        <v>7</v>
      </c>
      <c r="IC6" s="17">
        <v>2465.1209333333336</v>
      </c>
      <c r="ID6" s="18">
        <v>2540.0</v>
      </c>
      <c r="IE6" s="106">
        <f t="shared" si="39"/>
        <v>1.030375413</v>
      </c>
    </row>
    <row r="7">
      <c r="A7" s="95">
        <v>5.0</v>
      </c>
      <c r="B7" s="95" t="s">
        <v>20</v>
      </c>
      <c r="C7" s="103">
        <v>4200.0</v>
      </c>
      <c r="D7" s="68">
        <v>5052.11</v>
      </c>
      <c r="E7" s="104">
        <f t="shared" si="1"/>
        <v>1.202883333</v>
      </c>
      <c r="F7" s="90"/>
      <c r="G7" s="95">
        <v>5.0</v>
      </c>
      <c r="H7" s="95" t="s">
        <v>20</v>
      </c>
      <c r="I7" s="105">
        <v>4734.9025</v>
      </c>
      <c r="J7" s="96">
        <v>5030.0</v>
      </c>
      <c r="K7" s="106">
        <f t="shared" si="2"/>
        <v>1.062323881</v>
      </c>
      <c r="L7" s="90"/>
      <c r="M7" s="95">
        <v>5.0</v>
      </c>
      <c r="N7" s="95" t="s">
        <v>11</v>
      </c>
      <c r="O7" s="96">
        <v>3505.10506666667</v>
      </c>
      <c r="P7" s="96">
        <v>2022.5</v>
      </c>
      <c r="Q7" s="106">
        <f t="shared" si="3"/>
        <v>0.5770155135</v>
      </c>
      <c r="R7" s="90"/>
      <c r="S7" s="95">
        <v>5.0</v>
      </c>
      <c r="T7" s="95" t="s">
        <v>17</v>
      </c>
      <c r="U7" s="68">
        <v>4033.78076923077</v>
      </c>
      <c r="V7" s="68">
        <v>2641.5</v>
      </c>
      <c r="W7" s="106">
        <f t="shared" si="4"/>
        <v>0.6548447105</v>
      </c>
      <c r="X7" s="90"/>
      <c r="Y7" s="114">
        <v>5.0</v>
      </c>
      <c r="Z7" s="95" t="s">
        <v>7</v>
      </c>
      <c r="AA7" s="108">
        <v>2557.5375</v>
      </c>
      <c r="AB7" s="68">
        <v>2131.5</v>
      </c>
      <c r="AC7" s="106">
        <f t="shared" si="5"/>
        <v>0.8334188648</v>
      </c>
      <c r="AD7" s="90"/>
      <c r="AE7" s="114">
        <v>5.0</v>
      </c>
      <c r="AF7" s="110" t="s">
        <v>11</v>
      </c>
      <c r="AG7" s="108">
        <v>3100.40545238095</v>
      </c>
      <c r="AH7" s="68">
        <v>2996.5</v>
      </c>
      <c r="AI7" s="106">
        <f t="shared" si="6"/>
        <v>0.9664864954</v>
      </c>
      <c r="AJ7" s="90"/>
      <c r="AK7" s="114">
        <v>5.0</v>
      </c>
      <c r="AL7" s="95" t="s">
        <v>18</v>
      </c>
      <c r="AM7" s="68">
        <v>4370.5494</v>
      </c>
      <c r="AN7" s="68">
        <v>6064.0</v>
      </c>
      <c r="AO7" s="106">
        <f t="shared" si="7"/>
        <v>1.387468587</v>
      </c>
      <c r="AP7" s="90"/>
      <c r="AQ7" s="95">
        <v>5.0</v>
      </c>
      <c r="AR7" s="95" t="s">
        <v>9</v>
      </c>
      <c r="AS7" s="68">
        <v>3489.23480769231</v>
      </c>
      <c r="AT7" s="68">
        <v>5262.5</v>
      </c>
      <c r="AU7" s="106">
        <f t="shared" si="8"/>
        <v>1.508210336</v>
      </c>
      <c r="AV7" s="90"/>
      <c r="AW7" s="95">
        <v>5.0</v>
      </c>
      <c r="AX7" s="95" t="s">
        <v>13</v>
      </c>
      <c r="AY7" s="68">
        <v>3535.0242</v>
      </c>
      <c r="AZ7" s="68">
        <v>2868.01</v>
      </c>
      <c r="BA7" s="106">
        <f t="shared" si="9"/>
        <v>0.811312692</v>
      </c>
      <c r="BB7" s="90"/>
      <c r="BC7" s="95">
        <v>5.0</v>
      </c>
      <c r="BD7" s="95" t="s">
        <v>20</v>
      </c>
      <c r="BE7" s="68">
        <v>5140.16838461539</v>
      </c>
      <c r="BF7" s="68">
        <v>4268.02</v>
      </c>
      <c r="BG7" s="106">
        <f t="shared" si="10"/>
        <v>0.8303268844</v>
      </c>
      <c r="BH7" s="90"/>
      <c r="BI7" s="95">
        <v>5.0</v>
      </c>
      <c r="BJ7" s="95" t="s">
        <v>9</v>
      </c>
      <c r="BK7" s="68">
        <v>3435.89447727273</v>
      </c>
      <c r="BL7" s="68">
        <v>2779.0</v>
      </c>
      <c r="BM7" s="106">
        <f t="shared" si="11"/>
        <v>0.8088141293</v>
      </c>
      <c r="BN7" s="90"/>
      <c r="BO7" s="95">
        <v>5.0</v>
      </c>
      <c r="BP7" s="95" t="s">
        <v>17</v>
      </c>
      <c r="BQ7" s="68">
        <v>4029.96582692308</v>
      </c>
      <c r="BR7" s="68">
        <v>3696.0</v>
      </c>
      <c r="BS7" s="106">
        <f t="shared" si="12"/>
        <v>0.917129365</v>
      </c>
      <c r="BT7" s="90"/>
      <c r="BU7" s="95">
        <v>5.0</v>
      </c>
      <c r="BV7" s="95" t="s">
        <v>7</v>
      </c>
      <c r="BW7" s="68">
        <v>3222.12748846154</v>
      </c>
      <c r="BX7" s="68">
        <v>3300.63</v>
      </c>
      <c r="BY7" s="106">
        <f t="shared" si="13"/>
        <v>1.024363565</v>
      </c>
      <c r="BZ7" s="90"/>
      <c r="CA7" s="95">
        <v>5.0</v>
      </c>
      <c r="CB7" s="95" t="s">
        <v>9</v>
      </c>
      <c r="CC7" s="68">
        <v>3607.60614423077</v>
      </c>
      <c r="CD7" s="68">
        <v>4959.07</v>
      </c>
      <c r="CE7" s="106">
        <f t="shared" si="14"/>
        <v>1.374615133</v>
      </c>
      <c r="CF7" s="90"/>
      <c r="CG7" s="95">
        <v>5.0</v>
      </c>
      <c r="CH7" s="95" t="s">
        <v>17</v>
      </c>
      <c r="CI7" s="96">
        <v>4618.74731971154</v>
      </c>
      <c r="CJ7" s="68">
        <v>3500.52</v>
      </c>
      <c r="CK7" s="106">
        <f t="shared" si="15"/>
        <v>0.7578938092</v>
      </c>
      <c r="CL7" s="90"/>
      <c r="CM7" s="95">
        <v>5.0</v>
      </c>
      <c r="CN7" s="95" t="s">
        <v>20</v>
      </c>
      <c r="CO7" s="96">
        <v>6423.77193333333</v>
      </c>
      <c r="CP7" s="70">
        <v>3064.05</v>
      </c>
      <c r="CQ7" s="106">
        <f t="shared" si="16"/>
        <v>0.4769861122</v>
      </c>
      <c r="CR7" s="90"/>
      <c r="CS7" s="95">
        <v>5.0</v>
      </c>
      <c r="CT7" s="95" t="s">
        <v>11</v>
      </c>
      <c r="CU7" s="96">
        <v>3423.9315</v>
      </c>
      <c r="CV7" s="68">
        <v>2459.08</v>
      </c>
      <c r="CW7" s="106">
        <f t="shared" si="17"/>
        <v>0.7182036206</v>
      </c>
      <c r="CX7" s="90"/>
      <c r="CY7" s="95">
        <v>5.0</v>
      </c>
      <c r="CZ7" s="95" t="s">
        <v>17</v>
      </c>
      <c r="DA7" s="96">
        <v>3831.45896875</v>
      </c>
      <c r="DB7" s="68">
        <v>2809.01</v>
      </c>
      <c r="DC7" s="106">
        <f t="shared" si="18"/>
        <v>0.7331436988</v>
      </c>
      <c r="DD7" s="90"/>
      <c r="DE7" s="95">
        <v>5.0</v>
      </c>
      <c r="DF7" s="95" t="s">
        <v>7</v>
      </c>
      <c r="DG7" s="96">
        <v>2899.715</v>
      </c>
      <c r="DH7" s="68">
        <v>2502.51</v>
      </c>
      <c r="DI7" s="106">
        <f t="shared" si="19"/>
        <v>0.8630192967</v>
      </c>
      <c r="DJ7" s="90"/>
      <c r="DK7" s="95">
        <v>5.0</v>
      </c>
      <c r="DL7" s="95" t="s">
        <v>13</v>
      </c>
      <c r="DM7" s="96">
        <v>3168.16775</v>
      </c>
      <c r="DN7" s="68">
        <v>1626.01</v>
      </c>
      <c r="DO7" s="106">
        <f t="shared" si="20"/>
        <v>0.5132335559</v>
      </c>
      <c r="DP7" s="90"/>
      <c r="DQ7" s="95">
        <v>5.0</v>
      </c>
      <c r="DR7" s="95" t="s">
        <v>18</v>
      </c>
      <c r="DS7" s="96">
        <v>3631.1611875</v>
      </c>
      <c r="DT7" s="68">
        <v>7501.06</v>
      </c>
      <c r="DU7" s="106">
        <f t="shared" si="21"/>
        <v>2.065746909</v>
      </c>
      <c r="DV7" s="90"/>
      <c r="DW7" s="95">
        <v>5.0</v>
      </c>
      <c r="DX7" s="95" t="s">
        <v>9</v>
      </c>
      <c r="DY7" s="115">
        <v>3657.8939775</v>
      </c>
      <c r="DZ7" s="68">
        <v>3185.51</v>
      </c>
      <c r="EA7" s="106">
        <f t="shared" si="22"/>
        <v>0.8708590297</v>
      </c>
      <c r="EB7" s="90"/>
      <c r="EC7" s="95">
        <v>5.0</v>
      </c>
      <c r="ED7" s="95" t="s">
        <v>13</v>
      </c>
      <c r="EE7" s="115">
        <v>3738.57553846154</v>
      </c>
      <c r="EF7" s="68">
        <v>2908.0</v>
      </c>
      <c r="EG7" s="106">
        <f t="shared" si="23"/>
        <v>0.7778363631</v>
      </c>
      <c r="EH7" s="113"/>
      <c r="EI7" s="95">
        <v>5.0</v>
      </c>
      <c r="EJ7" s="95" t="s">
        <v>20</v>
      </c>
      <c r="EK7" s="115">
        <v>3751.09713461538</v>
      </c>
      <c r="EL7" s="68">
        <v>3457.81</v>
      </c>
      <c r="EM7" s="106">
        <f t="shared" si="40"/>
        <v>0.9218129726</v>
      </c>
      <c r="EN7" s="90"/>
      <c r="EO7" s="95">
        <v>5.0</v>
      </c>
      <c r="EP7" s="95" t="s">
        <v>11</v>
      </c>
      <c r="EQ7" s="115">
        <v>3598.85944</v>
      </c>
      <c r="ER7" s="68">
        <v>3196.5</v>
      </c>
      <c r="ES7" s="106">
        <f t="shared" si="24"/>
        <v>0.8881980676</v>
      </c>
      <c r="ET7" s="90"/>
      <c r="EU7" s="95">
        <v>5.0</v>
      </c>
      <c r="EV7" s="95" t="s">
        <v>11</v>
      </c>
      <c r="EW7" s="115">
        <v>3815.68264</v>
      </c>
      <c r="EX7" s="68">
        <v>3865.78</v>
      </c>
      <c r="EY7" s="106">
        <f t="shared" si="25"/>
        <v>1.013129331</v>
      </c>
      <c r="FA7" s="95">
        <v>5.0</v>
      </c>
      <c r="FB7" s="95" t="s">
        <v>18</v>
      </c>
      <c r="FC7" s="115">
        <v>5462.33303846154</v>
      </c>
      <c r="FD7" s="68">
        <v>2719.76</v>
      </c>
      <c r="FE7" s="106">
        <f t="shared" si="26"/>
        <v>0.4979117862</v>
      </c>
      <c r="FG7" s="95">
        <v>5.0</v>
      </c>
      <c r="FH7" s="95" t="s">
        <v>7</v>
      </c>
      <c r="FI7" s="115">
        <v>3488.60176923077</v>
      </c>
      <c r="FJ7" s="68">
        <v>2122.81</v>
      </c>
      <c r="FK7" s="106">
        <f t="shared" si="27"/>
        <v>0.6084988028</v>
      </c>
      <c r="FL7" s="113"/>
      <c r="FM7" s="95">
        <v>5.0</v>
      </c>
      <c r="FN7" s="95" t="s">
        <v>13</v>
      </c>
      <c r="FO7" s="115">
        <v>3327.21696153846</v>
      </c>
      <c r="FP7" s="68">
        <v>1690.26</v>
      </c>
      <c r="FQ7" s="106">
        <f t="shared" si="28"/>
        <v>0.5080101537</v>
      </c>
      <c r="FS7" s="95">
        <v>5.0</v>
      </c>
      <c r="FT7" s="95" t="s">
        <v>18</v>
      </c>
      <c r="FU7" s="115">
        <v>4957.44530769231</v>
      </c>
      <c r="FV7" s="68">
        <v>2805.0</v>
      </c>
      <c r="FW7" s="106">
        <f t="shared" si="29"/>
        <v>0.5658156219</v>
      </c>
      <c r="FY7" s="95">
        <v>5.0</v>
      </c>
      <c r="FZ7" s="95" t="s">
        <v>9</v>
      </c>
      <c r="GA7" s="115">
        <v>2712.61778846154</v>
      </c>
      <c r="GB7" s="68">
        <v>2543.54</v>
      </c>
      <c r="GC7" s="106">
        <f t="shared" si="30"/>
        <v>0.9376698814</v>
      </c>
      <c r="GE7" s="16">
        <v>5.0</v>
      </c>
      <c r="GF7" s="16" t="s">
        <v>17</v>
      </c>
      <c r="GG7" s="41">
        <v>3011.91634615385</v>
      </c>
      <c r="GH7" s="20">
        <v>1568.0</v>
      </c>
      <c r="GI7" s="106">
        <f t="shared" si="31"/>
        <v>0.5205987882</v>
      </c>
      <c r="GK7" s="16">
        <v>5.0</v>
      </c>
      <c r="GL7" s="16" t="s">
        <v>20</v>
      </c>
      <c r="GM7" s="17">
        <v>3846.46377777778</v>
      </c>
      <c r="GN7" s="20">
        <v>6536.4</v>
      </c>
      <c r="GO7" s="106">
        <f t="shared" si="32"/>
        <v>1.699327064</v>
      </c>
      <c r="GQ7" s="16">
        <v>5.0</v>
      </c>
      <c r="GR7" s="16" t="s">
        <v>11</v>
      </c>
      <c r="GS7" s="17">
        <v>3563.13087403846</v>
      </c>
      <c r="GT7" s="20">
        <v>2083.5</v>
      </c>
      <c r="GU7" s="106">
        <f t="shared" si="33"/>
        <v>0.5847385554</v>
      </c>
      <c r="GW7" s="16">
        <v>5.0</v>
      </c>
      <c r="GX7" s="16" t="s">
        <v>17</v>
      </c>
      <c r="GY7" s="17">
        <v>2824.96158333333</v>
      </c>
      <c r="GZ7" s="20">
        <v>2976.01</v>
      </c>
      <c r="HA7" s="106">
        <f t="shared" si="34"/>
        <v>1.053469193</v>
      </c>
      <c r="HC7" s="16">
        <v>5.0</v>
      </c>
      <c r="HD7" s="16" t="s">
        <v>7</v>
      </c>
      <c r="HE7" s="17">
        <v>2356.85408333333</v>
      </c>
      <c r="HF7" s="18">
        <v>2465.0</v>
      </c>
      <c r="HG7" s="106">
        <f t="shared" si="35"/>
        <v>1.045885707</v>
      </c>
      <c r="HI7" s="16">
        <v>5.0</v>
      </c>
      <c r="HJ7" s="16" t="s">
        <v>13</v>
      </c>
      <c r="HK7" s="17">
        <v>3353.449538461538</v>
      </c>
      <c r="HL7" s="18">
        <v>3079.5</v>
      </c>
      <c r="HM7" s="106">
        <f t="shared" si="36"/>
        <v>0.9183081375</v>
      </c>
      <c r="HO7" s="16">
        <v>5.0</v>
      </c>
      <c r="HP7" s="16" t="s">
        <v>13</v>
      </c>
      <c r="HQ7" s="17">
        <v>3049.4403076923077</v>
      </c>
      <c r="HR7" s="18">
        <v>1897.5</v>
      </c>
      <c r="HS7" s="106">
        <f t="shared" si="37"/>
        <v>0.6222453331</v>
      </c>
      <c r="HU7" s="16">
        <v>5.0</v>
      </c>
      <c r="HV7" s="16" t="s">
        <v>20</v>
      </c>
      <c r="HW7" s="17">
        <v>4690.855583333334</v>
      </c>
      <c r="HX7" s="18">
        <v>2620.5</v>
      </c>
      <c r="HY7" s="106">
        <f t="shared" si="38"/>
        <v>0.5586400931</v>
      </c>
      <c r="HZ7" s="113"/>
      <c r="IA7" s="16">
        <v>5.0</v>
      </c>
      <c r="IB7" s="16" t="s">
        <v>9</v>
      </c>
      <c r="IC7" s="17">
        <v>2649.563933333334</v>
      </c>
      <c r="ID7" s="18">
        <v>1781.0</v>
      </c>
      <c r="IE7" s="106">
        <f t="shared" si="39"/>
        <v>0.6721860822</v>
      </c>
    </row>
    <row r="8">
      <c r="A8" s="95">
        <v>6.0</v>
      </c>
      <c r="B8" s="95" t="s">
        <v>7</v>
      </c>
      <c r="C8" s="103">
        <v>2000.0</v>
      </c>
      <c r="D8" s="68">
        <v>1924.1</v>
      </c>
      <c r="E8" s="104">
        <f t="shared" si="1"/>
        <v>0.96205</v>
      </c>
      <c r="F8" s="90"/>
      <c r="G8" s="95">
        <v>6.0</v>
      </c>
      <c r="H8" s="95" t="s">
        <v>7</v>
      </c>
      <c r="I8" s="105">
        <v>3140.65</v>
      </c>
      <c r="J8" s="96">
        <v>1963.5</v>
      </c>
      <c r="K8" s="106">
        <f t="shared" si="2"/>
        <v>0.6251890532</v>
      </c>
      <c r="L8" s="90"/>
      <c r="M8" s="95">
        <v>6.0</v>
      </c>
      <c r="N8" s="95" t="s">
        <v>13</v>
      </c>
      <c r="O8" s="96">
        <v>2738.74755555556</v>
      </c>
      <c r="P8" s="96">
        <v>2776.0</v>
      </c>
      <c r="Q8" s="106">
        <f t="shared" si="3"/>
        <v>1.013602</v>
      </c>
      <c r="R8" s="90"/>
      <c r="S8" s="95">
        <v>6.0</v>
      </c>
      <c r="T8" s="95" t="s">
        <v>18</v>
      </c>
      <c r="U8" s="68">
        <v>4690.08846153846</v>
      </c>
      <c r="V8" s="68">
        <v>4765.0</v>
      </c>
      <c r="W8" s="106">
        <f t="shared" si="4"/>
        <v>1.015972308</v>
      </c>
      <c r="X8" s="90"/>
      <c r="Y8" s="114">
        <v>6.0</v>
      </c>
      <c r="Z8" s="95" t="s">
        <v>9</v>
      </c>
      <c r="AA8" s="108">
        <v>3393.50875</v>
      </c>
      <c r="AB8" s="68">
        <v>1955.5</v>
      </c>
      <c r="AC8" s="106">
        <f t="shared" si="5"/>
        <v>0.5762472249</v>
      </c>
      <c r="AD8" s="90"/>
      <c r="AE8" s="114">
        <v>6.0</v>
      </c>
      <c r="AF8" s="110" t="s">
        <v>13</v>
      </c>
      <c r="AG8" s="108">
        <v>2743.68354782609</v>
      </c>
      <c r="AH8" s="68">
        <v>2261.52</v>
      </c>
      <c r="AI8" s="106">
        <f t="shared" si="6"/>
        <v>0.8242641546</v>
      </c>
      <c r="AJ8" s="90"/>
      <c r="AK8" s="114">
        <v>6.0</v>
      </c>
      <c r="AL8" s="95" t="s">
        <v>20</v>
      </c>
      <c r="AM8" s="68">
        <v>4138.3610625</v>
      </c>
      <c r="AN8" s="68">
        <v>4671.02</v>
      </c>
      <c r="AO8" s="106">
        <f t="shared" si="7"/>
        <v>1.128712534</v>
      </c>
      <c r="AP8" s="90"/>
      <c r="AQ8" s="95">
        <v>6.0</v>
      </c>
      <c r="AR8" s="95" t="s">
        <v>11</v>
      </c>
      <c r="AS8" s="68">
        <v>3715.95565384615</v>
      </c>
      <c r="AT8" s="68">
        <v>2961.01</v>
      </c>
      <c r="AU8" s="106">
        <f t="shared" si="8"/>
        <v>0.7968367429</v>
      </c>
      <c r="AV8" s="90"/>
      <c r="AW8" s="95">
        <v>6.0</v>
      </c>
      <c r="AX8" s="95" t="s">
        <v>17</v>
      </c>
      <c r="AY8" s="68">
        <v>3996.56007692308</v>
      </c>
      <c r="AZ8" s="68">
        <v>3473.51</v>
      </c>
      <c r="BA8" s="106">
        <f t="shared" si="9"/>
        <v>0.8691249307</v>
      </c>
      <c r="BB8" s="90"/>
      <c r="BC8" s="95">
        <v>6.0</v>
      </c>
      <c r="BD8" s="95" t="s">
        <v>7</v>
      </c>
      <c r="BE8" s="68">
        <v>2913.27507692308</v>
      </c>
      <c r="BF8" s="68">
        <v>1906.0</v>
      </c>
      <c r="BG8" s="106">
        <f t="shared" si="10"/>
        <v>0.6542464922</v>
      </c>
      <c r="BH8" s="90"/>
      <c r="BI8" s="95">
        <v>6.0</v>
      </c>
      <c r="BJ8" s="95" t="s">
        <v>11</v>
      </c>
      <c r="BK8" s="68">
        <v>3839.49681818182</v>
      </c>
      <c r="BL8" s="68">
        <v>2817.5</v>
      </c>
      <c r="BM8" s="106">
        <f t="shared" si="11"/>
        <v>0.7338201159</v>
      </c>
      <c r="BN8" s="90"/>
      <c r="BO8" s="95">
        <v>6.0</v>
      </c>
      <c r="BP8" s="95" t="s">
        <v>18</v>
      </c>
      <c r="BQ8" s="68">
        <v>5199.17766666667</v>
      </c>
      <c r="BR8" s="68">
        <v>5441.55</v>
      </c>
      <c r="BS8" s="106">
        <f t="shared" si="12"/>
        <v>1.046617436</v>
      </c>
      <c r="BT8" s="90"/>
      <c r="BU8" s="95">
        <v>6.0</v>
      </c>
      <c r="BV8" s="95" t="s">
        <v>9</v>
      </c>
      <c r="BW8" s="68">
        <v>3554.17122980769</v>
      </c>
      <c r="BX8" s="68">
        <v>4051.51</v>
      </c>
      <c r="BY8" s="106">
        <f t="shared" si="13"/>
        <v>1.13993101</v>
      </c>
      <c r="BZ8" s="90"/>
      <c r="CA8" s="95">
        <v>6.0</v>
      </c>
      <c r="CB8" s="95" t="s">
        <v>11</v>
      </c>
      <c r="CC8" s="68">
        <v>3949.32755769231</v>
      </c>
      <c r="CD8" s="68">
        <v>4626.51</v>
      </c>
      <c r="CE8" s="106">
        <f t="shared" si="14"/>
        <v>1.171467783</v>
      </c>
      <c r="CF8" s="90"/>
      <c r="CG8" s="95">
        <v>6.0</v>
      </c>
      <c r="CH8" s="95" t="s">
        <v>18</v>
      </c>
      <c r="CI8" s="96">
        <v>6207.68088028846</v>
      </c>
      <c r="CJ8" s="68">
        <v>5998.03</v>
      </c>
      <c r="CK8" s="106">
        <f t="shared" si="15"/>
        <v>0.9662271814</v>
      </c>
      <c r="CL8" s="90"/>
      <c r="CM8" s="95">
        <v>6.0</v>
      </c>
      <c r="CN8" s="95" t="s">
        <v>7</v>
      </c>
      <c r="CO8" s="96">
        <v>3518.0440625</v>
      </c>
      <c r="CP8" s="70">
        <v>1989.07</v>
      </c>
      <c r="CQ8" s="106">
        <f t="shared" si="16"/>
        <v>0.5653908719</v>
      </c>
      <c r="CR8" s="90"/>
      <c r="CS8" s="95">
        <v>6.0</v>
      </c>
      <c r="CT8" s="95" t="s">
        <v>13</v>
      </c>
      <c r="CU8" s="96">
        <v>3452.2635</v>
      </c>
      <c r="CV8" s="68">
        <v>1952.52</v>
      </c>
      <c r="CW8" s="106">
        <f t="shared" si="17"/>
        <v>0.5655767586</v>
      </c>
      <c r="CX8" s="90"/>
      <c r="CY8" s="95">
        <v>6.0</v>
      </c>
      <c r="CZ8" s="95" t="s">
        <v>18</v>
      </c>
      <c r="DA8" s="96">
        <v>5263.61373958333</v>
      </c>
      <c r="DB8" s="68">
        <v>3387.03</v>
      </c>
      <c r="DC8" s="106">
        <f t="shared" si="18"/>
        <v>0.6434799679</v>
      </c>
      <c r="DD8" s="90"/>
      <c r="DE8" s="95">
        <v>6.0</v>
      </c>
      <c r="DF8" s="95" t="s">
        <v>9</v>
      </c>
      <c r="DG8" s="96">
        <v>3652.4061875</v>
      </c>
      <c r="DH8" s="68">
        <v>2849.68</v>
      </c>
      <c r="DI8" s="106">
        <f t="shared" si="19"/>
        <v>0.7802199026</v>
      </c>
      <c r="DJ8" s="90"/>
      <c r="DK8" s="95">
        <v>6.0</v>
      </c>
      <c r="DL8" s="95" t="s">
        <v>17</v>
      </c>
      <c r="DM8" s="96">
        <v>3230.885088</v>
      </c>
      <c r="DN8" s="68">
        <v>2656.51</v>
      </c>
      <c r="DO8" s="106">
        <f t="shared" si="20"/>
        <v>0.8222236098</v>
      </c>
      <c r="DP8" s="90"/>
      <c r="DQ8" s="95">
        <v>6.0</v>
      </c>
      <c r="DR8" s="95" t="s">
        <v>20</v>
      </c>
      <c r="DS8" s="96">
        <v>3162.9469375</v>
      </c>
      <c r="DT8" s="68">
        <v>5339.56</v>
      </c>
      <c r="DU8" s="106">
        <f t="shared" si="21"/>
        <v>1.688159841</v>
      </c>
      <c r="DV8" s="90"/>
      <c r="DW8" s="95">
        <v>6.0</v>
      </c>
      <c r="DX8" s="95" t="s">
        <v>11</v>
      </c>
      <c r="DY8" s="96">
        <v>3406.579505</v>
      </c>
      <c r="DZ8" s="68">
        <v>2361.06</v>
      </c>
      <c r="EA8" s="106">
        <f t="shared" si="22"/>
        <v>0.6930881832</v>
      </c>
      <c r="EB8" s="90"/>
      <c r="EC8" s="95">
        <v>6.0</v>
      </c>
      <c r="ED8" s="95" t="s">
        <v>17</v>
      </c>
      <c r="EE8" s="96">
        <v>3996.95769230769</v>
      </c>
      <c r="EF8" s="68">
        <v>2907.85</v>
      </c>
      <c r="EG8" s="106">
        <f t="shared" si="23"/>
        <v>0.7275158318</v>
      </c>
      <c r="EH8" s="113"/>
      <c r="EI8" s="95">
        <v>6.0</v>
      </c>
      <c r="EJ8" s="95" t="s">
        <v>7</v>
      </c>
      <c r="EK8" s="96">
        <v>3161.80644230769</v>
      </c>
      <c r="EL8" s="68">
        <v>2484.0</v>
      </c>
      <c r="EM8" s="106">
        <f t="shared" si="40"/>
        <v>0.7856268387</v>
      </c>
      <c r="EN8" s="90"/>
      <c r="EO8" s="95">
        <v>6.0</v>
      </c>
      <c r="EP8" s="95" t="s">
        <v>13</v>
      </c>
      <c r="EQ8" s="96">
        <v>3504.97196296296</v>
      </c>
      <c r="ER8" s="68">
        <v>4774.27</v>
      </c>
      <c r="ES8" s="106">
        <f t="shared" si="24"/>
        <v>1.362142137</v>
      </c>
      <c r="ET8" s="90"/>
      <c r="EU8" s="95">
        <v>6.0</v>
      </c>
      <c r="EV8" s="95" t="s">
        <v>13</v>
      </c>
      <c r="EW8" s="96">
        <v>3699.33934615385</v>
      </c>
      <c r="EX8" s="68">
        <v>4310.26</v>
      </c>
      <c r="EY8" s="106">
        <f t="shared" si="25"/>
        <v>1.165143177</v>
      </c>
      <c r="FA8" s="95">
        <v>6.0</v>
      </c>
      <c r="FB8" s="95" t="s">
        <v>20</v>
      </c>
      <c r="FC8" s="96">
        <v>5046.12053846154</v>
      </c>
      <c r="FD8" s="68">
        <v>3215.25</v>
      </c>
      <c r="FE8" s="106">
        <f t="shared" si="26"/>
        <v>0.6371726508</v>
      </c>
      <c r="FG8" s="95">
        <v>6.0</v>
      </c>
      <c r="FH8" s="95" t="s">
        <v>9</v>
      </c>
      <c r="FI8" s="96">
        <v>3878.677</v>
      </c>
      <c r="FJ8" s="68">
        <v>2852.76</v>
      </c>
      <c r="FK8" s="106">
        <f t="shared" si="27"/>
        <v>0.7354982124</v>
      </c>
      <c r="FL8" s="113"/>
      <c r="FM8" s="95">
        <v>6.0</v>
      </c>
      <c r="FN8" s="95" t="s">
        <v>17</v>
      </c>
      <c r="FO8" s="96">
        <v>3504.46842307692</v>
      </c>
      <c r="FP8" s="68">
        <v>2939.29</v>
      </c>
      <c r="FQ8" s="106">
        <f t="shared" si="28"/>
        <v>0.8387263474</v>
      </c>
      <c r="FS8" s="95">
        <v>6.0</v>
      </c>
      <c r="FT8" s="95" t="s">
        <v>20</v>
      </c>
      <c r="FU8" s="96">
        <v>4348.39307692308</v>
      </c>
      <c r="FV8" s="68">
        <v>3583.24</v>
      </c>
      <c r="FW8" s="106">
        <f t="shared" si="29"/>
        <v>0.8240377391</v>
      </c>
      <c r="FY8" s="95">
        <v>6.0</v>
      </c>
      <c r="FZ8" s="95" t="s">
        <v>11</v>
      </c>
      <c r="GA8" s="96">
        <v>3303.29538461538</v>
      </c>
      <c r="GB8" s="68">
        <v>2101.01</v>
      </c>
      <c r="GC8" s="106">
        <f t="shared" si="30"/>
        <v>0.636034552</v>
      </c>
      <c r="GE8" s="16">
        <v>6.0</v>
      </c>
      <c r="GF8" s="16" t="s">
        <v>18</v>
      </c>
      <c r="GG8" s="17">
        <v>4334.40196296296</v>
      </c>
      <c r="GH8" s="20">
        <v>3452.51</v>
      </c>
      <c r="GI8" s="106">
        <f t="shared" si="31"/>
        <v>0.7965366455</v>
      </c>
      <c r="GK8" s="16">
        <v>6.0</v>
      </c>
      <c r="GL8" s="16" t="s">
        <v>7</v>
      </c>
      <c r="GM8" s="5">
        <v>2544.11846153846</v>
      </c>
      <c r="GN8" s="20">
        <v>4037.02</v>
      </c>
      <c r="GO8" s="106">
        <f t="shared" si="32"/>
        <v>1.586805041</v>
      </c>
      <c r="GQ8" s="16">
        <v>6.0</v>
      </c>
      <c r="GR8" s="16" t="s">
        <v>13</v>
      </c>
      <c r="GS8" s="5">
        <v>3624.13779903846</v>
      </c>
      <c r="GT8" s="20">
        <v>3006.26</v>
      </c>
      <c r="GU8" s="106">
        <f t="shared" si="33"/>
        <v>0.8295104013</v>
      </c>
      <c r="GW8" s="16">
        <v>6.0</v>
      </c>
      <c r="GX8" s="16" t="s">
        <v>18</v>
      </c>
      <c r="GY8" s="5">
        <v>3969.18954166667</v>
      </c>
      <c r="GZ8" s="20">
        <v>4037.5</v>
      </c>
      <c r="HA8" s="106">
        <f t="shared" si="34"/>
        <v>1.017210178</v>
      </c>
      <c r="HC8" s="16">
        <v>6.0</v>
      </c>
      <c r="HD8" s="16" t="s">
        <v>9</v>
      </c>
      <c r="HE8" s="17">
        <v>2287.03039583333</v>
      </c>
      <c r="HF8" s="18">
        <v>2457.51</v>
      </c>
      <c r="HG8" s="106">
        <f t="shared" si="35"/>
        <v>1.074541906</v>
      </c>
      <c r="HI8" s="16">
        <v>6.0</v>
      </c>
      <c r="HJ8" s="16" t="s">
        <v>17</v>
      </c>
      <c r="HK8" s="17">
        <v>3092.8636666666666</v>
      </c>
      <c r="HL8" s="18">
        <v>2657.5</v>
      </c>
      <c r="HM8" s="106">
        <f t="shared" si="36"/>
        <v>0.8592360629</v>
      </c>
      <c r="HO8" s="16">
        <v>6.0</v>
      </c>
      <c r="HP8" s="16" t="s">
        <v>17</v>
      </c>
      <c r="HQ8" s="17">
        <v>3011.8659999999995</v>
      </c>
      <c r="HR8" s="18">
        <v>2130.5</v>
      </c>
      <c r="HS8" s="106">
        <f t="shared" si="37"/>
        <v>0.7073687873</v>
      </c>
      <c r="HU8" s="16">
        <v>6.0</v>
      </c>
      <c r="HV8" s="16" t="s">
        <v>7</v>
      </c>
      <c r="HW8" s="17">
        <v>2460.2421250000007</v>
      </c>
      <c r="HX8" s="18">
        <v>1649.01</v>
      </c>
      <c r="HY8" s="106">
        <f t="shared" si="38"/>
        <v>0.6702632978</v>
      </c>
      <c r="HZ8" s="113"/>
      <c r="IA8" s="16">
        <v>6.0</v>
      </c>
      <c r="IB8" s="16" t="s">
        <v>11</v>
      </c>
      <c r="IC8" s="17">
        <v>2953.7709090909098</v>
      </c>
      <c r="ID8" s="18">
        <v>3419.5</v>
      </c>
      <c r="IE8" s="106">
        <f t="shared" si="39"/>
        <v>1.157672719</v>
      </c>
    </row>
    <row r="9">
      <c r="A9" s="95">
        <v>7.0</v>
      </c>
      <c r="B9" s="95" t="s">
        <v>9</v>
      </c>
      <c r="C9" s="103">
        <v>2600.0</v>
      </c>
      <c r="D9" s="68">
        <v>2705.14</v>
      </c>
      <c r="E9" s="104">
        <f t="shared" si="1"/>
        <v>1.040438462</v>
      </c>
      <c r="F9" s="90"/>
      <c r="G9" s="95">
        <v>7.0</v>
      </c>
      <c r="H9" s="95" t="s">
        <v>9</v>
      </c>
      <c r="I9" s="105">
        <v>3785.785</v>
      </c>
      <c r="J9" s="96">
        <v>2828.5</v>
      </c>
      <c r="K9" s="106">
        <f t="shared" si="2"/>
        <v>0.7471369874</v>
      </c>
      <c r="L9" s="90"/>
      <c r="M9" s="95">
        <v>7.0</v>
      </c>
      <c r="N9" s="95" t="s">
        <v>17</v>
      </c>
      <c r="O9" s="96">
        <v>3468.6145</v>
      </c>
      <c r="P9" s="96">
        <v>4051.5</v>
      </c>
      <c r="Q9" s="106">
        <f t="shared" si="3"/>
        <v>1.168045627</v>
      </c>
      <c r="R9" s="90"/>
      <c r="S9" s="95">
        <v>7.0</v>
      </c>
      <c r="T9" s="95" t="s">
        <v>20</v>
      </c>
      <c r="U9" s="68">
        <v>4046.23923076923</v>
      </c>
      <c r="V9" s="68">
        <v>4180.5</v>
      </c>
      <c r="W9" s="106">
        <f t="shared" si="4"/>
        <v>1.033181619</v>
      </c>
      <c r="X9" s="90"/>
      <c r="Y9" s="114">
        <v>7.0</v>
      </c>
      <c r="Z9" s="95" t="s">
        <v>11</v>
      </c>
      <c r="AA9" s="108">
        <v>3016.24352941176</v>
      </c>
      <c r="AB9" s="68">
        <v>3011.5</v>
      </c>
      <c r="AC9" s="106">
        <f t="shared" si="5"/>
        <v>0.9984273387</v>
      </c>
      <c r="AD9" s="90"/>
      <c r="AE9" s="114">
        <v>7.0</v>
      </c>
      <c r="AF9" s="110" t="s">
        <v>17</v>
      </c>
      <c r="AG9" s="108">
        <v>3548.44762608696</v>
      </c>
      <c r="AH9" s="68">
        <v>2952.01</v>
      </c>
      <c r="AI9" s="106">
        <f t="shared" si="6"/>
        <v>0.8319158999</v>
      </c>
      <c r="AJ9" s="90"/>
      <c r="AK9" s="114">
        <v>7.0</v>
      </c>
      <c r="AL9" s="95" t="s">
        <v>7</v>
      </c>
      <c r="AM9" s="68">
        <v>2705.10176086957</v>
      </c>
      <c r="AN9" s="68">
        <v>2794.5</v>
      </c>
      <c r="AO9" s="106">
        <f t="shared" si="7"/>
        <v>1.033048013</v>
      </c>
      <c r="AP9" s="90"/>
      <c r="AQ9" s="95">
        <v>7.0</v>
      </c>
      <c r="AR9" s="95" t="s">
        <v>13</v>
      </c>
      <c r="AS9" s="68">
        <v>3620.97675</v>
      </c>
      <c r="AT9" s="68">
        <v>4629.0</v>
      </c>
      <c r="AU9" s="106">
        <f t="shared" si="8"/>
        <v>1.278384348</v>
      </c>
      <c r="AV9" s="90"/>
      <c r="AW9" s="95">
        <v>7.0</v>
      </c>
      <c r="AX9" s="95" t="s">
        <v>18</v>
      </c>
      <c r="AY9" s="68">
        <v>5060.51798571429</v>
      </c>
      <c r="AZ9" s="68">
        <v>6836.0</v>
      </c>
      <c r="BA9" s="106">
        <f t="shared" si="9"/>
        <v>1.350849858</v>
      </c>
      <c r="BB9" s="90"/>
      <c r="BC9" s="95">
        <v>7.0</v>
      </c>
      <c r="BD9" s="95" t="s">
        <v>9</v>
      </c>
      <c r="BE9" s="68">
        <v>3379.77075</v>
      </c>
      <c r="BF9" s="68">
        <v>3034.5</v>
      </c>
      <c r="BG9" s="106">
        <f t="shared" si="10"/>
        <v>0.8978419616</v>
      </c>
      <c r="BH9" s="90"/>
      <c r="BI9" s="95">
        <v>7.0</v>
      </c>
      <c r="BJ9" s="95" t="s">
        <v>13</v>
      </c>
      <c r="BK9" s="68">
        <v>3758.82436363636</v>
      </c>
      <c r="BL9" s="68">
        <v>3965.53</v>
      </c>
      <c r="BM9" s="106">
        <f t="shared" si="11"/>
        <v>1.054992098</v>
      </c>
      <c r="BN9" s="90"/>
      <c r="BO9" s="95">
        <v>7.0</v>
      </c>
      <c r="BP9" s="95" t="s">
        <v>20</v>
      </c>
      <c r="BQ9" s="68">
        <v>5304.46266</v>
      </c>
      <c r="BR9" s="68">
        <v>4982.0</v>
      </c>
      <c r="BS9" s="106">
        <f t="shared" si="12"/>
        <v>0.9392091752</v>
      </c>
      <c r="BT9" s="90"/>
      <c r="BU9" s="95">
        <v>7.0</v>
      </c>
      <c r="BV9" s="95" t="s">
        <v>11</v>
      </c>
      <c r="BW9" s="68">
        <v>3944.74966442308</v>
      </c>
      <c r="BX9" s="68">
        <v>3850.0</v>
      </c>
      <c r="BY9" s="106">
        <f t="shared" si="13"/>
        <v>0.9759808169</v>
      </c>
      <c r="BZ9" s="90"/>
      <c r="CA9" s="95">
        <v>7.0</v>
      </c>
      <c r="CB9" s="95" t="s">
        <v>13</v>
      </c>
      <c r="CC9" s="68">
        <v>3966.21415384615</v>
      </c>
      <c r="CD9" s="68">
        <v>4090.51</v>
      </c>
      <c r="CE9" s="106">
        <f t="shared" si="14"/>
        <v>1.031338662</v>
      </c>
      <c r="CF9" s="90"/>
      <c r="CG9" s="95">
        <v>7.0</v>
      </c>
      <c r="CH9" s="95" t="s">
        <v>20</v>
      </c>
      <c r="CI9" s="96">
        <v>6371.97246875</v>
      </c>
      <c r="CJ9" s="68">
        <v>4436.54</v>
      </c>
      <c r="CK9" s="106">
        <f t="shared" si="15"/>
        <v>0.6962585011</v>
      </c>
      <c r="CL9" s="90"/>
      <c r="CM9" s="95">
        <v>7.0</v>
      </c>
      <c r="CN9" s="95" t="s">
        <v>9</v>
      </c>
      <c r="CO9" s="96">
        <v>4420.4125625</v>
      </c>
      <c r="CP9" s="70">
        <v>2624.08</v>
      </c>
      <c r="CQ9" s="106">
        <f t="shared" si="16"/>
        <v>0.5936278487</v>
      </c>
      <c r="CR9" s="90"/>
      <c r="CS9" s="95">
        <v>7.0</v>
      </c>
      <c r="CT9" s="95" t="s">
        <v>17</v>
      </c>
      <c r="CU9" s="96">
        <v>3827.424</v>
      </c>
      <c r="CV9" s="68">
        <v>2451.6</v>
      </c>
      <c r="CW9" s="106">
        <f t="shared" si="17"/>
        <v>0.640535253</v>
      </c>
      <c r="CX9" s="90"/>
      <c r="CY9" s="95">
        <v>7.0</v>
      </c>
      <c r="CZ9" s="95" t="s">
        <v>20</v>
      </c>
      <c r="DA9" s="96">
        <v>4936.90694791667</v>
      </c>
      <c r="DB9" s="68">
        <v>3640.0</v>
      </c>
      <c r="DC9" s="106">
        <f t="shared" si="18"/>
        <v>0.7373037488</v>
      </c>
      <c r="DD9" s="90"/>
      <c r="DE9" s="95">
        <v>7.0</v>
      </c>
      <c r="DF9" s="95" t="s">
        <v>11</v>
      </c>
      <c r="DG9" s="96">
        <v>3405.940125</v>
      </c>
      <c r="DH9" s="68">
        <v>1872.57</v>
      </c>
      <c r="DI9" s="106">
        <f t="shared" si="19"/>
        <v>0.5497953373</v>
      </c>
      <c r="DJ9" s="90"/>
      <c r="DK9" s="95">
        <v>7.0</v>
      </c>
      <c r="DL9" s="95" t="s">
        <v>18</v>
      </c>
      <c r="DM9" s="96">
        <v>4178.504736</v>
      </c>
      <c r="DN9" s="68">
        <v>3874.0</v>
      </c>
      <c r="DO9" s="106">
        <f t="shared" si="20"/>
        <v>0.9271259086</v>
      </c>
      <c r="DP9" s="90"/>
      <c r="DQ9" s="95">
        <v>7.0</v>
      </c>
      <c r="DR9" s="95" t="s">
        <v>7</v>
      </c>
      <c r="DS9" s="96">
        <v>2653.7599375</v>
      </c>
      <c r="DT9" s="68">
        <v>4573.11</v>
      </c>
      <c r="DU9" s="106">
        <f t="shared" si="21"/>
        <v>1.723256854</v>
      </c>
      <c r="DV9" s="90"/>
      <c r="DW9" s="95">
        <v>7.0</v>
      </c>
      <c r="DX9" s="95" t="s">
        <v>13</v>
      </c>
      <c r="DY9" s="96">
        <v>3326.5761375</v>
      </c>
      <c r="DZ9" s="68">
        <v>5680.52</v>
      </c>
      <c r="EA9" s="106">
        <f t="shared" si="22"/>
        <v>1.707617612</v>
      </c>
      <c r="EB9" s="90"/>
      <c r="EC9" s="95">
        <v>7.0</v>
      </c>
      <c r="ED9" s="95" t="s">
        <v>18</v>
      </c>
      <c r="EE9" s="96">
        <v>4853.73777777778</v>
      </c>
      <c r="EF9" s="68">
        <v>3392.75</v>
      </c>
      <c r="EG9" s="106">
        <f t="shared" si="23"/>
        <v>0.6989973821</v>
      </c>
      <c r="EH9" s="113"/>
      <c r="EI9" s="95">
        <v>7.0</v>
      </c>
      <c r="EJ9" s="95" t="s">
        <v>9</v>
      </c>
      <c r="EK9" s="96">
        <v>3526.95252</v>
      </c>
      <c r="EL9" s="68">
        <v>3829.85</v>
      </c>
      <c r="EM9" s="106">
        <f t="shared" si="40"/>
        <v>1.085880793</v>
      </c>
      <c r="EN9" s="90"/>
      <c r="EO9" s="95">
        <v>7.0</v>
      </c>
      <c r="EP9" s="95" t="s">
        <v>17</v>
      </c>
      <c r="EQ9" s="96">
        <v>3756.49266666667</v>
      </c>
      <c r="ER9" s="68">
        <v>5214.75</v>
      </c>
      <c r="ES9" s="106">
        <f t="shared" si="24"/>
        <v>1.388196507</v>
      </c>
      <c r="ET9" s="90"/>
      <c r="EU9" s="95">
        <v>7.0</v>
      </c>
      <c r="EV9" s="95" t="s">
        <v>17</v>
      </c>
      <c r="EW9" s="96">
        <v>4094.86380769231</v>
      </c>
      <c r="EX9" s="68">
        <v>4051.5</v>
      </c>
      <c r="EY9" s="106">
        <f t="shared" si="25"/>
        <v>0.9894101954</v>
      </c>
      <c r="FA9" s="95">
        <v>7.0</v>
      </c>
      <c r="FB9" s="95" t="s">
        <v>7</v>
      </c>
      <c r="FC9" s="96">
        <v>3488.60176923077</v>
      </c>
      <c r="FD9" s="68">
        <v>2848.51</v>
      </c>
      <c r="FE9" s="106">
        <f t="shared" si="26"/>
        <v>0.8165191066</v>
      </c>
      <c r="FG9" s="95">
        <v>7.0</v>
      </c>
      <c r="FH9" s="95" t="s">
        <v>11</v>
      </c>
      <c r="FI9" s="96">
        <v>3929.07108</v>
      </c>
      <c r="FJ9" s="68">
        <v>2315.5</v>
      </c>
      <c r="FK9" s="106">
        <f t="shared" si="27"/>
        <v>0.5893250473</v>
      </c>
      <c r="FL9" s="113"/>
      <c r="FM9" s="95">
        <v>7.0</v>
      </c>
      <c r="FN9" s="95" t="s">
        <v>18</v>
      </c>
      <c r="FO9" s="96">
        <v>4887.0415</v>
      </c>
      <c r="FP9" s="68">
        <v>3811.75</v>
      </c>
      <c r="FQ9" s="106">
        <f t="shared" si="28"/>
        <v>0.7799708679</v>
      </c>
      <c r="FS9" s="95">
        <v>7.0</v>
      </c>
      <c r="FT9" s="95" t="s">
        <v>7</v>
      </c>
      <c r="FU9" s="96">
        <v>2816.69469230769</v>
      </c>
      <c r="FV9" s="68">
        <v>3226.0</v>
      </c>
      <c r="FW9" s="106">
        <f t="shared" si="29"/>
        <v>1.145314048</v>
      </c>
      <c r="FY9" s="95">
        <v>7.0</v>
      </c>
      <c r="FZ9" s="95" t="s">
        <v>13</v>
      </c>
      <c r="GA9" s="96">
        <v>3318.94157692308</v>
      </c>
      <c r="GB9" s="68">
        <v>2547.42</v>
      </c>
      <c r="GC9" s="106">
        <f t="shared" si="30"/>
        <v>0.7675398741</v>
      </c>
      <c r="GE9" s="16">
        <v>7.0</v>
      </c>
      <c r="GF9" s="16" t="s">
        <v>20</v>
      </c>
      <c r="GG9" s="17">
        <v>3846.46377777778</v>
      </c>
      <c r="GH9" s="20">
        <v>3052.5</v>
      </c>
      <c r="GI9" s="106">
        <f t="shared" si="31"/>
        <v>0.7935860511</v>
      </c>
      <c r="GK9" s="16">
        <v>7.0</v>
      </c>
      <c r="GL9" s="16" t="s">
        <v>9</v>
      </c>
      <c r="GM9" s="17">
        <v>2506.32326923077</v>
      </c>
      <c r="GN9" s="20">
        <v>5475.01</v>
      </c>
      <c r="GO9" s="106">
        <f t="shared" si="32"/>
        <v>2.184478781</v>
      </c>
      <c r="GQ9" s="16">
        <v>7.0</v>
      </c>
      <c r="GR9" s="16" t="s">
        <v>17</v>
      </c>
      <c r="GS9" s="17">
        <v>3463.70379807693</v>
      </c>
      <c r="GT9" s="20">
        <v>3303.75</v>
      </c>
      <c r="GU9" s="106">
        <f t="shared" si="33"/>
        <v>0.9538200125</v>
      </c>
      <c r="GW9" s="16">
        <v>7.0</v>
      </c>
      <c r="GX9" s="16" t="s">
        <v>20</v>
      </c>
      <c r="GY9" s="17">
        <v>4064.60462</v>
      </c>
      <c r="GZ9" s="20">
        <v>3251.01</v>
      </c>
      <c r="HA9" s="106">
        <f t="shared" si="34"/>
        <v>0.799834253</v>
      </c>
      <c r="HC9" s="16">
        <v>7.0</v>
      </c>
      <c r="HD9" s="16" t="s">
        <v>11</v>
      </c>
      <c r="HE9" s="41">
        <v>2757.4024375</v>
      </c>
      <c r="HF9" s="18">
        <v>3659.0</v>
      </c>
      <c r="HG9" s="106">
        <f t="shared" si="35"/>
        <v>1.326973513</v>
      </c>
      <c r="HI9" s="16">
        <v>7.0</v>
      </c>
      <c r="HJ9" s="16" t="s">
        <v>18</v>
      </c>
      <c r="HK9" s="41">
        <v>4778.571148148147</v>
      </c>
      <c r="HL9" s="18">
        <v>5130.0</v>
      </c>
      <c r="HM9" s="106">
        <f t="shared" si="36"/>
        <v>1.073542664</v>
      </c>
      <c r="HO9" s="16">
        <v>7.0</v>
      </c>
      <c r="HP9" s="16" t="s">
        <v>18</v>
      </c>
      <c r="HQ9" s="41">
        <v>4793.871076923077</v>
      </c>
      <c r="HR9" s="18">
        <v>3652.01</v>
      </c>
      <c r="HS9" s="106">
        <f t="shared" si="37"/>
        <v>0.7618081382</v>
      </c>
      <c r="HU9" s="16">
        <v>7.0</v>
      </c>
      <c r="HV9" s="16" t="s">
        <v>9</v>
      </c>
      <c r="HW9" s="41">
        <v>2676.4526250000004</v>
      </c>
      <c r="HX9" s="18">
        <v>1514.0</v>
      </c>
      <c r="HY9" s="106">
        <f t="shared" si="38"/>
        <v>0.5656741262</v>
      </c>
      <c r="HZ9" s="113"/>
      <c r="IA9" s="16">
        <v>7.0</v>
      </c>
      <c r="IB9" s="16" t="s">
        <v>13</v>
      </c>
      <c r="IC9" s="41">
        <v>2785.570200000001</v>
      </c>
      <c r="ID9" s="18">
        <v>3043.5</v>
      </c>
      <c r="IE9" s="106">
        <f t="shared" si="39"/>
        <v>1.092594974</v>
      </c>
    </row>
    <row r="10">
      <c r="A10" s="95">
        <v>8.0</v>
      </c>
      <c r="B10" s="95" t="s">
        <v>11</v>
      </c>
      <c r="C10" s="103">
        <v>2400.0</v>
      </c>
      <c r="D10" s="68">
        <v>2399.9</v>
      </c>
      <c r="E10" s="104">
        <f t="shared" si="1"/>
        <v>0.9999583333</v>
      </c>
      <c r="F10" s="90"/>
      <c r="G10" s="95">
        <v>8.0</v>
      </c>
      <c r="H10" s="95" t="s">
        <v>11</v>
      </c>
      <c r="I10" s="105">
        <v>3528.2075</v>
      </c>
      <c r="J10" s="96">
        <v>3716.0</v>
      </c>
      <c r="K10" s="106">
        <f t="shared" si="2"/>
        <v>1.053226036</v>
      </c>
      <c r="L10" s="90"/>
      <c r="M10" s="95">
        <v>8.0</v>
      </c>
      <c r="N10" s="95" t="s">
        <v>18</v>
      </c>
      <c r="O10" s="96">
        <v>4968.2295</v>
      </c>
      <c r="P10" s="96">
        <v>5664.5</v>
      </c>
      <c r="Q10" s="106">
        <f t="shared" si="3"/>
        <v>1.140144593</v>
      </c>
      <c r="R10" s="90"/>
      <c r="S10" s="95">
        <v>8.0</v>
      </c>
      <c r="T10" s="95" t="s">
        <v>7</v>
      </c>
      <c r="U10" s="68">
        <v>2494.38333333333</v>
      </c>
      <c r="V10" s="68">
        <v>1962.0</v>
      </c>
      <c r="W10" s="106">
        <f t="shared" si="4"/>
        <v>0.7865671542</v>
      </c>
      <c r="X10" s="90"/>
      <c r="Y10" s="114">
        <v>8.0</v>
      </c>
      <c r="Z10" s="95" t="s">
        <v>13</v>
      </c>
      <c r="AA10" s="108">
        <v>2559.51111111111</v>
      </c>
      <c r="AB10" s="68">
        <v>4296.0</v>
      </c>
      <c r="AC10" s="106">
        <f t="shared" si="5"/>
        <v>1.678445536</v>
      </c>
      <c r="AD10" s="90"/>
      <c r="AE10" s="114">
        <v>8.0</v>
      </c>
      <c r="AF10" s="110" t="s">
        <v>18</v>
      </c>
      <c r="AG10" s="108">
        <v>4238.41114090909</v>
      </c>
      <c r="AH10" s="68">
        <v>2952.01</v>
      </c>
      <c r="AI10" s="106">
        <f t="shared" si="6"/>
        <v>0.6964897698</v>
      </c>
      <c r="AJ10" s="90"/>
      <c r="AK10" s="114">
        <v>8.0</v>
      </c>
      <c r="AL10" s="95" t="s">
        <v>9</v>
      </c>
      <c r="AM10" s="68">
        <v>3417.11331818182</v>
      </c>
      <c r="AN10" s="68">
        <v>3748.51</v>
      </c>
      <c r="AO10" s="106">
        <f t="shared" si="7"/>
        <v>1.096981473</v>
      </c>
      <c r="AP10" s="90"/>
      <c r="AQ10" s="95">
        <v>8.0</v>
      </c>
      <c r="AR10" s="95" t="s">
        <v>17</v>
      </c>
      <c r="AS10" s="68">
        <v>3514.63915384615</v>
      </c>
      <c r="AT10" s="68">
        <v>3444.0</v>
      </c>
      <c r="AU10" s="106">
        <f t="shared" si="8"/>
        <v>0.9799014491</v>
      </c>
      <c r="AV10" s="90"/>
      <c r="AW10" s="95">
        <v>8.0</v>
      </c>
      <c r="AX10" s="95" t="s">
        <v>20</v>
      </c>
      <c r="AY10" s="68">
        <v>4746.31186153846</v>
      </c>
      <c r="AZ10" s="68">
        <v>4521.0</v>
      </c>
      <c r="BA10" s="106">
        <f t="shared" si="9"/>
        <v>0.9525290651</v>
      </c>
      <c r="BB10" s="90"/>
      <c r="BC10" s="95">
        <v>8.0</v>
      </c>
      <c r="BD10" s="95" t="s">
        <v>11</v>
      </c>
      <c r="BE10" s="68">
        <v>3500.343</v>
      </c>
      <c r="BF10" s="68">
        <v>3194.02</v>
      </c>
      <c r="BG10" s="106">
        <f t="shared" si="10"/>
        <v>0.9124877191</v>
      </c>
      <c r="BH10" s="90"/>
      <c r="BI10" s="95">
        <v>8.0</v>
      </c>
      <c r="BJ10" s="95" t="s">
        <v>17</v>
      </c>
      <c r="BK10" s="68">
        <v>4128.831</v>
      </c>
      <c r="BL10" s="68">
        <v>3688.0</v>
      </c>
      <c r="BM10" s="106">
        <f t="shared" si="11"/>
        <v>0.893231038</v>
      </c>
      <c r="BN10" s="90"/>
      <c r="BO10" s="95">
        <v>8.0</v>
      </c>
      <c r="BP10" s="95" t="s">
        <v>7</v>
      </c>
      <c r="BQ10" s="68">
        <v>3068.69284615385</v>
      </c>
      <c r="BR10" s="68">
        <v>2145.5</v>
      </c>
      <c r="BS10" s="106">
        <f t="shared" si="12"/>
        <v>0.6991576243</v>
      </c>
      <c r="BT10" s="90"/>
      <c r="BU10" s="95">
        <v>8.0</v>
      </c>
      <c r="BV10" s="95" t="s">
        <v>13</v>
      </c>
      <c r="BW10" s="68">
        <v>3978.47259519231</v>
      </c>
      <c r="BX10" s="68">
        <v>2967.53</v>
      </c>
      <c r="BY10" s="106">
        <f t="shared" si="13"/>
        <v>0.7458968056</v>
      </c>
      <c r="BZ10" s="90"/>
      <c r="CA10" s="95">
        <v>8.0</v>
      </c>
      <c r="CB10" s="95" t="s">
        <v>17</v>
      </c>
      <c r="CC10" s="68">
        <v>4398.80697115385</v>
      </c>
      <c r="CD10" s="68">
        <v>6856.5</v>
      </c>
      <c r="CE10" s="106">
        <f t="shared" si="14"/>
        <v>1.55871809</v>
      </c>
      <c r="CF10" s="90"/>
      <c r="CG10" s="95">
        <v>8.0</v>
      </c>
      <c r="CH10" s="95" t="s">
        <v>7</v>
      </c>
      <c r="CI10" s="96">
        <v>3421.84686778846</v>
      </c>
      <c r="CJ10" s="68">
        <v>2049.0</v>
      </c>
      <c r="CK10" s="106">
        <f t="shared" si="15"/>
        <v>0.5987994434</v>
      </c>
      <c r="CL10" s="90"/>
      <c r="CM10" s="95">
        <v>8.0</v>
      </c>
      <c r="CN10" s="95" t="s">
        <v>11</v>
      </c>
      <c r="CO10" s="96">
        <v>4042.78086666667</v>
      </c>
      <c r="CP10" s="70">
        <v>2410.55</v>
      </c>
      <c r="CQ10" s="106">
        <f t="shared" si="16"/>
        <v>0.5962603662</v>
      </c>
      <c r="CR10" s="90"/>
      <c r="CS10" s="95">
        <v>8.0</v>
      </c>
      <c r="CT10" s="95" t="s">
        <v>18</v>
      </c>
      <c r="CU10" s="96">
        <v>5622.48052631579</v>
      </c>
      <c r="CV10" s="68">
        <v>2090.0</v>
      </c>
      <c r="CW10" s="106">
        <f t="shared" si="17"/>
        <v>0.3717220523</v>
      </c>
      <c r="CX10" s="90"/>
      <c r="CY10" s="95">
        <v>8.0</v>
      </c>
      <c r="CZ10" s="95" t="s">
        <v>7</v>
      </c>
      <c r="DA10" s="96">
        <v>2939.27120833333</v>
      </c>
      <c r="DB10" s="68">
        <v>3263.04</v>
      </c>
      <c r="DC10" s="106">
        <f t="shared" si="18"/>
        <v>1.110152745</v>
      </c>
      <c r="DD10" s="90"/>
      <c r="DE10" s="95">
        <v>8.0</v>
      </c>
      <c r="DF10" s="95" t="s">
        <v>13</v>
      </c>
      <c r="DG10" s="96">
        <v>3410.6576875</v>
      </c>
      <c r="DH10" s="68">
        <v>3432.62</v>
      </c>
      <c r="DI10" s="106">
        <f t="shared" si="19"/>
        <v>1.006439319</v>
      </c>
      <c r="DJ10" s="90"/>
      <c r="DK10" s="95">
        <v>8.0</v>
      </c>
      <c r="DL10" s="95" t="s">
        <v>20</v>
      </c>
      <c r="DM10" s="96">
        <v>3817.06353333333</v>
      </c>
      <c r="DN10" s="68">
        <v>2695.5</v>
      </c>
      <c r="DO10" s="106">
        <f t="shared" si="20"/>
        <v>0.706171112</v>
      </c>
      <c r="DP10" s="90"/>
      <c r="DQ10" s="95">
        <v>8.0</v>
      </c>
      <c r="DR10" s="95" t="s">
        <v>9</v>
      </c>
      <c r="DS10" s="96">
        <v>3195.7760625</v>
      </c>
      <c r="DT10" s="68">
        <v>4419.53</v>
      </c>
      <c r="DU10" s="106">
        <f t="shared" si="21"/>
        <v>1.382928564</v>
      </c>
      <c r="DV10" s="90"/>
      <c r="DW10" s="95">
        <v>8.0</v>
      </c>
      <c r="DX10" s="95" t="s">
        <v>17</v>
      </c>
      <c r="DY10" s="112">
        <v>3392.4293424</v>
      </c>
      <c r="DZ10" s="68">
        <v>6553.12</v>
      </c>
      <c r="EA10" s="106">
        <f t="shared" si="22"/>
        <v>1.931689459</v>
      </c>
      <c r="EB10" s="90"/>
      <c r="EC10" s="95">
        <v>8.0</v>
      </c>
      <c r="ED10" s="95" t="s">
        <v>20</v>
      </c>
      <c r="EE10" s="112">
        <v>4361.21492307692</v>
      </c>
      <c r="EF10" s="68">
        <v>2658.25</v>
      </c>
      <c r="EG10" s="106">
        <f t="shared" si="23"/>
        <v>0.6095205228</v>
      </c>
      <c r="EH10" s="113"/>
      <c r="EI10" s="95">
        <v>8.0</v>
      </c>
      <c r="EJ10" s="95" t="s">
        <v>11</v>
      </c>
      <c r="EK10" s="112">
        <v>3307.11473076923</v>
      </c>
      <c r="EL10" s="68">
        <v>4595.25</v>
      </c>
      <c r="EM10" s="106">
        <f t="shared" si="40"/>
        <v>1.389504258</v>
      </c>
      <c r="EN10" s="90"/>
      <c r="EO10" s="95">
        <v>8.0</v>
      </c>
      <c r="EP10" s="95" t="s">
        <v>18</v>
      </c>
      <c r="EQ10" s="112">
        <v>4710.96407692308</v>
      </c>
      <c r="ER10" s="68">
        <v>6359.77</v>
      </c>
      <c r="ES10" s="106">
        <f t="shared" si="24"/>
        <v>1.349993313</v>
      </c>
      <c r="ET10" s="90"/>
      <c r="EU10" s="95">
        <v>8.0</v>
      </c>
      <c r="EV10" s="95" t="s">
        <v>18</v>
      </c>
      <c r="EW10" s="112">
        <v>5238.86836</v>
      </c>
      <c r="EX10" s="68">
        <v>6328.75</v>
      </c>
      <c r="EY10" s="106">
        <f t="shared" si="25"/>
        <v>1.208037608</v>
      </c>
      <c r="FA10" s="95">
        <v>8.0</v>
      </c>
      <c r="FB10" s="95" t="s">
        <v>9</v>
      </c>
      <c r="FC10" s="112">
        <v>3878.677</v>
      </c>
      <c r="FD10" s="68">
        <v>1988.75</v>
      </c>
      <c r="FE10" s="106">
        <f t="shared" si="26"/>
        <v>0.5127392665</v>
      </c>
      <c r="FG10" s="95">
        <v>8.0</v>
      </c>
      <c r="FH10" s="95" t="s">
        <v>13</v>
      </c>
      <c r="FI10" s="112">
        <v>3926.07684615385</v>
      </c>
      <c r="FJ10" s="68">
        <v>2369.26</v>
      </c>
      <c r="FK10" s="106">
        <f t="shared" si="27"/>
        <v>0.6034675563</v>
      </c>
      <c r="FL10" s="113"/>
      <c r="FM10" s="95">
        <v>8.0</v>
      </c>
      <c r="FN10" s="95" t="s">
        <v>20</v>
      </c>
      <c r="FO10" s="112">
        <v>4213.64815384615</v>
      </c>
      <c r="FP10" s="68">
        <v>4635.29</v>
      </c>
      <c r="FQ10" s="106">
        <f t="shared" si="28"/>
        <v>1.100065746</v>
      </c>
      <c r="FS10" s="95">
        <v>8.0</v>
      </c>
      <c r="FT10" s="95" t="s">
        <v>9</v>
      </c>
      <c r="FU10" s="112">
        <v>2925.96392</v>
      </c>
      <c r="FV10" s="68">
        <v>1465.51</v>
      </c>
      <c r="FW10" s="106">
        <f t="shared" si="29"/>
        <v>0.5008640025</v>
      </c>
      <c r="FY10" s="95">
        <v>8.0</v>
      </c>
      <c r="FZ10" s="95" t="s">
        <v>17</v>
      </c>
      <c r="GA10" s="112">
        <v>3374.18556</v>
      </c>
      <c r="GB10" s="68">
        <v>1932.5</v>
      </c>
      <c r="GC10" s="106">
        <f t="shared" si="30"/>
        <v>0.5727308014</v>
      </c>
      <c r="GE10" s="16">
        <v>8.0</v>
      </c>
      <c r="GF10" s="16" t="s">
        <v>7</v>
      </c>
      <c r="GG10" s="5">
        <v>2544.11846153846</v>
      </c>
      <c r="GH10" s="20">
        <v>2873.5</v>
      </c>
      <c r="GI10" s="106">
        <f t="shared" si="31"/>
        <v>1.129467847</v>
      </c>
      <c r="GK10" s="16">
        <v>8.0</v>
      </c>
      <c r="GL10" s="16" t="s">
        <v>11</v>
      </c>
      <c r="GM10" s="17">
        <v>3098.37467307692</v>
      </c>
      <c r="GN10" s="20">
        <v>7205.5</v>
      </c>
      <c r="GO10" s="106">
        <f t="shared" si="32"/>
        <v>2.325574135</v>
      </c>
      <c r="GQ10" s="16">
        <v>8.0</v>
      </c>
      <c r="GR10" s="16" t="s">
        <v>18</v>
      </c>
      <c r="GS10" s="17">
        <v>4984.5622574074</v>
      </c>
      <c r="GT10" s="20">
        <v>5357.5</v>
      </c>
      <c r="GU10" s="106">
        <f t="shared" si="33"/>
        <v>1.074818554</v>
      </c>
      <c r="GW10" s="16">
        <v>8.0</v>
      </c>
      <c r="GX10" s="16" t="s">
        <v>7</v>
      </c>
      <c r="GY10" s="17">
        <v>2356.85408333333</v>
      </c>
      <c r="GZ10" s="20">
        <v>2690.5</v>
      </c>
      <c r="HA10" s="106">
        <f t="shared" si="34"/>
        <v>1.141564096</v>
      </c>
      <c r="HC10" s="16">
        <v>8.0</v>
      </c>
      <c r="HD10" s="16" t="s">
        <v>13</v>
      </c>
      <c r="HE10" s="17">
        <v>3129.20941666667</v>
      </c>
      <c r="HF10" s="18">
        <v>2701.5</v>
      </c>
      <c r="HG10" s="106">
        <f t="shared" si="35"/>
        <v>0.8633171004</v>
      </c>
      <c r="HI10" s="16">
        <v>8.0</v>
      </c>
      <c r="HJ10" s="16" t="s">
        <v>20</v>
      </c>
      <c r="HK10" s="17">
        <v>4579.572019230769</v>
      </c>
      <c r="HL10" s="18">
        <v>7023.5</v>
      </c>
      <c r="HM10" s="106">
        <f t="shared" si="36"/>
        <v>1.533658597</v>
      </c>
      <c r="HO10" s="16">
        <v>8.0</v>
      </c>
      <c r="HP10" s="16" t="s">
        <v>20</v>
      </c>
      <c r="HQ10" s="17">
        <v>4694.977760000001</v>
      </c>
      <c r="HR10" s="18">
        <v>3740.5</v>
      </c>
      <c r="HS10" s="106">
        <f t="shared" si="37"/>
        <v>0.7967023895</v>
      </c>
      <c r="HU10" s="16">
        <v>8.0</v>
      </c>
      <c r="HV10" s="16" t="s">
        <v>11</v>
      </c>
      <c r="HW10" s="17">
        <v>2951.8025000000002</v>
      </c>
      <c r="HX10" s="18">
        <v>2793.0</v>
      </c>
      <c r="HY10" s="106">
        <f t="shared" si="38"/>
        <v>0.9462015159</v>
      </c>
      <c r="HZ10" s="113"/>
      <c r="IA10" s="16">
        <v>8.0</v>
      </c>
      <c r="IB10" s="16" t="s">
        <v>17</v>
      </c>
      <c r="IC10" s="17">
        <v>2874.878330434783</v>
      </c>
      <c r="ID10" s="18">
        <v>1952.0</v>
      </c>
      <c r="IE10" s="106">
        <f t="shared" si="39"/>
        <v>0.6789852563</v>
      </c>
    </row>
    <row r="11">
      <c r="A11" s="95">
        <v>9.0</v>
      </c>
      <c r="B11" s="95" t="s">
        <v>13</v>
      </c>
      <c r="C11" s="103">
        <v>2900.0</v>
      </c>
      <c r="D11" s="68">
        <v>3475.38</v>
      </c>
      <c r="E11" s="104">
        <f t="shared" si="1"/>
        <v>1.198406897</v>
      </c>
      <c r="F11" s="90"/>
      <c r="G11" s="95">
        <v>9.0</v>
      </c>
      <c r="H11" s="95" t="s">
        <v>13</v>
      </c>
      <c r="I11" s="105">
        <v>2599.55</v>
      </c>
      <c r="J11" s="96">
        <v>2288.5</v>
      </c>
      <c r="K11" s="106">
        <f t="shared" si="2"/>
        <v>0.880344675</v>
      </c>
      <c r="L11" s="90"/>
      <c r="M11" s="95">
        <v>9.0</v>
      </c>
      <c r="N11" s="95" t="s">
        <v>20</v>
      </c>
      <c r="O11" s="96">
        <v>4495.4793</v>
      </c>
      <c r="P11" s="96">
        <v>3716.0</v>
      </c>
      <c r="Q11" s="106">
        <f t="shared" si="3"/>
        <v>0.8266081884</v>
      </c>
      <c r="R11" s="90"/>
      <c r="S11" s="95">
        <v>9.0</v>
      </c>
      <c r="T11" s="95" t="s">
        <v>9</v>
      </c>
      <c r="U11" s="68">
        <v>3175.47</v>
      </c>
      <c r="V11" s="68">
        <v>2081.5</v>
      </c>
      <c r="W11" s="106">
        <f t="shared" si="4"/>
        <v>0.6554935175</v>
      </c>
      <c r="X11" s="90"/>
      <c r="Y11" s="114">
        <v>9.0</v>
      </c>
      <c r="Z11" s="95" t="s">
        <v>17</v>
      </c>
      <c r="AA11" s="108">
        <v>3615.61944444444</v>
      </c>
      <c r="AB11" s="68">
        <v>3098.5</v>
      </c>
      <c r="AC11" s="106">
        <f t="shared" si="5"/>
        <v>0.856976252</v>
      </c>
      <c r="AD11" s="90"/>
      <c r="AE11" s="116">
        <v>9.0</v>
      </c>
      <c r="AF11" s="110" t="s">
        <v>20</v>
      </c>
      <c r="AG11" s="117">
        <v>3814.78206190476</v>
      </c>
      <c r="AH11" s="75">
        <v>4798.5</v>
      </c>
      <c r="AI11" s="106">
        <f t="shared" si="6"/>
        <v>1.257870023</v>
      </c>
      <c r="AJ11" s="90"/>
      <c r="AK11" s="116">
        <v>9.0</v>
      </c>
      <c r="AL11" s="95" t="s">
        <v>11</v>
      </c>
      <c r="AM11" s="68">
        <v>3259.27532608696</v>
      </c>
      <c r="AN11" s="68">
        <v>3880.5</v>
      </c>
      <c r="AO11" s="106">
        <f t="shared" si="7"/>
        <v>1.190602085</v>
      </c>
      <c r="AP11" s="90"/>
      <c r="AQ11" s="95">
        <v>9.0</v>
      </c>
      <c r="AR11" s="95" t="s">
        <v>18</v>
      </c>
      <c r="AS11" s="68">
        <v>4983.30807692308</v>
      </c>
      <c r="AT11" s="68">
        <v>4754.01</v>
      </c>
      <c r="AU11" s="106">
        <f t="shared" si="8"/>
        <v>0.9539867748</v>
      </c>
      <c r="AV11" s="90"/>
      <c r="AW11" s="95">
        <v>9.0</v>
      </c>
      <c r="AX11" s="95" t="s">
        <v>7</v>
      </c>
      <c r="AY11" s="68">
        <v>2984.17084615385</v>
      </c>
      <c r="AZ11" s="68">
        <v>1880.5</v>
      </c>
      <c r="BA11" s="106">
        <f t="shared" si="9"/>
        <v>0.6301582908</v>
      </c>
      <c r="BB11" s="90"/>
      <c r="BC11" s="95">
        <v>9.0</v>
      </c>
      <c r="BD11" s="95" t="s">
        <v>13</v>
      </c>
      <c r="BE11" s="68">
        <v>3575.83073076923</v>
      </c>
      <c r="BF11" s="68">
        <v>3569.03</v>
      </c>
      <c r="BG11" s="106">
        <f t="shared" si="10"/>
        <v>0.9980981396</v>
      </c>
      <c r="BH11" s="90"/>
      <c r="BI11" s="95">
        <v>9.0</v>
      </c>
      <c r="BJ11" s="95" t="s">
        <v>18</v>
      </c>
      <c r="BK11" s="68">
        <v>5319.04179545455</v>
      </c>
      <c r="BL11" s="68">
        <v>5054.5</v>
      </c>
      <c r="BM11" s="106">
        <f t="shared" si="11"/>
        <v>0.9502651407</v>
      </c>
      <c r="BN11" s="90"/>
      <c r="BO11" s="95">
        <v>9.0</v>
      </c>
      <c r="BP11" s="95" t="s">
        <v>9</v>
      </c>
      <c r="BQ11" s="68">
        <v>3384.92498076923</v>
      </c>
      <c r="BR11" s="68">
        <v>2845.0</v>
      </c>
      <c r="BS11" s="106">
        <f t="shared" si="12"/>
        <v>0.8404913007</v>
      </c>
      <c r="BT11" s="90"/>
      <c r="BU11" s="95">
        <v>9.0</v>
      </c>
      <c r="BV11" s="95" t="s">
        <v>17</v>
      </c>
      <c r="BW11" s="68">
        <v>4231.46411826923</v>
      </c>
      <c r="BX11" s="68">
        <v>3114.53</v>
      </c>
      <c r="BY11" s="106">
        <f t="shared" si="13"/>
        <v>0.7360407445</v>
      </c>
      <c r="BZ11" s="90"/>
      <c r="CA11" s="95">
        <v>9.0</v>
      </c>
      <c r="CB11" s="95" t="s">
        <v>18</v>
      </c>
      <c r="CC11" s="68">
        <v>5912.07702884615</v>
      </c>
      <c r="CD11" s="68">
        <v>7348.01</v>
      </c>
      <c r="CE11" s="106">
        <f t="shared" si="14"/>
        <v>1.242881303</v>
      </c>
      <c r="CF11" s="90"/>
      <c r="CG11" s="95">
        <v>9.0</v>
      </c>
      <c r="CH11" s="95" t="s">
        <v>9</v>
      </c>
      <c r="CI11" s="96">
        <v>3787.98645144231</v>
      </c>
      <c r="CJ11" s="68">
        <v>3501.51</v>
      </c>
      <c r="CK11" s="106">
        <f t="shared" si="15"/>
        <v>0.9243723664</v>
      </c>
      <c r="CL11" s="90"/>
      <c r="CM11" s="95">
        <v>9.0</v>
      </c>
      <c r="CN11" s="95" t="s">
        <v>13</v>
      </c>
      <c r="CO11" s="96">
        <v>4144.624</v>
      </c>
      <c r="CP11" s="70">
        <v>2216.54</v>
      </c>
      <c r="CQ11" s="106">
        <f t="shared" si="16"/>
        <v>0.5347988141</v>
      </c>
      <c r="CR11" s="90"/>
      <c r="CS11" s="95">
        <v>9.0</v>
      </c>
      <c r="CT11" s="95" t="s">
        <v>20</v>
      </c>
      <c r="CU11" s="96">
        <v>5211.90105263158</v>
      </c>
      <c r="CV11" s="68">
        <v>1864.57</v>
      </c>
      <c r="CW11" s="106">
        <f t="shared" si="17"/>
        <v>0.3577523789</v>
      </c>
      <c r="CX11" s="90"/>
      <c r="CY11" s="95">
        <v>9.0</v>
      </c>
      <c r="CZ11" s="95" t="s">
        <v>9</v>
      </c>
      <c r="DA11" s="96">
        <v>3688.52485416667</v>
      </c>
      <c r="DB11" s="68">
        <v>2942.51</v>
      </c>
      <c r="DC11" s="106">
        <f t="shared" si="18"/>
        <v>0.7977470985</v>
      </c>
      <c r="DD11" s="90"/>
      <c r="DE11" s="95">
        <v>9.0</v>
      </c>
      <c r="DF11" s="95" t="s">
        <v>17</v>
      </c>
      <c r="DG11" s="96">
        <v>3693.521125</v>
      </c>
      <c r="DH11" s="68">
        <v>2343.63</v>
      </c>
      <c r="DI11" s="106">
        <f t="shared" si="19"/>
        <v>0.6345245961</v>
      </c>
      <c r="DJ11" s="90"/>
      <c r="DK11" s="95">
        <v>9.0</v>
      </c>
      <c r="DL11" s="95" t="s">
        <v>7</v>
      </c>
      <c r="DM11" s="96">
        <v>2758.34121739131</v>
      </c>
      <c r="DN11" s="68">
        <v>2681.05</v>
      </c>
      <c r="DO11" s="106">
        <f t="shared" si="20"/>
        <v>0.9719790949</v>
      </c>
      <c r="DP11" s="90"/>
      <c r="DQ11" s="95">
        <v>9.0</v>
      </c>
      <c r="DR11" s="95" t="s">
        <v>11</v>
      </c>
      <c r="DS11" s="96">
        <v>3018.05525</v>
      </c>
      <c r="DT11" s="68">
        <v>4276.57</v>
      </c>
      <c r="DU11" s="106">
        <f t="shared" si="21"/>
        <v>1.416995265</v>
      </c>
      <c r="DV11" s="90"/>
      <c r="DW11" s="95">
        <v>9.0</v>
      </c>
      <c r="DX11" s="95" t="s">
        <v>18</v>
      </c>
      <c r="DY11" s="96">
        <v>4387.4299728</v>
      </c>
      <c r="DZ11" s="68">
        <v>8614.0</v>
      </c>
      <c r="EA11" s="106">
        <f t="shared" si="22"/>
        <v>1.963336179</v>
      </c>
      <c r="EB11" s="90"/>
      <c r="EC11" s="95">
        <v>9.0</v>
      </c>
      <c r="ED11" s="95" t="s">
        <v>7</v>
      </c>
      <c r="EE11" s="96">
        <v>3478.47696</v>
      </c>
      <c r="EF11" s="68">
        <v>2929.75</v>
      </c>
      <c r="EG11" s="106">
        <f t="shared" si="23"/>
        <v>0.8422507993</v>
      </c>
      <c r="EH11" s="113"/>
      <c r="EI11" s="95">
        <v>9.0</v>
      </c>
      <c r="EJ11" s="95" t="s">
        <v>13</v>
      </c>
      <c r="EK11" s="96">
        <v>3270.15311538462</v>
      </c>
      <c r="EL11" s="68">
        <v>3879.5</v>
      </c>
      <c r="EM11" s="106">
        <f t="shared" si="40"/>
        <v>1.186335888</v>
      </c>
      <c r="EN11" s="90"/>
      <c r="EO11" s="95">
        <v>9.0</v>
      </c>
      <c r="EP11" s="95" t="s">
        <v>20</v>
      </c>
      <c r="EQ11" s="96">
        <v>4203.32253846154</v>
      </c>
      <c r="ER11" s="68">
        <v>7420.75</v>
      </c>
      <c r="ES11" s="106">
        <f t="shared" si="24"/>
        <v>1.765448626</v>
      </c>
      <c r="ET11" s="90"/>
      <c r="EU11" s="95">
        <v>9.0</v>
      </c>
      <c r="EV11" s="95" t="s">
        <v>20</v>
      </c>
      <c r="EW11" s="96">
        <v>4690.301</v>
      </c>
      <c r="EX11" s="68">
        <v>5694.01</v>
      </c>
      <c r="EY11" s="106">
        <f t="shared" si="25"/>
        <v>1.213996714</v>
      </c>
      <c r="FA11" s="95">
        <v>9.0</v>
      </c>
      <c r="FB11" s="95" t="s">
        <v>11</v>
      </c>
      <c r="FC11" s="96">
        <v>3929.07108</v>
      </c>
      <c r="FD11" s="68">
        <v>2392.0</v>
      </c>
      <c r="FE11" s="106">
        <f t="shared" si="26"/>
        <v>0.6087952983</v>
      </c>
      <c r="FG11" s="95">
        <v>9.0</v>
      </c>
      <c r="FH11" s="95" t="s">
        <v>17</v>
      </c>
      <c r="FI11" s="96">
        <v>4211.02930769231</v>
      </c>
      <c r="FJ11" s="68">
        <v>2985.26</v>
      </c>
      <c r="FK11" s="106">
        <f t="shared" si="27"/>
        <v>0.7089145627</v>
      </c>
      <c r="FL11" s="113"/>
      <c r="FM11" s="95">
        <v>9.0</v>
      </c>
      <c r="FN11" s="95" t="s">
        <v>7</v>
      </c>
      <c r="FO11" s="96">
        <v>3046.40219230769</v>
      </c>
      <c r="FP11" s="68">
        <v>2079.5</v>
      </c>
      <c r="FQ11" s="106">
        <f t="shared" si="28"/>
        <v>0.6826084899</v>
      </c>
      <c r="FS11" s="95">
        <v>9.0</v>
      </c>
      <c r="FT11" s="95" t="s">
        <v>11</v>
      </c>
      <c r="FU11" s="96">
        <v>3453.12792</v>
      </c>
      <c r="FV11" s="68">
        <v>2495.5</v>
      </c>
      <c r="FW11" s="106">
        <f t="shared" si="29"/>
        <v>0.7226781219</v>
      </c>
      <c r="FY11" s="95">
        <v>9.0</v>
      </c>
      <c r="FZ11" s="95" t="s">
        <v>18</v>
      </c>
      <c r="GA11" s="96">
        <v>4768.50242307692</v>
      </c>
      <c r="GB11" s="68">
        <v>3584.42</v>
      </c>
      <c r="GC11" s="106">
        <f t="shared" si="30"/>
        <v>0.7516867314</v>
      </c>
      <c r="GE11" s="16">
        <v>9.0</v>
      </c>
      <c r="GF11" s="16" t="s">
        <v>9</v>
      </c>
      <c r="GG11" s="17">
        <v>2506.32326923077</v>
      </c>
      <c r="GH11" s="20">
        <v>1530.5</v>
      </c>
      <c r="GI11" s="106">
        <f t="shared" si="31"/>
        <v>0.6106554644</v>
      </c>
      <c r="GK11" s="16">
        <v>9.0</v>
      </c>
      <c r="GL11" s="16" t="s">
        <v>13</v>
      </c>
      <c r="GM11" s="17">
        <v>3151.42417307692</v>
      </c>
      <c r="GN11" s="20">
        <v>7879.81</v>
      </c>
      <c r="GO11" s="106">
        <f t="shared" si="32"/>
        <v>2.500396509</v>
      </c>
      <c r="GQ11" s="16">
        <v>9.0</v>
      </c>
      <c r="GR11" s="16" t="s">
        <v>20</v>
      </c>
      <c r="GS11" s="17">
        <v>4423.43334444445</v>
      </c>
      <c r="GT11" s="20">
        <v>5717.4</v>
      </c>
      <c r="GU11" s="106">
        <f t="shared" si="33"/>
        <v>1.292525411</v>
      </c>
      <c r="GW11" s="16">
        <v>9.0</v>
      </c>
      <c r="GX11" s="16" t="s">
        <v>9</v>
      </c>
      <c r="GY11" s="17">
        <v>2287.03039583333</v>
      </c>
      <c r="GZ11" s="20">
        <v>3328.5</v>
      </c>
      <c r="HA11" s="106">
        <f t="shared" si="34"/>
        <v>1.455380744</v>
      </c>
      <c r="HC11" s="16">
        <v>9.0</v>
      </c>
      <c r="HD11" s="16" t="s">
        <v>17</v>
      </c>
      <c r="HE11" s="17">
        <v>2824.96158333333</v>
      </c>
      <c r="HF11" s="18">
        <v>3397.5</v>
      </c>
      <c r="HG11" s="106">
        <f t="shared" si="35"/>
        <v>1.202671222</v>
      </c>
      <c r="HI11" s="16">
        <v>9.0</v>
      </c>
      <c r="HJ11" s="16" t="s">
        <v>7</v>
      </c>
      <c r="HK11" s="17">
        <v>2688.7592692307694</v>
      </c>
      <c r="HL11" s="18">
        <v>3695.0</v>
      </c>
      <c r="HM11" s="106">
        <f t="shared" si="36"/>
        <v>1.3742398</v>
      </c>
      <c r="HO11" s="16">
        <v>9.0</v>
      </c>
      <c r="HP11" s="16" t="s">
        <v>7</v>
      </c>
      <c r="HQ11" s="17">
        <v>2600.963115384616</v>
      </c>
      <c r="HR11" s="18">
        <v>2013.5</v>
      </c>
      <c r="HS11" s="106">
        <f t="shared" si="37"/>
        <v>0.7741363144</v>
      </c>
      <c r="HU11" s="16">
        <v>9.0</v>
      </c>
      <c r="HV11" s="16" t="s">
        <v>13</v>
      </c>
      <c r="HW11" s="17">
        <v>2871.198916666668</v>
      </c>
      <c r="HX11" s="18">
        <v>2022.5</v>
      </c>
      <c r="HY11" s="106">
        <f t="shared" si="38"/>
        <v>0.704409572</v>
      </c>
      <c r="HZ11" s="113"/>
      <c r="IA11" s="16">
        <v>9.0</v>
      </c>
      <c r="IB11" s="16" t="s">
        <v>18</v>
      </c>
      <c r="IC11" s="17">
        <v>4633.349466666666</v>
      </c>
      <c r="ID11" s="18">
        <v>6028.06</v>
      </c>
      <c r="IE11" s="106">
        <f t="shared" si="39"/>
        <v>1.301015614</v>
      </c>
    </row>
    <row r="12">
      <c r="A12" s="95">
        <v>10.0</v>
      </c>
      <c r="B12" s="95" t="s">
        <v>17</v>
      </c>
      <c r="C12" s="103">
        <v>3700.0</v>
      </c>
      <c r="D12" s="68">
        <v>4031.92</v>
      </c>
      <c r="E12" s="104">
        <f t="shared" si="1"/>
        <v>1.089708108</v>
      </c>
      <c r="F12" s="90"/>
      <c r="G12" s="95">
        <v>10.0</v>
      </c>
      <c r="H12" s="95" t="s">
        <v>17</v>
      </c>
      <c r="I12" s="105">
        <v>3555.4125</v>
      </c>
      <c r="J12" s="96">
        <v>3160.5</v>
      </c>
      <c r="K12" s="106">
        <f t="shared" si="2"/>
        <v>0.8889263904</v>
      </c>
      <c r="L12" s="90"/>
      <c r="M12" s="95">
        <v>10.0</v>
      </c>
      <c r="N12" s="95" t="s">
        <v>7</v>
      </c>
      <c r="O12" s="96">
        <v>2733.978</v>
      </c>
      <c r="P12" s="96">
        <v>2381.5</v>
      </c>
      <c r="Q12" s="106">
        <f t="shared" si="3"/>
        <v>0.8710750416</v>
      </c>
      <c r="R12" s="90"/>
      <c r="S12" s="95">
        <v>10.0</v>
      </c>
      <c r="T12" s="95" t="s">
        <v>11</v>
      </c>
      <c r="U12" s="68">
        <v>3056.81846153846</v>
      </c>
      <c r="V12" s="68">
        <v>2482.0</v>
      </c>
      <c r="W12" s="106">
        <f t="shared" si="4"/>
        <v>0.811955316</v>
      </c>
      <c r="X12" s="90"/>
      <c r="Y12" s="114">
        <v>10.0</v>
      </c>
      <c r="Z12" s="95" t="s">
        <v>18</v>
      </c>
      <c r="AA12" s="108">
        <v>4056.95277777778</v>
      </c>
      <c r="AB12" s="68">
        <v>3258.5</v>
      </c>
      <c r="AC12" s="106">
        <f t="shared" si="5"/>
        <v>0.8031890383</v>
      </c>
      <c r="AD12" s="90"/>
      <c r="AE12" s="109">
        <v>10.0</v>
      </c>
      <c r="AF12" s="110" t="s">
        <v>7</v>
      </c>
      <c r="AG12" s="111">
        <v>2577.63165</v>
      </c>
      <c r="AH12" s="76">
        <v>2475.0</v>
      </c>
      <c r="AI12" s="106">
        <f t="shared" si="6"/>
        <v>0.9601837408</v>
      </c>
      <c r="AJ12" s="90"/>
      <c r="AK12" s="109">
        <v>10.0</v>
      </c>
      <c r="AL12" s="95" t="s">
        <v>13</v>
      </c>
      <c r="AM12" s="68">
        <v>2961.45192</v>
      </c>
      <c r="AN12" s="68">
        <v>2187.51</v>
      </c>
      <c r="AO12" s="106">
        <f t="shared" si="7"/>
        <v>0.7386613253</v>
      </c>
      <c r="AP12" s="90"/>
      <c r="AQ12" s="95">
        <v>10.0</v>
      </c>
      <c r="AR12" s="95" t="s">
        <v>20</v>
      </c>
      <c r="AS12" s="68">
        <v>4829.43946153846</v>
      </c>
      <c r="AT12" s="68">
        <v>3477.13</v>
      </c>
      <c r="AU12" s="106">
        <f t="shared" si="8"/>
        <v>0.7199862484</v>
      </c>
      <c r="AV12" s="90"/>
      <c r="AW12" s="95">
        <v>10.0</v>
      </c>
      <c r="AX12" s="95" t="s">
        <v>9</v>
      </c>
      <c r="AY12" s="68">
        <v>3688.79469230769</v>
      </c>
      <c r="AZ12" s="68">
        <v>2136.59</v>
      </c>
      <c r="BA12" s="106">
        <f t="shared" si="9"/>
        <v>0.5792108746</v>
      </c>
      <c r="BB12" s="90"/>
      <c r="BC12" s="95">
        <v>10.0</v>
      </c>
      <c r="BD12" s="95" t="s">
        <v>17</v>
      </c>
      <c r="BE12" s="68">
        <v>4199.43784615385</v>
      </c>
      <c r="BF12" s="68">
        <v>3728.02</v>
      </c>
      <c r="BG12" s="106">
        <f t="shared" si="10"/>
        <v>0.8877426305</v>
      </c>
      <c r="BH12" s="90"/>
      <c r="BI12" s="95">
        <v>10.0</v>
      </c>
      <c r="BJ12" s="95" t="s">
        <v>20</v>
      </c>
      <c r="BK12" s="68">
        <v>5306.68711363636</v>
      </c>
      <c r="BL12" s="68">
        <v>6274.0</v>
      </c>
      <c r="BM12" s="106">
        <f t="shared" si="11"/>
        <v>1.182281877</v>
      </c>
      <c r="BN12" s="90"/>
      <c r="BO12" s="95">
        <v>10.0</v>
      </c>
      <c r="BP12" s="95" t="s">
        <v>11</v>
      </c>
      <c r="BQ12" s="68">
        <v>3756.90444230769</v>
      </c>
      <c r="BR12" s="68">
        <v>3176.51</v>
      </c>
      <c r="BS12" s="106">
        <f t="shared" si="12"/>
        <v>0.8455125886</v>
      </c>
      <c r="BT12" s="90"/>
      <c r="BU12" s="95">
        <v>10.0</v>
      </c>
      <c r="BV12" s="95" t="s">
        <v>18</v>
      </c>
      <c r="BW12" s="68">
        <v>5459.13655</v>
      </c>
      <c r="BX12" s="68">
        <v>4429.56</v>
      </c>
      <c r="BY12" s="106">
        <f t="shared" si="13"/>
        <v>0.8114030414</v>
      </c>
      <c r="BZ12" s="90"/>
      <c r="CA12" s="95">
        <v>10.0</v>
      </c>
      <c r="CB12" s="95" t="s">
        <v>20</v>
      </c>
      <c r="CC12" s="68">
        <v>6068.54520833333</v>
      </c>
      <c r="CD12" s="68">
        <v>7547.04</v>
      </c>
      <c r="CE12" s="106">
        <f t="shared" si="14"/>
        <v>1.243632492</v>
      </c>
      <c r="CF12" s="90"/>
      <c r="CG12" s="95">
        <v>10.0</v>
      </c>
      <c r="CH12" s="95" t="s">
        <v>11</v>
      </c>
      <c r="CI12" s="96">
        <v>4146.79393557692</v>
      </c>
      <c r="CJ12" s="68">
        <v>3855.04</v>
      </c>
      <c r="CK12" s="106">
        <f t="shared" si="15"/>
        <v>0.9296434932</v>
      </c>
      <c r="CL12" s="90"/>
      <c r="CM12" s="95">
        <v>10.0</v>
      </c>
      <c r="CN12" s="95" t="s">
        <v>17</v>
      </c>
      <c r="CO12" s="96">
        <v>4759.3194</v>
      </c>
      <c r="CP12" s="74">
        <v>2109.57</v>
      </c>
      <c r="CQ12" s="106">
        <f t="shared" si="16"/>
        <v>0.4432503521</v>
      </c>
      <c r="CR12" s="90"/>
      <c r="CS12" s="95">
        <v>10.0</v>
      </c>
      <c r="CT12" s="95" t="s">
        <v>7</v>
      </c>
      <c r="CU12" s="96">
        <v>3035.46</v>
      </c>
      <c r="CV12" s="73">
        <v>2220.52</v>
      </c>
      <c r="CW12" s="106">
        <f t="shared" si="17"/>
        <v>0.7315266879</v>
      </c>
      <c r="CX12" s="90"/>
      <c r="CY12" s="95">
        <v>10.0</v>
      </c>
      <c r="CZ12" s="95" t="s">
        <v>11</v>
      </c>
      <c r="DA12" s="96">
        <v>3391.54861458333</v>
      </c>
      <c r="DB12" s="73">
        <v>2437.05</v>
      </c>
      <c r="DC12" s="106">
        <f t="shared" si="18"/>
        <v>0.7185655513</v>
      </c>
      <c r="DD12" s="90"/>
      <c r="DE12" s="95">
        <v>10.0</v>
      </c>
      <c r="DF12" s="95" t="s">
        <v>18</v>
      </c>
      <c r="DG12" s="96">
        <v>4876.4235625</v>
      </c>
      <c r="DH12" s="68">
        <v>3024.06</v>
      </c>
      <c r="DI12" s="106">
        <f t="shared" si="19"/>
        <v>0.6201389115</v>
      </c>
      <c r="DJ12" s="90"/>
      <c r="DK12" s="95">
        <v>10.0</v>
      </c>
      <c r="DL12" s="95" t="s">
        <v>9</v>
      </c>
      <c r="DM12" s="96">
        <v>3483.70855</v>
      </c>
      <c r="DN12" s="68">
        <v>2430.52</v>
      </c>
      <c r="DO12" s="106">
        <f t="shared" si="20"/>
        <v>0.6976817851</v>
      </c>
      <c r="DP12" s="90"/>
      <c r="DQ12" s="95">
        <v>10.0</v>
      </c>
      <c r="DR12" s="95" t="s">
        <v>13</v>
      </c>
      <c r="DS12" s="96">
        <v>2876.6968125</v>
      </c>
      <c r="DT12" s="68">
        <v>4676.55</v>
      </c>
      <c r="DU12" s="106">
        <f t="shared" si="21"/>
        <v>1.625666626</v>
      </c>
      <c r="DV12" s="90"/>
      <c r="DW12" s="95">
        <v>10.0</v>
      </c>
      <c r="DX12" s="95" t="s">
        <v>20</v>
      </c>
      <c r="DY12" s="96">
        <v>4007.91671</v>
      </c>
      <c r="DZ12" s="68">
        <v>8551.27</v>
      </c>
      <c r="EA12" s="106">
        <f t="shared" si="22"/>
        <v>2.133594737</v>
      </c>
      <c r="EB12" s="90"/>
      <c r="EC12" s="95">
        <v>10.0</v>
      </c>
      <c r="ED12" s="95" t="s">
        <v>9</v>
      </c>
      <c r="EE12" s="96">
        <v>3892.50323076923</v>
      </c>
      <c r="EF12" s="68">
        <v>2934.75</v>
      </c>
      <c r="EG12" s="106">
        <f t="shared" si="23"/>
        <v>0.7539492779</v>
      </c>
      <c r="EH12" s="113"/>
      <c r="EI12" s="95">
        <v>10.0</v>
      </c>
      <c r="EJ12" s="95" t="s">
        <v>17</v>
      </c>
      <c r="EK12" s="96">
        <v>3395.17378846154</v>
      </c>
      <c r="EL12" s="68">
        <v>2982.75</v>
      </c>
      <c r="EM12" s="106">
        <f t="shared" si="40"/>
        <v>0.8785264572</v>
      </c>
      <c r="EN12" s="90"/>
      <c r="EO12" s="95">
        <v>10.0</v>
      </c>
      <c r="EP12" s="95" t="s">
        <v>7</v>
      </c>
      <c r="EQ12" s="96">
        <v>3410.95964</v>
      </c>
      <c r="ER12" s="68">
        <v>4290.77</v>
      </c>
      <c r="ES12" s="106">
        <f t="shared" si="24"/>
        <v>1.257936315</v>
      </c>
      <c r="ET12" s="90"/>
      <c r="EU12" s="95">
        <v>10.0</v>
      </c>
      <c r="EV12" s="95" t="s">
        <v>7</v>
      </c>
      <c r="EW12" s="96">
        <v>3506.36634615385</v>
      </c>
      <c r="EX12" s="68">
        <v>2149.75</v>
      </c>
      <c r="EY12" s="106">
        <f t="shared" si="25"/>
        <v>0.6130990854</v>
      </c>
      <c r="FA12" s="95">
        <v>10.0</v>
      </c>
      <c r="FB12" s="95" t="s">
        <v>13</v>
      </c>
      <c r="FC12" s="96">
        <v>3926.07684615385</v>
      </c>
      <c r="FD12" s="68">
        <v>2441.01</v>
      </c>
      <c r="FE12" s="106">
        <f t="shared" si="26"/>
        <v>0.6217427971</v>
      </c>
      <c r="FG12" s="95">
        <v>10.0</v>
      </c>
      <c r="FH12" s="95" t="s">
        <v>18</v>
      </c>
      <c r="FI12" s="96">
        <v>5462.33303846154</v>
      </c>
      <c r="FJ12" s="68">
        <v>3706.01</v>
      </c>
      <c r="FK12" s="106">
        <f t="shared" si="27"/>
        <v>0.6784665039</v>
      </c>
      <c r="FL12" s="113"/>
      <c r="FM12" s="95">
        <v>10.0</v>
      </c>
      <c r="FN12" s="95" t="s">
        <v>9</v>
      </c>
      <c r="FO12" s="96">
        <v>3196.46204166667</v>
      </c>
      <c r="FP12" s="68">
        <v>2123.76</v>
      </c>
      <c r="FQ12" s="106">
        <f t="shared" si="28"/>
        <v>0.6644095792</v>
      </c>
      <c r="FS12" s="95">
        <v>10.0</v>
      </c>
      <c r="FT12" s="95" t="s">
        <v>13</v>
      </c>
      <c r="FU12" s="96">
        <v>3309.52769230769</v>
      </c>
      <c r="FV12" s="68">
        <v>3523.02</v>
      </c>
      <c r="FW12" s="106">
        <f t="shared" si="29"/>
        <v>1.064508391</v>
      </c>
      <c r="FY12" s="95">
        <v>10.0</v>
      </c>
      <c r="FZ12" s="95" t="s">
        <v>20</v>
      </c>
      <c r="GA12" s="96">
        <v>4265.00853846154</v>
      </c>
      <c r="GB12" s="68">
        <v>3536.91</v>
      </c>
      <c r="GC12" s="106">
        <f t="shared" si="30"/>
        <v>0.8292855614</v>
      </c>
      <c r="GE12" s="16">
        <v>10.0</v>
      </c>
      <c r="GF12" s="16" t="s">
        <v>11</v>
      </c>
      <c r="GG12" s="17">
        <v>3098.37467307692</v>
      </c>
      <c r="GH12" s="20">
        <v>2097.29</v>
      </c>
      <c r="GI12" s="106">
        <f t="shared" si="31"/>
        <v>0.6769000593</v>
      </c>
      <c r="GK12" s="16">
        <v>10.0</v>
      </c>
      <c r="GL12" s="16" t="s">
        <v>17</v>
      </c>
      <c r="GM12" s="41">
        <v>3011.91634615385</v>
      </c>
      <c r="GN12" s="20">
        <v>6661.76</v>
      </c>
      <c r="GO12" s="106">
        <f t="shared" si="32"/>
        <v>2.211801137</v>
      </c>
      <c r="GQ12" s="16">
        <v>10.0</v>
      </c>
      <c r="GR12" s="16" t="s">
        <v>7</v>
      </c>
      <c r="GS12" s="41">
        <v>2925.73623076923</v>
      </c>
      <c r="GT12" s="20">
        <v>2552.0</v>
      </c>
      <c r="GU12" s="106">
        <f t="shared" si="33"/>
        <v>0.8722590824</v>
      </c>
      <c r="GW12" s="16">
        <v>10.0</v>
      </c>
      <c r="GX12" s="16" t="s">
        <v>11</v>
      </c>
      <c r="GY12" s="41">
        <v>2757.4024375</v>
      </c>
      <c r="GZ12" s="20">
        <v>2934.01</v>
      </c>
      <c r="HA12" s="106">
        <f t="shared" si="34"/>
        <v>1.064048526</v>
      </c>
      <c r="HC12" s="16">
        <v>10.0</v>
      </c>
      <c r="HD12" s="16" t="s">
        <v>18</v>
      </c>
      <c r="HE12" s="5">
        <v>3969.18954166667</v>
      </c>
      <c r="HF12" s="18">
        <v>5844.01</v>
      </c>
      <c r="HG12" s="106">
        <f t="shared" si="35"/>
        <v>1.472343394</v>
      </c>
      <c r="HI12" s="16">
        <v>10.0</v>
      </c>
      <c r="HJ12" s="16" t="s">
        <v>9</v>
      </c>
      <c r="HK12" s="5">
        <v>2784.4127307692306</v>
      </c>
      <c r="HL12" s="45">
        <v>3054.5</v>
      </c>
      <c r="HM12" s="106">
        <f t="shared" si="36"/>
        <v>1.096999725</v>
      </c>
      <c r="HO12" s="16">
        <v>10.0</v>
      </c>
      <c r="HP12" s="16" t="s">
        <v>9</v>
      </c>
      <c r="HQ12" s="5">
        <v>2691.103461538462</v>
      </c>
      <c r="HR12" s="45">
        <v>2396.0</v>
      </c>
      <c r="HS12" s="106">
        <f t="shared" si="37"/>
        <v>0.890341094</v>
      </c>
      <c r="HU12" s="16">
        <v>10.0</v>
      </c>
      <c r="HV12" s="16" t="s">
        <v>17</v>
      </c>
      <c r="HW12" s="5">
        <v>2948.2951666666677</v>
      </c>
      <c r="HX12" s="45">
        <v>2358.0</v>
      </c>
      <c r="HY12" s="106">
        <f t="shared" si="38"/>
        <v>0.7997842369</v>
      </c>
      <c r="HZ12" s="113"/>
      <c r="IA12" s="16">
        <v>10.0</v>
      </c>
      <c r="IB12" s="16" t="s">
        <v>20</v>
      </c>
      <c r="IC12" s="5">
        <v>4467.714066666667</v>
      </c>
      <c r="ID12" s="45">
        <v>3823.0</v>
      </c>
      <c r="IE12" s="106">
        <f t="shared" si="39"/>
        <v>0.8556948683</v>
      </c>
    </row>
    <row r="13">
      <c r="A13" s="95">
        <v>11.0</v>
      </c>
      <c r="B13" s="95" t="s">
        <v>18</v>
      </c>
      <c r="C13" s="103">
        <v>5000.0</v>
      </c>
      <c r="D13" s="68">
        <v>5536.05</v>
      </c>
      <c r="E13" s="104">
        <f t="shared" si="1"/>
        <v>1.10721</v>
      </c>
      <c r="F13" s="90"/>
      <c r="G13" s="95">
        <v>11.0</v>
      </c>
      <c r="H13" s="95" t="s">
        <v>18</v>
      </c>
      <c r="I13" s="105">
        <v>4996.1625</v>
      </c>
      <c r="J13" s="96">
        <v>5589.5</v>
      </c>
      <c r="K13" s="106">
        <f t="shared" si="2"/>
        <v>1.118758647</v>
      </c>
      <c r="L13" s="90"/>
      <c r="M13" s="95">
        <v>11.0</v>
      </c>
      <c r="N13" s="95" t="s">
        <v>9</v>
      </c>
      <c r="O13" s="96">
        <v>3465.2332</v>
      </c>
      <c r="P13" s="96">
        <v>1988.0</v>
      </c>
      <c r="Q13" s="106">
        <f t="shared" si="3"/>
        <v>0.5736987629</v>
      </c>
      <c r="R13" s="90"/>
      <c r="S13" s="95">
        <v>11.0</v>
      </c>
      <c r="T13" s="95" t="s">
        <v>13</v>
      </c>
      <c r="U13" s="68">
        <v>2628.82307692308</v>
      </c>
      <c r="V13" s="68">
        <v>2258.0</v>
      </c>
      <c r="W13" s="106">
        <f t="shared" si="4"/>
        <v>0.8589395079</v>
      </c>
      <c r="X13" s="90"/>
      <c r="Y13" s="114">
        <v>11.0</v>
      </c>
      <c r="Z13" s="95" t="s">
        <v>20</v>
      </c>
      <c r="AA13" s="108">
        <v>3689.71235294118</v>
      </c>
      <c r="AB13" s="68">
        <v>3123.5</v>
      </c>
      <c r="AC13" s="106">
        <f t="shared" si="5"/>
        <v>0.8465429554</v>
      </c>
      <c r="AD13" s="90"/>
      <c r="AE13" s="114">
        <v>11.0</v>
      </c>
      <c r="AF13" s="95" t="s">
        <v>9</v>
      </c>
      <c r="AG13" s="108">
        <v>3323.86871</v>
      </c>
      <c r="AH13" s="68">
        <v>3082.52</v>
      </c>
      <c r="AI13" s="106">
        <f t="shared" si="6"/>
        <v>0.9273892169</v>
      </c>
      <c r="AJ13" s="90"/>
      <c r="AK13" s="114">
        <v>11.0</v>
      </c>
      <c r="AL13" s="95" t="s">
        <v>17</v>
      </c>
      <c r="AM13" s="68">
        <v>3615.0324</v>
      </c>
      <c r="AN13" s="68">
        <v>2958.0</v>
      </c>
      <c r="AO13" s="106">
        <f t="shared" si="7"/>
        <v>0.8182499277</v>
      </c>
      <c r="AP13" s="90"/>
      <c r="AQ13" s="95">
        <v>11.0</v>
      </c>
      <c r="AR13" s="95" t="s">
        <v>7</v>
      </c>
      <c r="AS13" s="68">
        <v>3049.52388461539</v>
      </c>
      <c r="AT13" s="68">
        <v>2128.01</v>
      </c>
      <c r="AU13" s="106">
        <f t="shared" si="8"/>
        <v>0.6978171284</v>
      </c>
      <c r="AV13" s="90"/>
      <c r="AW13" s="95">
        <v>11.0</v>
      </c>
      <c r="AX13" s="95" t="s">
        <v>11</v>
      </c>
      <c r="AY13" s="68">
        <v>3620.84856923077</v>
      </c>
      <c r="AZ13" s="68">
        <v>3153.51</v>
      </c>
      <c r="BA13" s="106">
        <f t="shared" si="9"/>
        <v>0.8709312029</v>
      </c>
      <c r="BB13" s="90"/>
      <c r="BC13" s="95">
        <v>11.0</v>
      </c>
      <c r="BD13" s="95" t="s">
        <v>18</v>
      </c>
      <c r="BE13" s="68">
        <v>5580.95515384616</v>
      </c>
      <c r="BF13" s="68">
        <v>4232.0</v>
      </c>
      <c r="BG13" s="106">
        <f t="shared" si="10"/>
        <v>0.7582931386</v>
      </c>
      <c r="BH13" s="90"/>
      <c r="BI13" s="95">
        <v>11.0</v>
      </c>
      <c r="BJ13" s="95" t="s">
        <v>7</v>
      </c>
      <c r="BK13" s="68">
        <v>3108.05488636364</v>
      </c>
      <c r="BL13" s="68">
        <v>3076.0</v>
      </c>
      <c r="BM13" s="106">
        <f t="shared" si="11"/>
        <v>0.9896865121</v>
      </c>
      <c r="BN13" s="90"/>
      <c r="BO13" s="95">
        <v>11.0</v>
      </c>
      <c r="BP13" s="95" t="s">
        <v>13</v>
      </c>
      <c r="BQ13" s="68">
        <v>3789.02151923077</v>
      </c>
      <c r="BR13" s="68">
        <v>3624.04</v>
      </c>
      <c r="BS13" s="106">
        <f t="shared" si="12"/>
        <v>0.9564580147</v>
      </c>
      <c r="BT13" s="90"/>
      <c r="BU13" s="95">
        <v>11.0</v>
      </c>
      <c r="BV13" s="95" t="s">
        <v>20</v>
      </c>
      <c r="BW13" s="68">
        <v>5569.685793</v>
      </c>
      <c r="BX13" s="68">
        <v>5069.52</v>
      </c>
      <c r="BY13" s="106">
        <f t="shared" si="13"/>
        <v>0.9101985621</v>
      </c>
      <c r="BZ13" s="90"/>
      <c r="CA13" s="95">
        <v>11.0</v>
      </c>
      <c r="CB13" s="95" t="s">
        <v>7</v>
      </c>
      <c r="CC13" s="68">
        <v>3258.90177884615</v>
      </c>
      <c r="CD13" s="68">
        <v>3917.53</v>
      </c>
      <c r="CE13" s="106">
        <f t="shared" si="14"/>
        <v>1.20210128</v>
      </c>
      <c r="CF13" s="90"/>
      <c r="CG13" s="95">
        <v>11.0</v>
      </c>
      <c r="CH13" s="95" t="s">
        <v>13</v>
      </c>
      <c r="CI13" s="96">
        <v>4164.52486153846</v>
      </c>
      <c r="CJ13" s="68">
        <v>4783.54</v>
      </c>
      <c r="CK13" s="106">
        <f t="shared" si="15"/>
        <v>1.148640039</v>
      </c>
      <c r="CL13" s="90"/>
      <c r="CM13" s="95">
        <v>11.0</v>
      </c>
      <c r="CN13" s="95" t="s">
        <v>18</v>
      </c>
      <c r="CO13" s="96">
        <v>6903.4878</v>
      </c>
      <c r="CP13" s="70">
        <v>2295.52</v>
      </c>
      <c r="CQ13" s="106">
        <f t="shared" si="16"/>
        <v>0.3325159784</v>
      </c>
      <c r="CR13" s="90"/>
      <c r="CS13" s="95">
        <v>11.0</v>
      </c>
      <c r="CT13" s="95" t="s">
        <v>9</v>
      </c>
      <c r="CU13" s="96">
        <v>3778.056</v>
      </c>
      <c r="CV13" s="68">
        <v>1779.11</v>
      </c>
      <c r="CW13" s="106">
        <f t="shared" si="17"/>
        <v>0.4709062015</v>
      </c>
      <c r="CX13" s="90"/>
      <c r="CY13" s="95">
        <v>11.0</v>
      </c>
      <c r="CZ13" s="95" t="s">
        <v>13</v>
      </c>
      <c r="DA13" s="96">
        <v>3390.73971875</v>
      </c>
      <c r="DB13" s="68">
        <v>3111.5</v>
      </c>
      <c r="DC13" s="106">
        <f t="shared" si="18"/>
        <v>0.9176463716</v>
      </c>
      <c r="DD13" s="90"/>
      <c r="DE13" s="95">
        <v>11.0</v>
      </c>
      <c r="DF13" s="95" t="s">
        <v>20</v>
      </c>
      <c r="DG13" s="96">
        <v>4499.2023125</v>
      </c>
      <c r="DH13" s="68">
        <v>1972.08</v>
      </c>
      <c r="DI13" s="106">
        <f t="shared" si="19"/>
        <v>0.4383176979</v>
      </c>
      <c r="DJ13" s="90"/>
      <c r="DK13" s="95">
        <v>11.0</v>
      </c>
      <c r="DL13" s="95" t="s">
        <v>11</v>
      </c>
      <c r="DM13" s="96">
        <v>3244.36143333333</v>
      </c>
      <c r="DN13" s="68">
        <v>2415.5</v>
      </c>
      <c r="DO13" s="106">
        <f t="shared" si="20"/>
        <v>0.7445224737</v>
      </c>
      <c r="DP13" s="90"/>
      <c r="DQ13" s="95">
        <v>11.0</v>
      </c>
      <c r="DR13" s="95" t="s">
        <v>17</v>
      </c>
      <c r="DS13" s="96">
        <v>2817.0883125</v>
      </c>
      <c r="DT13" s="68">
        <v>4732.57</v>
      </c>
      <c r="DU13" s="106">
        <f t="shared" si="21"/>
        <v>1.679950884</v>
      </c>
      <c r="DV13" s="90"/>
      <c r="DW13" s="95">
        <v>11.0</v>
      </c>
      <c r="DX13" s="95" t="s">
        <v>7</v>
      </c>
      <c r="DY13" s="96">
        <v>2896.25827826088</v>
      </c>
      <c r="DZ13" s="68">
        <v>4360.75</v>
      </c>
      <c r="EA13" s="106">
        <f t="shared" si="22"/>
        <v>1.505649559</v>
      </c>
      <c r="EB13" s="90"/>
      <c r="EC13" s="95">
        <v>11.0</v>
      </c>
      <c r="ED13" s="95" t="s">
        <v>11</v>
      </c>
      <c r="EE13" s="96">
        <v>3820.83230769231</v>
      </c>
      <c r="EF13" s="68">
        <v>2933.75</v>
      </c>
      <c r="EG13" s="106">
        <f t="shared" si="23"/>
        <v>0.7678300862</v>
      </c>
      <c r="EH13" s="113"/>
      <c r="EI13" s="95">
        <v>11.0</v>
      </c>
      <c r="EJ13" s="95" t="s">
        <v>18</v>
      </c>
      <c r="EK13" s="96">
        <v>4193.88859615385</v>
      </c>
      <c r="EL13" s="68">
        <v>5174.0</v>
      </c>
      <c r="EM13" s="106">
        <f t="shared" si="40"/>
        <v>1.233699914</v>
      </c>
      <c r="EN13" s="90"/>
      <c r="EO13" s="95">
        <v>11.0</v>
      </c>
      <c r="EP13" s="95" t="s">
        <v>9</v>
      </c>
      <c r="EQ13" s="96">
        <v>3824.392</v>
      </c>
      <c r="ER13" s="68">
        <v>4036.0</v>
      </c>
      <c r="ES13" s="106">
        <f t="shared" si="24"/>
        <v>1.055331148</v>
      </c>
      <c r="ET13" s="90"/>
      <c r="EU13" s="95">
        <v>11.0</v>
      </c>
      <c r="EV13" s="95" t="s">
        <v>9</v>
      </c>
      <c r="EW13" s="96">
        <v>3947.55533333333</v>
      </c>
      <c r="EX13" s="68">
        <v>2203.75</v>
      </c>
      <c r="EY13" s="106">
        <f t="shared" si="25"/>
        <v>0.5582568992</v>
      </c>
      <c r="FA13" s="95">
        <v>11.0</v>
      </c>
      <c r="FB13" s="95" t="s">
        <v>17</v>
      </c>
      <c r="FC13" s="96">
        <v>4211.02930769231</v>
      </c>
      <c r="FD13" s="68">
        <v>3065.81</v>
      </c>
      <c r="FE13" s="106">
        <f t="shared" si="26"/>
        <v>0.7280429026</v>
      </c>
      <c r="FG13" s="95">
        <v>11.0</v>
      </c>
      <c r="FH13" s="95" t="s">
        <v>20</v>
      </c>
      <c r="FI13" s="96">
        <v>5046.12053846154</v>
      </c>
      <c r="FJ13" s="68">
        <v>2910.75</v>
      </c>
      <c r="FK13" s="106">
        <f t="shared" si="27"/>
        <v>0.5768292647</v>
      </c>
      <c r="FL13" s="113"/>
      <c r="FM13" s="95">
        <v>11.0</v>
      </c>
      <c r="FN13" s="95" t="s">
        <v>11</v>
      </c>
      <c r="FO13" s="96">
        <v>3456.04072</v>
      </c>
      <c r="FP13" s="68">
        <v>2997.75</v>
      </c>
      <c r="FQ13" s="106">
        <f t="shared" si="28"/>
        <v>0.8673942939</v>
      </c>
      <c r="FS13" s="95">
        <v>11.0</v>
      </c>
      <c r="FT13" s="95" t="s">
        <v>17</v>
      </c>
      <c r="FU13" s="96">
        <v>3432.83980769231</v>
      </c>
      <c r="FV13" s="68">
        <v>3388.5</v>
      </c>
      <c r="FW13" s="106">
        <f t="shared" si="29"/>
        <v>0.9870836362</v>
      </c>
      <c r="FY13" s="95">
        <v>11.0</v>
      </c>
      <c r="FZ13" s="95" t="s">
        <v>7</v>
      </c>
      <c r="GA13" s="96">
        <v>2733.30451923077</v>
      </c>
      <c r="GB13" s="68">
        <v>2170.52</v>
      </c>
      <c r="GC13" s="106">
        <f t="shared" si="30"/>
        <v>0.7941010541</v>
      </c>
      <c r="GE13" s="16">
        <v>11.0</v>
      </c>
      <c r="GF13" s="16" t="s">
        <v>13</v>
      </c>
      <c r="GG13" s="17">
        <v>3151.42417307692</v>
      </c>
      <c r="GH13" s="20">
        <v>2250.0</v>
      </c>
      <c r="GI13" s="106">
        <f t="shared" si="31"/>
        <v>0.7139629185</v>
      </c>
      <c r="GK13" s="16">
        <v>11.0</v>
      </c>
      <c r="GL13" s="16" t="s">
        <v>18</v>
      </c>
      <c r="GM13" s="17">
        <v>4334.40196296296</v>
      </c>
      <c r="GN13" s="20">
        <v>8622.0</v>
      </c>
      <c r="GO13" s="106">
        <f t="shared" si="32"/>
        <v>1.989201757</v>
      </c>
      <c r="GQ13" s="16">
        <v>11.0</v>
      </c>
      <c r="GR13" s="16" t="s">
        <v>9</v>
      </c>
      <c r="GS13" s="17">
        <v>2882.27175961539</v>
      </c>
      <c r="GT13" s="20">
        <v>3252.5</v>
      </c>
      <c r="GU13" s="106">
        <f t="shared" si="33"/>
        <v>1.12845015</v>
      </c>
      <c r="GW13" s="16">
        <v>11.0</v>
      </c>
      <c r="GX13" s="16" t="s">
        <v>13</v>
      </c>
      <c r="GY13" s="17">
        <v>3129.20941666667</v>
      </c>
      <c r="GZ13" s="20">
        <v>2524.0</v>
      </c>
      <c r="HA13" s="106">
        <f t="shared" si="34"/>
        <v>0.8065935078</v>
      </c>
      <c r="HC13" s="16">
        <v>11.0</v>
      </c>
      <c r="HD13" s="16" t="s">
        <v>20</v>
      </c>
      <c r="HE13" s="17">
        <v>4064.60462</v>
      </c>
      <c r="HF13" s="18">
        <v>5247.0</v>
      </c>
      <c r="HG13" s="106">
        <f t="shared" si="35"/>
        <v>1.290900466</v>
      </c>
      <c r="HI13" s="16">
        <v>11.0</v>
      </c>
      <c r="HJ13" s="16" t="s">
        <v>11</v>
      </c>
      <c r="HK13" s="17">
        <v>3123.9519999999998</v>
      </c>
      <c r="HL13" s="45">
        <v>4457.0</v>
      </c>
      <c r="HM13" s="106">
        <f t="shared" si="36"/>
        <v>1.426718464</v>
      </c>
      <c r="HO13" s="16">
        <v>11.0</v>
      </c>
      <c r="HP13" s="16" t="s">
        <v>11</v>
      </c>
      <c r="HQ13" s="17">
        <v>3000.2225000000003</v>
      </c>
      <c r="HR13" s="45">
        <v>5202.0</v>
      </c>
      <c r="HS13" s="106">
        <f t="shared" si="37"/>
        <v>1.733871405</v>
      </c>
      <c r="HU13" s="16">
        <v>11.0</v>
      </c>
      <c r="HV13" s="16" t="s">
        <v>18</v>
      </c>
      <c r="HW13" s="17">
        <v>4705.9700416666665</v>
      </c>
      <c r="HX13" s="45">
        <v>4750.5</v>
      </c>
      <c r="HY13" s="106">
        <f t="shared" si="38"/>
        <v>1.00946244</v>
      </c>
      <c r="HZ13" s="113"/>
      <c r="IA13" s="16">
        <v>11.0</v>
      </c>
      <c r="IB13" s="16" t="s">
        <v>7</v>
      </c>
      <c r="IC13" s="17">
        <v>2465.1209333333336</v>
      </c>
      <c r="ID13" s="45">
        <v>1685.0</v>
      </c>
      <c r="IE13" s="106">
        <f t="shared" si="39"/>
        <v>0.6835364453</v>
      </c>
    </row>
    <row r="14">
      <c r="A14" s="95">
        <v>12.0</v>
      </c>
      <c r="B14" s="95" t="s">
        <v>20</v>
      </c>
      <c r="C14" s="103">
        <v>4000.0</v>
      </c>
      <c r="D14" s="68">
        <v>5480.5</v>
      </c>
      <c r="E14" s="104">
        <f t="shared" si="1"/>
        <v>1.370125</v>
      </c>
      <c r="F14" s="90"/>
      <c r="G14" s="95">
        <v>12.0</v>
      </c>
      <c r="H14" s="95" t="s">
        <v>20</v>
      </c>
      <c r="I14" s="105">
        <v>4734.9025</v>
      </c>
      <c r="J14" s="96">
        <v>4383.0</v>
      </c>
      <c r="K14" s="106">
        <f t="shared" si="2"/>
        <v>0.9256790399</v>
      </c>
      <c r="L14" s="90"/>
      <c r="M14" s="95">
        <v>12.0</v>
      </c>
      <c r="N14" s="95" t="s">
        <v>11</v>
      </c>
      <c r="O14" s="96">
        <v>3505.10506666667</v>
      </c>
      <c r="P14" s="96">
        <v>2640.0</v>
      </c>
      <c r="Q14" s="106">
        <f t="shared" si="3"/>
        <v>0.7531871227</v>
      </c>
      <c r="R14" s="90"/>
      <c r="S14" s="95">
        <v>12.0</v>
      </c>
      <c r="T14" s="95" t="s">
        <v>17</v>
      </c>
      <c r="U14" s="68">
        <v>4033.78076923077</v>
      </c>
      <c r="V14" s="68">
        <v>3488.0</v>
      </c>
      <c r="W14" s="106">
        <f t="shared" si="4"/>
        <v>0.8646974636</v>
      </c>
      <c r="X14" s="90"/>
      <c r="Y14" s="114">
        <v>12.0</v>
      </c>
      <c r="Z14" s="95" t="s">
        <v>7</v>
      </c>
      <c r="AA14" s="108">
        <v>2557.5375</v>
      </c>
      <c r="AB14" s="68">
        <v>2140.5</v>
      </c>
      <c r="AC14" s="106">
        <f t="shared" si="5"/>
        <v>0.8369378748</v>
      </c>
      <c r="AD14" s="90"/>
      <c r="AE14" s="114">
        <v>12.0</v>
      </c>
      <c r="AF14" s="95" t="s">
        <v>11</v>
      </c>
      <c r="AG14" s="108">
        <v>3100.40545238095</v>
      </c>
      <c r="AH14" s="68">
        <v>3377.5</v>
      </c>
      <c r="AI14" s="106">
        <f t="shared" si="6"/>
        <v>1.089373649</v>
      </c>
      <c r="AJ14" s="90"/>
      <c r="AK14" s="114">
        <v>12.0</v>
      </c>
      <c r="AL14" s="95" t="s">
        <v>18</v>
      </c>
      <c r="AM14" s="68">
        <v>4370.5494</v>
      </c>
      <c r="AN14" s="68">
        <v>4542.01</v>
      </c>
      <c r="AO14" s="106">
        <f t="shared" si="7"/>
        <v>1.039230903</v>
      </c>
      <c r="AP14" s="90"/>
      <c r="AQ14" s="95">
        <v>12.0</v>
      </c>
      <c r="AR14" s="95" t="s">
        <v>9</v>
      </c>
      <c r="AS14" s="68">
        <v>3489.23480769231</v>
      </c>
      <c r="AT14" s="68">
        <v>2463.0</v>
      </c>
      <c r="AU14" s="106">
        <f t="shared" si="8"/>
        <v>0.7058854264</v>
      </c>
      <c r="AV14" s="90"/>
      <c r="AW14" s="95">
        <v>12.0</v>
      </c>
      <c r="AX14" s="95" t="s">
        <v>13</v>
      </c>
      <c r="AY14" s="68">
        <v>3535.0242</v>
      </c>
      <c r="AZ14" s="68">
        <v>6548.5</v>
      </c>
      <c r="BA14" s="106">
        <f t="shared" si="9"/>
        <v>1.852462566</v>
      </c>
      <c r="BB14" s="90"/>
      <c r="BC14" s="95">
        <v>12.0</v>
      </c>
      <c r="BD14" s="95" t="s">
        <v>20</v>
      </c>
      <c r="BE14" s="68">
        <v>5140.16838461539</v>
      </c>
      <c r="BF14" s="68">
        <v>6334.5</v>
      </c>
      <c r="BG14" s="106">
        <f t="shared" si="10"/>
        <v>1.232352625</v>
      </c>
      <c r="BH14" s="90"/>
      <c r="BI14" s="95">
        <v>12.0</v>
      </c>
      <c r="BJ14" s="95" t="s">
        <v>9</v>
      </c>
      <c r="BK14" s="68">
        <v>3435.89447727273</v>
      </c>
      <c r="BL14" s="68">
        <v>3028.01</v>
      </c>
      <c r="BM14" s="106">
        <f t="shared" si="11"/>
        <v>0.8812872514</v>
      </c>
      <c r="BN14" s="90"/>
      <c r="BO14" s="95">
        <v>12.0</v>
      </c>
      <c r="BP14" s="95" t="s">
        <v>17</v>
      </c>
      <c r="BQ14" s="68">
        <v>4029.96582692308</v>
      </c>
      <c r="BR14" s="68">
        <v>3733.53</v>
      </c>
      <c r="BS14" s="106">
        <f t="shared" si="12"/>
        <v>0.9264420991</v>
      </c>
      <c r="BT14" s="90"/>
      <c r="BU14" s="95">
        <v>12.0</v>
      </c>
      <c r="BV14" s="95" t="s">
        <v>7</v>
      </c>
      <c r="BW14" s="68">
        <v>3222.12748846154</v>
      </c>
      <c r="BX14" s="68">
        <v>3647.55</v>
      </c>
      <c r="BY14" s="106">
        <f t="shared" si="13"/>
        <v>1.132031558</v>
      </c>
      <c r="BZ14" s="90"/>
      <c r="CA14" s="95">
        <v>12.0</v>
      </c>
      <c r="CB14" s="95" t="s">
        <v>9</v>
      </c>
      <c r="CC14" s="68">
        <v>3607.60614423077</v>
      </c>
      <c r="CD14" s="68">
        <v>5202.0</v>
      </c>
      <c r="CE14" s="106">
        <f t="shared" si="14"/>
        <v>1.441953415</v>
      </c>
      <c r="CF14" s="90"/>
      <c r="CG14" s="95">
        <v>12.0</v>
      </c>
      <c r="CH14" s="95" t="s">
        <v>17</v>
      </c>
      <c r="CI14" s="96">
        <v>4618.74731971154</v>
      </c>
      <c r="CJ14" s="68">
        <v>3759.54</v>
      </c>
      <c r="CK14" s="106">
        <f t="shared" si="15"/>
        <v>0.81397395</v>
      </c>
      <c r="CL14" s="90"/>
      <c r="CM14" s="95">
        <v>12.0</v>
      </c>
      <c r="CN14" s="95" t="s">
        <v>20</v>
      </c>
      <c r="CO14" s="96">
        <v>6423.77193333333</v>
      </c>
      <c r="CP14" s="70">
        <v>2134.07</v>
      </c>
      <c r="CQ14" s="106">
        <f t="shared" si="16"/>
        <v>0.3322144718</v>
      </c>
      <c r="CR14" s="90"/>
      <c r="CS14" s="95">
        <v>12.0</v>
      </c>
      <c r="CT14" s="95" t="s">
        <v>11</v>
      </c>
      <c r="CU14" s="96">
        <v>3423.9315</v>
      </c>
      <c r="CV14" s="68">
        <v>3044.03</v>
      </c>
      <c r="CW14" s="106">
        <f t="shared" si="17"/>
        <v>0.8890452394</v>
      </c>
      <c r="CX14" s="90"/>
      <c r="CY14" s="95">
        <v>12.0</v>
      </c>
      <c r="CZ14" s="95" t="s">
        <v>17</v>
      </c>
      <c r="DA14" s="96">
        <v>3831.45896875</v>
      </c>
      <c r="DB14" s="68">
        <v>2512.56</v>
      </c>
      <c r="DC14" s="106">
        <f t="shared" si="18"/>
        <v>0.6557710837</v>
      </c>
      <c r="DD14" s="90"/>
      <c r="DE14" s="95">
        <v>12.0</v>
      </c>
      <c r="DF14" s="95" t="s">
        <v>7</v>
      </c>
      <c r="DG14" s="96">
        <v>2899.715</v>
      </c>
      <c r="DH14" s="68">
        <v>2737.7</v>
      </c>
      <c r="DI14" s="106">
        <f t="shared" si="19"/>
        <v>0.9441272677</v>
      </c>
      <c r="DJ14" s="90"/>
      <c r="DK14" s="95">
        <v>12.0</v>
      </c>
      <c r="DL14" s="95" t="s">
        <v>13</v>
      </c>
      <c r="DM14" s="96">
        <v>3168.16775</v>
      </c>
      <c r="DN14" s="68">
        <v>2605.52</v>
      </c>
      <c r="DO14" s="106">
        <f t="shared" si="20"/>
        <v>0.8224059474</v>
      </c>
      <c r="DP14" s="90"/>
      <c r="DQ14" s="95">
        <v>12.0</v>
      </c>
      <c r="DR14" s="95" t="s">
        <v>18</v>
      </c>
      <c r="DS14" s="96">
        <v>3631.1611875</v>
      </c>
      <c r="DT14" s="68">
        <v>5725.01</v>
      </c>
      <c r="DU14" s="106">
        <f t="shared" si="21"/>
        <v>1.576633398</v>
      </c>
      <c r="DV14" s="90"/>
      <c r="DW14" s="95">
        <v>12.0</v>
      </c>
      <c r="DX14" s="95" t="s">
        <v>9</v>
      </c>
      <c r="DY14" s="115">
        <v>3657.8939775</v>
      </c>
      <c r="DZ14" s="68">
        <v>5184.8</v>
      </c>
      <c r="EA14" s="106">
        <f t="shared" si="22"/>
        <v>1.417427632</v>
      </c>
      <c r="EB14" s="90"/>
      <c r="EC14" s="95">
        <v>12.0</v>
      </c>
      <c r="ED14" s="95" t="s">
        <v>13</v>
      </c>
      <c r="EE14" s="115">
        <v>3738.57553846154</v>
      </c>
      <c r="EF14" s="68">
        <v>2501.6</v>
      </c>
      <c r="EG14" s="106">
        <f t="shared" si="23"/>
        <v>0.669131859</v>
      </c>
      <c r="EH14" s="113"/>
      <c r="EI14" s="95">
        <v>12.0</v>
      </c>
      <c r="EJ14" s="95" t="s">
        <v>20</v>
      </c>
      <c r="EK14" s="115">
        <v>3751.09713461538</v>
      </c>
      <c r="EL14" s="68">
        <v>3844.25</v>
      </c>
      <c r="EM14" s="106">
        <f t="shared" si="40"/>
        <v>1.024833499</v>
      </c>
      <c r="EN14" s="90"/>
      <c r="EO14" s="95">
        <v>12.0</v>
      </c>
      <c r="EP14" s="95" t="s">
        <v>11</v>
      </c>
      <c r="EQ14" s="115">
        <v>3598.85944</v>
      </c>
      <c r="ER14" s="68">
        <v>5012.26</v>
      </c>
      <c r="ES14" s="106">
        <f t="shared" si="24"/>
        <v>1.392735694</v>
      </c>
      <c r="ET14" s="90"/>
      <c r="EU14" s="95">
        <v>12.0</v>
      </c>
      <c r="EV14" s="95" t="s">
        <v>11</v>
      </c>
      <c r="EW14" s="115">
        <v>3815.68264</v>
      </c>
      <c r="EX14" s="68">
        <v>3651.0</v>
      </c>
      <c r="EY14" s="106">
        <f t="shared" si="25"/>
        <v>0.9568405825</v>
      </c>
      <c r="FA14" s="95">
        <v>12.0</v>
      </c>
      <c r="FB14" s="95" t="s">
        <v>18</v>
      </c>
      <c r="FC14" s="115">
        <v>5462.33303846154</v>
      </c>
      <c r="FD14" s="68">
        <v>3065.25</v>
      </c>
      <c r="FE14" s="106">
        <f t="shared" si="26"/>
        <v>0.5611613167</v>
      </c>
      <c r="FG14" s="95">
        <v>12.0</v>
      </c>
      <c r="FH14" s="95" t="s">
        <v>7</v>
      </c>
      <c r="FI14" s="115">
        <v>3488.60176923077</v>
      </c>
      <c r="FJ14" s="68">
        <v>1417.26</v>
      </c>
      <c r="FK14" s="106">
        <f t="shared" si="27"/>
        <v>0.406254452</v>
      </c>
      <c r="FL14" s="113"/>
      <c r="FM14" s="95">
        <v>12.0</v>
      </c>
      <c r="FN14" s="95" t="s">
        <v>13</v>
      </c>
      <c r="FO14" s="115">
        <v>3327.21696153846</v>
      </c>
      <c r="FP14" s="68">
        <v>3996.29</v>
      </c>
      <c r="FQ14" s="106">
        <f t="shared" si="28"/>
        <v>1.201090896</v>
      </c>
      <c r="FS14" s="95">
        <v>12.0</v>
      </c>
      <c r="FT14" s="95" t="s">
        <v>18</v>
      </c>
      <c r="FU14" s="115">
        <v>4957.44530769231</v>
      </c>
      <c r="FV14" s="68">
        <v>4008.16</v>
      </c>
      <c r="FW14" s="106">
        <f t="shared" si="29"/>
        <v>0.8085132061</v>
      </c>
      <c r="FY14" s="95">
        <v>12.0</v>
      </c>
      <c r="FZ14" s="95" t="s">
        <v>9</v>
      </c>
      <c r="GA14" s="115">
        <v>2712.61778846154</v>
      </c>
      <c r="GB14" s="68">
        <v>3052.0</v>
      </c>
      <c r="GC14" s="106">
        <f t="shared" si="30"/>
        <v>1.125112433</v>
      </c>
      <c r="GE14" s="16">
        <v>12.0</v>
      </c>
      <c r="GF14" s="16" t="s">
        <v>17</v>
      </c>
      <c r="GG14" s="41">
        <v>3011.91634615385</v>
      </c>
      <c r="GH14" s="20">
        <v>2097.93</v>
      </c>
      <c r="GI14" s="106">
        <f t="shared" si="31"/>
        <v>0.6965432498</v>
      </c>
      <c r="GK14" s="16">
        <v>12.0</v>
      </c>
      <c r="GL14" s="16" t="s">
        <v>20</v>
      </c>
      <c r="GM14" s="17">
        <v>3846.46377777778</v>
      </c>
      <c r="GN14" s="20">
        <v>7934.7</v>
      </c>
      <c r="GO14" s="106">
        <f t="shared" si="32"/>
        <v>2.06285577</v>
      </c>
      <c r="GQ14" s="16">
        <v>12.0</v>
      </c>
      <c r="GR14" s="16" t="s">
        <v>11</v>
      </c>
      <c r="GS14" s="17">
        <v>3563.13087403846</v>
      </c>
      <c r="GT14" s="20">
        <v>1830.5</v>
      </c>
      <c r="GU14" s="106">
        <f t="shared" si="33"/>
        <v>0.5137335856</v>
      </c>
      <c r="GW14" s="16">
        <v>12.0</v>
      </c>
      <c r="GX14" s="16" t="s">
        <v>17</v>
      </c>
      <c r="GY14" s="17">
        <v>2824.96158333333</v>
      </c>
      <c r="GZ14" s="20">
        <v>2651.0</v>
      </c>
      <c r="HA14" s="106">
        <f t="shared" si="34"/>
        <v>0.938419841</v>
      </c>
      <c r="HC14" s="16">
        <v>12.0</v>
      </c>
      <c r="HD14" s="16" t="s">
        <v>7</v>
      </c>
      <c r="HE14" s="17">
        <v>2356.85408333333</v>
      </c>
      <c r="HF14" s="18">
        <v>2547.5</v>
      </c>
      <c r="HG14" s="106">
        <f t="shared" si="35"/>
        <v>1.080889996</v>
      </c>
      <c r="HI14" s="16">
        <v>12.0</v>
      </c>
      <c r="HJ14" s="16" t="s">
        <v>13</v>
      </c>
      <c r="HK14" s="17">
        <v>3353.449538461538</v>
      </c>
      <c r="HL14" s="18">
        <v>1257.0</v>
      </c>
      <c r="HM14" s="106">
        <f t="shared" si="36"/>
        <v>0.3748379051</v>
      </c>
      <c r="HO14" s="16">
        <v>12.0</v>
      </c>
      <c r="HP14" s="16" t="s">
        <v>13</v>
      </c>
      <c r="HQ14" s="17">
        <v>3049.4403076923077</v>
      </c>
      <c r="HR14" s="18">
        <v>2442.5</v>
      </c>
      <c r="HS14" s="106">
        <f t="shared" si="37"/>
        <v>0.8009666541</v>
      </c>
      <c r="HU14" s="16">
        <v>12.0</v>
      </c>
      <c r="HV14" s="16" t="s">
        <v>20</v>
      </c>
      <c r="HW14" s="17">
        <v>4690.855583333334</v>
      </c>
      <c r="HX14" s="18">
        <v>4090.0</v>
      </c>
      <c r="HY14" s="106">
        <f t="shared" si="38"/>
        <v>0.8719091704</v>
      </c>
      <c r="HZ14" s="113"/>
      <c r="IA14" s="16">
        <v>12.0</v>
      </c>
      <c r="IB14" s="16" t="s">
        <v>9</v>
      </c>
      <c r="IC14" s="17">
        <v>2649.563933333334</v>
      </c>
      <c r="ID14" s="18">
        <v>2066.0</v>
      </c>
      <c r="IE14" s="106">
        <f t="shared" si="39"/>
        <v>0.7797509522</v>
      </c>
    </row>
    <row r="15">
      <c r="A15" s="95">
        <v>13.0</v>
      </c>
      <c r="B15" s="95" t="s">
        <v>7</v>
      </c>
      <c r="C15" s="103">
        <v>1900.0</v>
      </c>
      <c r="D15" s="68">
        <v>4060.5</v>
      </c>
      <c r="E15" s="104">
        <f t="shared" si="1"/>
        <v>2.137105263</v>
      </c>
      <c r="F15" s="90"/>
      <c r="G15" s="95">
        <v>13.0</v>
      </c>
      <c r="H15" s="95" t="s">
        <v>7</v>
      </c>
      <c r="I15" s="105">
        <v>3140.65</v>
      </c>
      <c r="J15" s="96">
        <v>1733.0</v>
      </c>
      <c r="K15" s="106">
        <f t="shared" si="2"/>
        <v>0.5517966026</v>
      </c>
      <c r="L15" s="90"/>
      <c r="M15" s="95">
        <v>13.0</v>
      </c>
      <c r="N15" s="95" t="s">
        <v>13</v>
      </c>
      <c r="O15" s="96">
        <v>2738.74755555556</v>
      </c>
      <c r="P15" s="96">
        <v>2426.5</v>
      </c>
      <c r="Q15" s="106">
        <f t="shared" si="3"/>
        <v>0.8859889241</v>
      </c>
      <c r="R15" s="90"/>
      <c r="S15" s="95">
        <v>13.0</v>
      </c>
      <c r="T15" s="95" t="s">
        <v>18</v>
      </c>
      <c r="U15" s="68">
        <v>4690.08846153846</v>
      </c>
      <c r="V15" s="68">
        <v>3590.5</v>
      </c>
      <c r="W15" s="106">
        <f t="shared" si="4"/>
        <v>0.7655505924</v>
      </c>
      <c r="X15" s="90"/>
      <c r="Y15" s="114">
        <v>13.0</v>
      </c>
      <c r="Z15" s="95" t="s">
        <v>9</v>
      </c>
      <c r="AA15" s="108">
        <v>3393.50875</v>
      </c>
      <c r="AB15" s="68">
        <v>2227.5</v>
      </c>
      <c r="AC15" s="106">
        <f t="shared" si="5"/>
        <v>0.6564002524</v>
      </c>
      <c r="AD15" s="90"/>
      <c r="AE15" s="114">
        <v>13.0</v>
      </c>
      <c r="AF15" s="95" t="s">
        <v>13</v>
      </c>
      <c r="AG15" s="108">
        <v>2743.68354782609</v>
      </c>
      <c r="AH15" s="68">
        <v>3606.02</v>
      </c>
      <c r="AI15" s="106">
        <f t="shared" si="6"/>
        <v>1.314298802</v>
      </c>
      <c r="AJ15" s="90"/>
      <c r="AK15" s="114">
        <v>13.0</v>
      </c>
      <c r="AL15" s="95" t="s">
        <v>20</v>
      </c>
      <c r="AM15" s="68">
        <v>4138.3610625</v>
      </c>
      <c r="AN15" s="68">
        <v>3816.5</v>
      </c>
      <c r="AO15" s="106">
        <f t="shared" si="7"/>
        <v>0.9222249925</v>
      </c>
      <c r="AP15" s="90"/>
      <c r="AQ15" s="95">
        <v>13.0</v>
      </c>
      <c r="AR15" s="95" t="s">
        <v>11</v>
      </c>
      <c r="AS15" s="68">
        <v>3715.95565384615</v>
      </c>
      <c r="AT15" s="68">
        <v>3068.0</v>
      </c>
      <c r="AU15" s="106">
        <f t="shared" si="8"/>
        <v>0.825628798</v>
      </c>
      <c r="AV15" s="90"/>
      <c r="AW15" s="95">
        <v>13.0</v>
      </c>
      <c r="AX15" s="95" t="s">
        <v>17</v>
      </c>
      <c r="AY15" s="68">
        <v>3996.56007692308</v>
      </c>
      <c r="AZ15" s="68">
        <v>6433.0</v>
      </c>
      <c r="BA15" s="106">
        <f t="shared" si="9"/>
        <v>1.609634255</v>
      </c>
      <c r="BB15" s="90"/>
      <c r="BC15" s="95">
        <v>13.0</v>
      </c>
      <c r="BD15" s="95" t="s">
        <v>7</v>
      </c>
      <c r="BE15" s="68">
        <v>2913.27507692308</v>
      </c>
      <c r="BF15" s="68">
        <v>2463.52</v>
      </c>
      <c r="BG15" s="106">
        <f t="shared" si="10"/>
        <v>0.8456187401</v>
      </c>
      <c r="BH15" s="90"/>
      <c r="BI15" s="95">
        <v>13.0</v>
      </c>
      <c r="BJ15" s="95" t="s">
        <v>11</v>
      </c>
      <c r="BK15" s="68">
        <v>3839.49681818182</v>
      </c>
      <c r="BL15" s="68">
        <v>3176.0</v>
      </c>
      <c r="BM15" s="106">
        <f t="shared" si="11"/>
        <v>0.827191726</v>
      </c>
      <c r="BN15" s="90"/>
      <c r="BO15" s="95">
        <v>13.0</v>
      </c>
      <c r="BP15" s="95" t="s">
        <v>18</v>
      </c>
      <c r="BQ15" s="68">
        <v>5199.17766666667</v>
      </c>
      <c r="BR15" s="68">
        <v>5902.04</v>
      </c>
      <c r="BS15" s="106">
        <f t="shared" si="12"/>
        <v>1.135187212</v>
      </c>
      <c r="BT15" s="90"/>
      <c r="BU15" s="95">
        <v>13.0</v>
      </c>
      <c r="BV15" s="95" t="s">
        <v>9</v>
      </c>
      <c r="BW15" s="68">
        <v>3554.17122980769</v>
      </c>
      <c r="BX15" s="68">
        <v>4739.5</v>
      </c>
      <c r="BY15" s="106">
        <f t="shared" si="13"/>
        <v>1.333503563</v>
      </c>
      <c r="BZ15" s="90"/>
      <c r="CA15" s="95">
        <v>13.0</v>
      </c>
      <c r="CB15" s="95" t="s">
        <v>11</v>
      </c>
      <c r="CC15" s="68">
        <v>3949.32755769231</v>
      </c>
      <c r="CD15" s="68">
        <v>4511.03</v>
      </c>
      <c r="CE15" s="106">
        <f t="shared" si="14"/>
        <v>1.142227363</v>
      </c>
      <c r="CF15" s="90"/>
      <c r="CG15" s="95">
        <v>13.0</v>
      </c>
      <c r="CH15" s="95" t="s">
        <v>18</v>
      </c>
      <c r="CI15" s="96">
        <v>6207.68088028846</v>
      </c>
      <c r="CJ15" s="68">
        <v>5133.04</v>
      </c>
      <c r="CK15" s="106">
        <f t="shared" si="15"/>
        <v>0.8268852892</v>
      </c>
      <c r="CL15" s="90"/>
      <c r="CM15" s="95">
        <v>13.0</v>
      </c>
      <c r="CN15" s="95" t="s">
        <v>7</v>
      </c>
      <c r="CO15" s="96">
        <v>3518.0440625</v>
      </c>
      <c r="CP15" s="70">
        <v>3067.68</v>
      </c>
      <c r="CQ15" s="106">
        <f t="shared" si="16"/>
        <v>0.8719845305</v>
      </c>
      <c r="CR15" s="90"/>
      <c r="CS15" s="95">
        <v>13.0</v>
      </c>
      <c r="CT15" s="95" t="s">
        <v>13</v>
      </c>
      <c r="CU15" s="96">
        <v>3452.2635</v>
      </c>
      <c r="CV15" s="68">
        <v>2266.57</v>
      </c>
      <c r="CW15" s="106">
        <f t="shared" si="17"/>
        <v>0.6565460603</v>
      </c>
      <c r="CX15" s="90"/>
      <c r="CY15" s="95">
        <v>13.0</v>
      </c>
      <c r="CZ15" s="95" t="s">
        <v>18</v>
      </c>
      <c r="DA15" s="96">
        <v>5263.61373958333</v>
      </c>
      <c r="DB15" s="68">
        <v>3434.54</v>
      </c>
      <c r="DC15" s="106">
        <f t="shared" si="18"/>
        <v>0.6525060861</v>
      </c>
      <c r="DD15" s="90"/>
      <c r="DE15" s="95">
        <v>13.0</v>
      </c>
      <c r="DF15" s="95" t="s">
        <v>9</v>
      </c>
      <c r="DG15" s="96">
        <v>3652.4061875</v>
      </c>
      <c r="DH15" s="68">
        <v>2837.1</v>
      </c>
      <c r="DI15" s="106">
        <f t="shared" si="19"/>
        <v>0.7767755979</v>
      </c>
      <c r="DJ15" s="90"/>
      <c r="DK15" s="95">
        <v>13.0</v>
      </c>
      <c r="DL15" s="95" t="s">
        <v>17</v>
      </c>
      <c r="DM15" s="96">
        <v>3230.885088</v>
      </c>
      <c r="DN15" s="68">
        <v>2431.5</v>
      </c>
      <c r="DO15" s="106">
        <f t="shared" si="20"/>
        <v>0.7525801549</v>
      </c>
      <c r="DP15" s="90"/>
      <c r="DQ15" s="95">
        <v>13.0</v>
      </c>
      <c r="DR15" s="95" t="s">
        <v>20</v>
      </c>
      <c r="DS15" s="96">
        <v>3162.9469375</v>
      </c>
      <c r="DT15" s="68">
        <v>6097.03</v>
      </c>
      <c r="DU15" s="106">
        <f t="shared" si="21"/>
        <v>1.927642202</v>
      </c>
      <c r="DV15" s="90"/>
      <c r="DW15" s="95">
        <v>13.0</v>
      </c>
      <c r="DX15" s="95" t="s">
        <v>11</v>
      </c>
      <c r="DY15" s="96">
        <v>3406.579505</v>
      </c>
      <c r="DZ15" s="68">
        <v>6840.76</v>
      </c>
      <c r="EA15" s="106">
        <f t="shared" si="22"/>
        <v>2.008102259</v>
      </c>
      <c r="EB15" s="90"/>
      <c r="EC15" s="95">
        <v>13.0</v>
      </c>
      <c r="ED15" s="95" t="s">
        <v>17</v>
      </c>
      <c r="EE15" s="96">
        <v>3996.95769230769</v>
      </c>
      <c r="EF15" s="68">
        <v>3563.35</v>
      </c>
      <c r="EG15" s="106">
        <f t="shared" si="23"/>
        <v>0.8915155662</v>
      </c>
      <c r="EH15" s="113"/>
      <c r="EI15" s="95">
        <v>13.0</v>
      </c>
      <c r="EJ15" s="95" t="s">
        <v>7</v>
      </c>
      <c r="EK15" s="96">
        <v>3161.80644230769</v>
      </c>
      <c r="EL15" s="68">
        <v>2271.75</v>
      </c>
      <c r="EM15" s="106">
        <f t="shared" si="40"/>
        <v>0.7184974923</v>
      </c>
      <c r="EN15" s="90"/>
      <c r="EO15" s="95">
        <v>13.0</v>
      </c>
      <c r="EP15" s="95" t="s">
        <v>13</v>
      </c>
      <c r="EQ15" s="96">
        <v>3504.97196296296</v>
      </c>
      <c r="ER15" s="68">
        <v>4701.75</v>
      </c>
      <c r="ES15" s="106">
        <f t="shared" si="24"/>
        <v>1.341451529</v>
      </c>
      <c r="ET15" s="90"/>
      <c r="EU15" s="95">
        <v>13.0</v>
      </c>
      <c r="EV15" s="95" t="s">
        <v>13</v>
      </c>
      <c r="EW15" s="96">
        <v>3699.33934615385</v>
      </c>
      <c r="EX15" s="68">
        <v>3370.25</v>
      </c>
      <c r="EY15" s="106">
        <f t="shared" si="25"/>
        <v>0.9110410494</v>
      </c>
      <c r="FA15" s="95">
        <v>13.0</v>
      </c>
      <c r="FB15" s="95" t="s">
        <v>20</v>
      </c>
      <c r="FC15" s="96">
        <v>5046.12053846154</v>
      </c>
      <c r="FD15" s="68">
        <v>2786.01</v>
      </c>
      <c r="FE15" s="106">
        <f t="shared" si="26"/>
        <v>0.5521092845</v>
      </c>
      <c r="FG15" s="95">
        <v>13.0</v>
      </c>
      <c r="FH15" s="95" t="s">
        <v>9</v>
      </c>
      <c r="FI15" s="96">
        <v>3878.677</v>
      </c>
      <c r="FJ15" s="68">
        <v>1942.27</v>
      </c>
      <c r="FK15" s="106">
        <f t="shared" si="27"/>
        <v>0.5007557989</v>
      </c>
      <c r="FL15" s="113"/>
      <c r="FM15" s="95">
        <v>13.0</v>
      </c>
      <c r="FN15" s="95" t="s">
        <v>17</v>
      </c>
      <c r="FO15" s="96">
        <v>3504.46842307692</v>
      </c>
      <c r="FP15" s="68">
        <v>1930.5</v>
      </c>
      <c r="FQ15" s="106">
        <f t="shared" si="28"/>
        <v>0.5508681395</v>
      </c>
      <c r="FS15" s="95">
        <v>13.0</v>
      </c>
      <c r="FT15" s="95" t="s">
        <v>20</v>
      </c>
      <c r="FU15" s="96">
        <v>4348.39307692308</v>
      </c>
      <c r="FV15" s="68">
        <v>2679.07</v>
      </c>
      <c r="FW15" s="106">
        <f t="shared" si="29"/>
        <v>0.6161057551</v>
      </c>
      <c r="FY15" s="95">
        <v>13.0</v>
      </c>
      <c r="FZ15" s="95" t="s">
        <v>11</v>
      </c>
      <c r="GA15" s="96">
        <v>3303.29538461538</v>
      </c>
      <c r="GB15" s="68">
        <v>3561.52</v>
      </c>
      <c r="GC15" s="106">
        <f t="shared" si="30"/>
        <v>1.078171821</v>
      </c>
      <c r="GE15" s="16">
        <v>13.0</v>
      </c>
      <c r="GF15" s="16" t="s">
        <v>18</v>
      </c>
      <c r="GG15" s="17">
        <v>4334.40196296296</v>
      </c>
      <c r="GH15" s="20">
        <v>3593.8</v>
      </c>
      <c r="GI15" s="106">
        <f t="shared" si="31"/>
        <v>0.8291339914</v>
      </c>
      <c r="GK15" s="16">
        <v>13.0</v>
      </c>
      <c r="GL15" s="16" t="s">
        <v>7</v>
      </c>
      <c r="GM15" s="5">
        <v>2544.11846153846</v>
      </c>
      <c r="GN15" s="20">
        <v>1076.01</v>
      </c>
      <c r="GO15" s="106">
        <f t="shared" si="32"/>
        <v>0.4229402114</v>
      </c>
      <c r="GQ15" s="16">
        <v>13.0</v>
      </c>
      <c r="GR15" s="16" t="s">
        <v>13</v>
      </c>
      <c r="GS15" s="5">
        <v>3624.13779903846</v>
      </c>
      <c r="GT15" s="20">
        <v>2209.0</v>
      </c>
      <c r="GU15" s="106">
        <f t="shared" si="33"/>
        <v>0.6095242848</v>
      </c>
      <c r="GW15" s="16">
        <v>13.0</v>
      </c>
      <c r="GX15" s="16" t="s">
        <v>18</v>
      </c>
      <c r="GY15" s="5">
        <v>3969.18954166667</v>
      </c>
      <c r="GZ15" s="20">
        <v>4429.01</v>
      </c>
      <c r="HA15" s="106">
        <f t="shared" si="34"/>
        <v>1.115847443</v>
      </c>
      <c r="HC15" s="16">
        <v>13.0</v>
      </c>
      <c r="HD15" s="16" t="s">
        <v>9</v>
      </c>
      <c r="HE15" s="17">
        <v>2287.03039583333</v>
      </c>
      <c r="HF15" s="18">
        <v>1989.0</v>
      </c>
      <c r="HG15" s="106">
        <f t="shared" si="35"/>
        <v>0.869686736</v>
      </c>
      <c r="HI15" s="16">
        <v>13.0</v>
      </c>
      <c r="HJ15" s="16" t="s">
        <v>17</v>
      </c>
      <c r="HK15" s="17">
        <v>3092.8636666666666</v>
      </c>
      <c r="HL15" s="18">
        <v>1471.5</v>
      </c>
      <c r="HM15" s="106">
        <f t="shared" si="36"/>
        <v>0.4757726685</v>
      </c>
      <c r="HO15" s="16">
        <v>13.0</v>
      </c>
      <c r="HP15" s="16" t="s">
        <v>17</v>
      </c>
      <c r="HQ15" s="17">
        <v>3011.8659999999995</v>
      </c>
      <c r="HR15" s="18">
        <v>2079.0</v>
      </c>
      <c r="HS15" s="106">
        <f t="shared" si="37"/>
        <v>0.690269753</v>
      </c>
      <c r="HU15" s="16">
        <v>13.0</v>
      </c>
      <c r="HV15" s="16" t="s">
        <v>7</v>
      </c>
      <c r="HW15" s="17">
        <v>2460.2421250000007</v>
      </c>
      <c r="HX15" s="18">
        <v>1953.0</v>
      </c>
      <c r="HY15" s="106">
        <f t="shared" si="38"/>
        <v>0.793824307</v>
      </c>
      <c r="HZ15" s="113"/>
      <c r="IA15" s="16">
        <v>13.0</v>
      </c>
      <c r="IB15" s="16" t="s">
        <v>11</v>
      </c>
      <c r="IC15" s="17">
        <v>2953.7709090909098</v>
      </c>
      <c r="ID15" s="18">
        <v>3548.0</v>
      </c>
      <c r="IE15" s="106">
        <f t="shared" si="39"/>
        <v>1.201176431</v>
      </c>
    </row>
    <row r="16">
      <c r="A16" s="95">
        <v>14.0</v>
      </c>
      <c r="B16" s="95" t="s">
        <v>9</v>
      </c>
      <c r="C16" s="103">
        <v>2000.0</v>
      </c>
      <c r="D16" s="68">
        <v>3627.5</v>
      </c>
      <c r="E16" s="104">
        <f t="shared" si="1"/>
        <v>1.81375</v>
      </c>
      <c r="F16" s="90"/>
      <c r="G16" s="95">
        <v>14.0</v>
      </c>
      <c r="H16" s="95" t="s">
        <v>9</v>
      </c>
      <c r="I16" s="105">
        <v>3785.785</v>
      </c>
      <c r="J16" s="96">
        <v>3690.0</v>
      </c>
      <c r="K16" s="106">
        <f t="shared" si="2"/>
        <v>0.9746987745</v>
      </c>
      <c r="L16" s="90"/>
      <c r="M16" s="95">
        <v>14.0</v>
      </c>
      <c r="N16" s="95" t="s">
        <v>17</v>
      </c>
      <c r="O16" s="96">
        <v>3468.6145</v>
      </c>
      <c r="P16" s="96">
        <v>6451.0</v>
      </c>
      <c r="Q16" s="106">
        <f t="shared" si="3"/>
        <v>1.859820398</v>
      </c>
      <c r="R16" s="90"/>
      <c r="S16" s="95">
        <v>14.0</v>
      </c>
      <c r="T16" s="95" t="s">
        <v>20</v>
      </c>
      <c r="U16" s="68">
        <v>4046.23923076923</v>
      </c>
      <c r="V16" s="68">
        <v>2005.5</v>
      </c>
      <c r="W16" s="106">
        <f t="shared" si="4"/>
        <v>0.4956454341</v>
      </c>
      <c r="X16" s="90"/>
      <c r="Y16" s="114">
        <v>14.0</v>
      </c>
      <c r="Z16" s="95" t="s">
        <v>11</v>
      </c>
      <c r="AA16" s="108">
        <v>3016.24352941176</v>
      </c>
      <c r="AB16" s="68">
        <v>3156.51</v>
      </c>
      <c r="AC16" s="106">
        <f t="shared" si="5"/>
        <v>1.046503695</v>
      </c>
      <c r="AD16" s="90"/>
      <c r="AE16" s="114">
        <v>14.0</v>
      </c>
      <c r="AF16" s="95" t="s">
        <v>17</v>
      </c>
      <c r="AG16" s="108">
        <v>3548.44762608696</v>
      </c>
      <c r="AH16" s="68">
        <v>3082.5</v>
      </c>
      <c r="AI16" s="106">
        <f t="shared" si="6"/>
        <v>0.8686897271</v>
      </c>
      <c r="AJ16" s="90"/>
      <c r="AK16" s="114">
        <v>14.0</v>
      </c>
      <c r="AL16" s="95" t="s">
        <v>7</v>
      </c>
      <c r="AM16" s="68">
        <v>2705.10176086957</v>
      </c>
      <c r="AN16" s="68">
        <v>4478.0</v>
      </c>
      <c r="AO16" s="106">
        <f t="shared" si="7"/>
        <v>1.65539059</v>
      </c>
      <c r="AP16" s="90"/>
      <c r="AQ16" s="95">
        <v>14.0</v>
      </c>
      <c r="AR16" s="95" t="s">
        <v>13</v>
      </c>
      <c r="AS16" s="68">
        <v>3620.97675</v>
      </c>
      <c r="AT16" s="68">
        <v>2362.0</v>
      </c>
      <c r="AU16" s="106">
        <f t="shared" si="8"/>
        <v>0.6523101812</v>
      </c>
      <c r="AV16" s="90"/>
      <c r="AW16" s="95">
        <v>14.0</v>
      </c>
      <c r="AX16" s="95" t="s">
        <v>18</v>
      </c>
      <c r="AY16" s="68">
        <v>5060.51798571429</v>
      </c>
      <c r="AZ16" s="68">
        <v>7005.0</v>
      </c>
      <c r="BA16" s="106">
        <f t="shared" si="9"/>
        <v>1.384245648</v>
      </c>
      <c r="BB16" s="90"/>
      <c r="BC16" s="95">
        <v>14.0</v>
      </c>
      <c r="BD16" s="95" t="s">
        <v>9</v>
      </c>
      <c r="BE16" s="68">
        <v>3379.77075</v>
      </c>
      <c r="BF16" s="68">
        <v>3122.5</v>
      </c>
      <c r="BG16" s="106">
        <f t="shared" si="10"/>
        <v>0.9238792306</v>
      </c>
      <c r="BH16" s="90"/>
      <c r="BI16" s="95">
        <v>14.0</v>
      </c>
      <c r="BJ16" s="95" t="s">
        <v>13</v>
      </c>
      <c r="BK16" s="68">
        <v>3758.82436363636</v>
      </c>
      <c r="BL16" s="68">
        <v>3841.51</v>
      </c>
      <c r="BM16" s="106">
        <f t="shared" si="11"/>
        <v>1.021997739</v>
      </c>
      <c r="BN16" s="90"/>
      <c r="BO16" s="95">
        <v>14.0</v>
      </c>
      <c r="BP16" s="95" t="s">
        <v>20</v>
      </c>
      <c r="BQ16" s="68">
        <v>5304.46266</v>
      </c>
      <c r="BR16" s="68">
        <v>6163.5</v>
      </c>
      <c r="BS16" s="106">
        <f t="shared" si="12"/>
        <v>1.161946156</v>
      </c>
      <c r="BT16" s="90"/>
      <c r="BU16" s="95">
        <v>14.0</v>
      </c>
      <c r="BV16" s="95" t="s">
        <v>11</v>
      </c>
      <c r="BW16" s="68">
        <v>3944.74966442308</v>
      </c>
      <c r="BX16" s="68">
        <v>3983.03</v>
      </c>
      <c r="BY16" s="106">
        <f t="shared" si="13"/>
        <v>1.009704123</v>
      </c>
      <c r="BZ16" s="90"/>
      <c r="CA16" s="95">
        <v>14.0</v>
      </c>
      <c r="CB16" s="95" t="s">
        <v>13</v>
      </c>
      <c r="CC16" s="68">
        <v>3966.21415384615</v>
      </c>
      <c r="CD16" s="68">
        <v>2940.52</v>
      </c>
      <c r="CE16" s="106">
        <f t="shared" si="14"/>
        <v>0.7413921402</v>
      </c>
      <c r="CF16" s="90"/>
      <c r="CG16" s="95">
        <v>14.0</v>
      </c>
      <c r="CH16" s="95" t="s">
        <v>20</v>
      </c>
      <c r="CI16" s="96">
        <v>6371.97246875</v>
      </c>
      <c r="CJ16" s="68">
        <v>4879.5</v>
      </c>
      <c r="CK16" s="106">
        <f t="shared" si="15"/>
        <v>0.7657754367</v>
      </c>
      <c r="CL16" s="90"/>
      <c r="CM16" s="95">
        <v>14.0</v>
      </c>
      <c r="CN16" s="95" t="s">
        <v>9</v>
      </c>
      <c r="CO16" s="96">
        <v>4420.4125625</v>
      </c>
      <c r="CP16" s="70">
        <v>2663.59</v>
      </c>
      <c r="CQ16" s="106">
        <f t="shared" si="16"/>
        <v>0.6025659285</v>
      </c>
      <c r="CR16" s="90"/>
      <c r="CS16" s="95">
        <v>14.0</v>
      </c>
      <c r="CT16" s="95" t="s">
        <v>17</v>
      </c>
      <c r="CU16" s="96">
        <v>3827.424</v>
      </c>
      <c r="CV16" s="68">
        <v>3083.04</v>
      </c>
      <c r="CW16" s="106">
        <f t="shared" si="17"/>
        <v>0.8055130553</v>
      </c>
      <c r="CX16" s="90"/>
      <c r="CY16" s="95">
        <v>14.0</v>
      </c>
      <c r="CZ16" s="95" t="s">
        <v>20</v>
      </c>
      <c r="DA16" s="96">
        <v>4936.90694791667</v>
      </c>
      <c r="DB16" s="68">
        <v>2638.06</v>
      </c>
      <c r="DC16" s="106">
        <f t="shared" si="18"/>
        <v>0.5343548152</v>
      </c>
      <c r="DD16" s="90"/>
      <c r="DE16" s="95">
        <v>14.0</v>
      </c>
      <c r="DF16" s="95" t="s">
        <v>11</v>
      </c>
      <c r="DG16" s="96">
        <v>3405.940125</v>
      </c>
      <c r="DH16" s="68">
        <v>3064.52</v>
      </c>
      <c r="DI16" s="106">
        <f t="shared" si="19"/>
        <v>0.8997574495</v>
      </c>
      <c r="DJ16" s="90"/>
      <c r="DK16" s="95">
        <v>14.0</v>
      </c>
      <c r="DL16" s="95" t="s">
        <v>18</v>
      </c>
      <c r="DM16" s="96">
        <v>4178.504736</v>
      </c>
      <c r="DN16" s="68">
        <v>3454.51</v>
      </c>
      <c r="DO16" s="106">
        <f t="shared" si="20"/>
        <v>0.8267335371</v>
      </c>
      <c r="DP16" s="90"/>
      <c r="DQ16" s="95">
        <v>14.0</v>
      </c>
      <c r="DR16" s="95" t="s">
        <v>7</v>
      </c>
      <c r="DS16" s="96">
        <v>2653.7599375</v>
      </c>
      <c r="DT16" s="68">
        <v>1874.51</v>
      </c>
      <c r="DU16" s="106">
        <f t="shared" si="21"/>
        <v>0.7063600492</v>
      </c>
      <c r="DV16" s="90"/>
      <c r="DW16" s="95">
        <v>14.0</v>
      </c>
      <c r="DX16" s="95" t="s">
        <v>13</v>
      </c>
      <c r="DY16" s="96">
        <v>3326.5761375</v>
      </c>
      <c r="DZ16" s="68">
        <v>3973.78</v>
      </c>
      <c r="EA16" s="106">
        <f t="shared" si="22"/>
        <v>1.194555554</v>
      </c>
      <c r="EB16" s="90"/>
      <c r="EC16" s="95">
        <v>14.0</v>
      </c>
      <c r="ED16" s="95" t="s">
        <v>18</v>
      </c>
      <c r="EE16" s="96">
        <v>4853.73777777778</v>
      </c>
      <c r="EF16" s="68">
        <v>2487.0</v>
      </c>
      <c r="EG16" s="106">
        <f t="shared" si="23"/>
        <v>0.5123886196</v>
      </c>
      <c r="EH16" s="113"/>
      <c r="EI16" s="95">
        <v>14.0</v>
      </c>
      <c r="EJ16" s="95" t="s">
        <v>9</v>
      </c>
      <c r="EK16" s="96">
        <v>3526.95252</v>
      </c>
      <c r="EL16" s="68">
        <v>3730.25</v>
      </c>
      <c r="EM16" s="106">
        <f t="shared" si="40"/>
        <v>1.057641116</v>
      </c>
      <c r="EN16" s="90"/>
      <c r="EO16" s="95">
        <v>14.0</v>
      </c>
      <c r="EP16" s="95" t="s">
        <v>17</v>
      </c>
      <c r="EQ16" s="96">
        <v>3756.49266666667</v>
      </c>
      <c r="ER16" s="68">
        <v>3829.5</v>
      </c>
      <c r="ES16" s="106">
        <f t="shared" si="24"/>
        <v>1.019434973</v>
      </c>
      <c r="ET16" s="90"/>
      <c r="EU16" s="95">
        <v>14.0</v>
      </c>
      <c r="EV16" s="95" t="s">
        <v>17</v>
      </c>
      <c r="EW16" s="96">
        <v>4094.86380769231</v>
      </c>
      <c r="EX16" s="68">
        <v>2659.01</v>
      </c>
      <c r="EY16" s="106">
        <f t="shared" si="25"/>
        <v>0.6493524876</v>
      </c>
      <c r="FA16" s="95">
        <v>14.0</v>
      </c>
      <c r="FB16" s="95" t="s">
        <v>7</v>
      </c>
      <c r="FC16" s="96">
        <v>3488.60176923077</v>
      </c>
      <c r="FD16" s="68">
        <v>2065.51</v>
      </c>
      <c r="FE16" s="106">
        <f t="shared" si="26"/>
        <v>0.5920738842</v>
      </c>
      <c r="FG16" s="95">
        <v>14.0</v>
      </c>
      <c r="FH16" s="95" t="s">
        <v>11</v>
      </c>
      <c r="FI16" s="96">
        <v>3929.07108</v>
      </c>
      <c r="FJ16" s="68">
        <v>2700.0</v>
      </c>
      <c r="FK16" s="106">
        <f t="shared" si="27"/>
        <v>0.6871853283</v>
      </c>
      <c r="FL16" s="113"/>
      <c r="FM16" s="95">
        <v>14.0</v>
      </c>
      <c r="FN16" s="95" t="s">
        <v>18</v>
      </c>
      <c r="FO16" s="96">
        <v>4887.0415</v>
      </c>
      <c r="FP16" s="68">
        <v>3716.29</v>
      </c>
      <c r="FQ16" s="106">
        <f t="shared" si="28"/>
        <v>0.7604375776</v>
      </c>
      <c r="FS16" s="95">
        <v>14.0</v>
      </c>
      <c r="FT16" s="95" t="s">
        <v>7</v>
      </c>
      <c r="FU16" s="96">
        <v>2816.69469230769</v>
      </c>
      <c r="FV16" s="68">
        <v>1470.52</v>
      </c>
      <c r="FW16" s="106">
        <f t="shared" si="29"/>
        <v>0.5220729119</v>
      </c>
      <c r="FY16" s="95">
        <v>14.0</v>
      </c>
      <c r="FZ16" s="95" t="s">
        <v>13</v>
      </c>
      <c r="GA16" s="96">
        <v>3318.94157692308</v>
      </c>
      <c r="GB16" s="68">
        <v>2677.52</v>
      </c>
      <c r="GC16" s="106">
        <f t="shared" si="30"/>
        <v>0.8067391179</v>
      </c>
      <c r="GE16" s="16">
        <v>14.0</v>
      </c>
      <c r="GF16" s="16" t="s">
        <v>20</v>
      </c>
      <c r="GG16" s="17">
        <v>3846.46377777778</v>
      </c>
      <c r="GH16" s="20">
        <v>2751.0</v>
      </c>
      <c r="GI16" s="106">
        <f t="shared" si="31"/>
        <v>0.7152023674</v>
      </c>
      <c r="GK16" s="16">
        <v>14.0</v>
      </c>
      <c r="GL16" s="16" t="s">
        <v>9</v>
      </c>
      <c r="GM16" s="17">
        <v>2506.32326923077</v>
      </c>
      <c r="GN16" s="20">
        <v>2593.01</v>
      </c>
      <c r="GO16" s="106">
        <f t="shared" si="32"/>
        <v>1.034587211</v>
      </c>
      <c r="GQ16" s="16">
        <v>14.0</v>
      </c>
      <c r="GR16" s="16" t="s">
        <v>17</v>
      </c>
      <c r="GS16" s="17">
        <v>3463.70379807693</v>
      </c>
      <c r="GT16" s="20">
        <v>2235.0</v>
      </c>
      <c r="GU16" s="106">
        <f t="shared" si="33"/>
        <v>0.6452630278</v>
      </c>
      <c r="GW16" s="16">
        <v>14.0</v>
      </c>
      <c r="GX16" s="16" t="s">
        <v>20</v>
      </c>
      <c r="GY16" s="17">
        <v>4064.60462</v>
      </c>
      <c r="GZ16" s="20">
        <v>2350.5</v>
      </c>
      <c r="HA16" s="106">
        <f t="shared" si="34"/>
        <v>0.5782850289</v>
      </c>
      <c r="HC16" s="16">
        <v>14.0</v>
      </c>
      <c r="HD16" s="16" t="s">
        <v>11</v>
      </c>
      <c r="HE16" s="41">
        <v>2757.4024375</v>
      </c>
      <c r="HF16" s="18">
        <v>3473.04</v>
      </c>
      <c r="HG16" s="106">
        <f t="shared" si="35"/>
        <v>1.259533231</v>
      </c>
      <c r="HI16" s="16">
        <v>14.0</v>
      </c>
      <c r="HJ16" s="16" t="s">
        <v>18</v>
      </c>
      <c r="HK16" s="41">
        <v>4778.571148148147</v>
      </c>
      <c r="HL16" s="18">
        <v>3689.5</v>
      </c>
      <c r="HM16" s="106">
        <f t="shared" si="36"/>
        <v>0.7720927209</v>
      </c>
      <c r="HO16" s="16">
        <v>14.0</v>
      </c>
      <c r="HP16" s="16" t="s">
        <v>18</v>
      </c>
      <c r="HQ16" s="41">
        <v>4793.871076923077</v>
      </c>
      <c r="HR16" s="18">
        <v>2945.5</v>
      </c>
      <c r="HS16" s="106">
        <f t="shared" si="37"/>
        <v>0.6144303743</v>
      </c>
      <c r="HU16" s="16">
        <v>14.0</v>
      </c>
      <c r="HV16" s="16" t="s">
        <v>9</v>
      </c>
      <c r="HW16" s="41">
        <v>2676.4526250000004</v>
      </c>
      <c r="HX16" s="18">
        <v>2354.55</v>
      </c>
      <c r="HY16" s="106">
        <f t="shared" si="38"/>
        <v>0.8797278823</v>
      </c>
      <c r="HZ16" s="113"/>
      <c r="IA16" s="16">
        <v>14.0</v>
      </c>
      <c r="IB16" s="16" t="s">
        <v>13</v>
      </c>
      <c r="IC16" s="41">
        <v>2785.570200000001</v>
      </c>
      <c r="ID16" s="18">
        <v>1981.53</v>
      </c>
      <c r="IE16" s="106">
        <f t="shared" si="39"/>
        <v>0.711355255</v>
      </c>
    </row>
    <row r="17">
      <c r="A17" s="95">
        <v>15.0</v>
      </c>
      <c r="B17" s="95" t="s">
        <v>11</v>
      </c>
      <c r="C17" s="103">
        <v>2500.0</v>
      </c>
      <c r="D17" s="68">
        <v>3655.62</v>
      </c>
      <c r="E17" s="104">
        <f t="shared" si="1"/>
        <v>1.462248</v>
      </c>
      <c r="F17" s="90"/>
      <c r="G17" s="95">
        <v>15.0</v>
      </c>
      <c r="H17" s="95" t="s">
        <v>11</v>
      </c>
      <c r="I17" s="105">
        <v>3528.2075</v>
      </c>
      <c r="J17" s="96">
        <v>3608.5</v>
      </c>
      <c r="K17" s="106">
        <f t="shared" si="2"/>
        <v>1.022757307</v>
      </c>
      <c r="L17" s="90"/>
      <c r="M17" s="95">
        <v>15.0</v>
      </c>
      <c r="N17" s="95" t="s">
        <v>18</v>
      </c>
      <c r="O17" s="96">
        <v>4968.2295</v>
      </c>
      <c r="P17" s="96">
        <v>4568.5</v>
      </c>
      <c r="Q17" s="106">
        <f t="shared" si="3"/>
        <v>0.9195428673</v>
      </c>
      <c r="R17" s="90"/>
      <c r="S17" s="95">
        <v>15.0</v>
      </c>
      <c r="T17" s="95" t="s">
        <v>7</v>
      </c>
      <c r="U17" s="68">
        <v>2494.38333333333</v>
      </c>
      <c r="V17" s="68">
        <v>2120.5</v>
      </c>
      <c r="W17" s="106">
        <f t="shared" si="4"/>
        <v>0.8501099136</v>
      </c>
      <c r="X17" s="90"/>
      <c r="Y17" s="114">
        <v>15.0</v>
      </c>
      <c r="Z17" s="95" t="s">
        <v>13</v>
      </c>
      <c r="AA17" s="108">
        <v>2559.51111111111</v>
      </c>
      <c r="AB17" s="68">
        <v>2657.51</v>
      </c>
      <c r="AC17" s="106">
        <f t="shared" si="5"/>
        <v>1.038288128</v>
      </c>
      <c r="AD17" s="90"/>
      <c r="AE17" s="114">
        <v>15.0</v>
      </c>
      <c r="AF17" s="95" t="s">
        <v>18</v>
      </c>
      <c r="AG17" s="108">
        <v>4238.41114090909</v>
      </c>
      <c r="AH17" s="68">
        <v>3862.0</v>
      </c>
      <c r="AI17" s="106">
        <f t="shared" si="6"/>
        <v>0.9111905079</v>
      </c>
      <c r="AJ17" s="90"/>
      <c r="AK17" s="114">
        <v>15.0</v>
      </c>
      <c r="AL17" s="95" t="s">
        <v>9</v>
      </c>
      <c r="AM17" s="68">
        <v>3417.11331818182</v>
      </c>
      <c r="AN17" s="68">
        <v>3859.0</v>
      </c>
      <c r="AO17" s="106">
        <f t="shared" si="7"/>
        <v>1.129315782</v>
      </c>
      <c r="AP17" s="90"/>
      <c r="AQ17" s="95">
        <v>15.0</v>
      </c>
      <c r="AR17" s="95" t="s">
        <v>17</v>
      </c>
      <c r="AS17" s="68">
        <v>3514.63915384615</v>
      </c>
      <c r="AT17" s="68">
        <v>3320.5</v>
      </c>
      <c r="AU17" s="106">
        <f t="shared" si="8"/>
        <v>0.9447627067</v>
      </c>
      <c r="AV17" s="90"/>
      <c r="AW17" s="95">
        <v>15.0</v>
      </c>
      <c r="AX17" s="95" t="s">
        <v>20</v>
      </c>
      <c r="AY17" s="68">
        <v>4746.31186153846</v>
      </c>
      <c r="AZ17" s="68">
        <v>6027.0</v>
      </c>
      <c r="BA17" s="106">
        <f t="shared" si="9"/>
        <v>1.269828064</v>
      </c>
      <c r="BB17" s="90"/>
      <c r="BC17" s="95">
        <v>15.0</v>
      </c>
      <c r="BD17" s="95" t="s">
        <v>11</v>
      </c>
      <c r="BE17" s="68">
        <v>3500.343</v>
      </c>
      <c r="BF17" s="68">
        <v>8558.5</v>
      </c>
      <c r="BG17" s="106">
        <f t="shared" si="10"/>
        <v>2.4450461</v>
      </c>
      <c r="BH17" s="90"/>
      <c r="BI17" s="95">
        <v>15.0</v>
      </c>
      <c r="BJ17" s="95" t="s">
        <v>17</v>
      </c>
      <c r="BK17" s="68">
        <v>4128.831</v>
      </c>
      <c r="BL17" s="68">
        <v>2814.01</v>
      </c>
      <c r="BM17" s="106">
        <f t="shared" si="11"/>
        <v>0.6815512672</v>
      </c>
      <c r="BN17" s="90"/>
      <c r="BO17" s="95">
        <v>15.0</v>
      </c>
      <c r="BP17" s="95" t="s">
        <v>7</v>
      </c>
      <c r="BQ17" s="68">
        <v>3068.69284615385</v>
      </c>
      <c r="BR17" s="68">
        <v>2846.51</v>
      </c>
      <c r="BS17" s="106">
        <f t="shared" si="12"/>
        <v>0.9275969094</v>
      </c>
      <c r="BT17" s="90"/>
      <c r="BU17" s="95">
        <v>15.0</v>
      </c>
      <c r="BV17" s="95" t="s">
        <v>13</v>
      </c>
      <c r="BW17" s="68">
        <v>3978.47259519231</v>
      </c>
      <c r="BX17" s="68">
        <v>4318.03</v>
      </c>
      <c r="BY17" s="106">
        <f t="shared" si="13"/>
        <v>1.085348685</v>
      </c>
      <c r="BZ17" s="90"/>
      <c r="CA17" s="95">
        <v>15.0</v>
      </c>
      <c r="CB17" s="95" t="s">
        <v>17</v>
      </c>
      <c r="CC17" s="68">
        <v>4398.80697115385</v>
      </c>
      <c r="CD17" s="68">
        <v>3841.5</v>
      </c>
      <c r="CE17" s="106">
        <f t="shared" si="14"/>
        <v>0.8733049723</v>
      </c>
      <c r="CF17" s="90"/>
      <c r="CG17" s="95">
        <v>15.0</v>
      </c>
      <c r="CH17" s="95" t="s">
        <v>7</v>
      </c>
      <c r="CI17" s="96">
        <v>3421.84686778846</v>
      </c>
      <c r="CJ17" s="68">
        <v>3081.04</v>
      </c>
      <c r="CK17" s="106">
        <f t="shared" si="15"/>
        <v>0.9004026536</v>
      </c>
      <c r="CL17" s="90"/>
      <c r="CM17" s="95">
        <v>15.0</v>
      </c>
      <c r="CN17" s="95" t="s">
        <v>11</v>
      </c>
      <c r="CO17" s="96">
        <v>4042.78086666667</v>
      </c>
      <c r="CP17" s="70">
        <v>2751.06</v>
      </c>
      <c r="CQ17" s="106">
        <f t="shared" si="16"/>
        <v>0.6804870436</v>
      </c>
      <c r="CR17" s="90"/>
      <c r="CS17" s="95">
        <v>15.0</v>
      </c>
      <c r="CT17" s="95" t="s">
        <v>18</v>
      </c>
      <c r="CU17" s="96">
        <v>5622.48052631579</v>
      </c>
      <c r="CV17" s="68">
        <v>2458.84</v>
      </c>
      <c r="CW17" s="106">
        <f t="shared" si="17"/>
        <v>0.4373229909</v>
      </c>
      <c r="CX17" s="90"/>
      <c r="CY17" s="95">
        <v>15.0</v>
      </c>
      <c r="CZ17" s="95" t="s">
        <v>7</v>
      </c>
      <c r="DA17" s="96">
        <v>2939.27120833333</v>
      </c>
      <c r="DB17" s="68">
        <v>2651.58</v>
      </c>
      <c r="DC17" s="106">
        <f t="shared" si="18"/>
        <v>0.9021215846</v>
      </c>
      <c r="DD17" s="90"/>
      <c r="DE17" s="95">
        <v>15.0</v>
      </c>
      <c r="DF17" s="95" t="s">
        <v>13</v>
      </c>
      <c r="DG17" s="96">
        <v>3410.6576875</v>
      </c>
      <c r="DH17" s="68">
        <v>2748.05</v>
      </c>
      <c r="DI17" s="106">
        <f t="shared" si="19"/>
        <v>0.8057243651</v>
      </c>
      <c r="DJ17" s="90"/>
      <c r="DK17" s="95">
        <v>15.0</v>
      </c>
      <c r="DL17" s="95" t="s">
        <v>20</v>
      </c>
      <c r="DM17" s="96">
        <v>3817.06353333333</v>
      </c>
      <c r="DN17" s="68">
        <v>2628.53</v>
      </c>
      <c r="DO17" s="106">
        <f t="shared" si="20"/>
        <v>0.6886262115</v>
      </c>
      <c r="DP17" s="90"/>
      <c r="DQ17" s="95">
        <v>15.0</v>
      </c>
      <c r="DR17" s="95" t="s">
        <v>9</v>
      </c>
      <c r="DS17" s="96">
        <v>3195.7760625</v>
      </c>
      <c r="DT17" s="68">
        <v>3094.03</v>
      </c>
      <c r="DU17" s="106">
        <f t="shared" si="21"/>
        <v>0.9681623304</v>
      </c>
      <c r="DV17" s="90"/>
      <c r="DW17" s="95">
        <v>15.0</v>
      </c>
      <c r="DX17" s="95" t="s">
        <v>17</v>
      </c>
      <c r="DY17" s="112">
        <v>3392.4293424</v>
      </c>
      <c r="DZ17" s="68">
        <v>8689.26</v>
      </c>
      <c r="EA17" s="106">
        <f t="shared" si="22"/>
        <v>2.561368012</v>
      </c>
      <c r="EB17" s="90"/>
      <c r="EC17" s="95">
        <v>15.0</v>
      </c>
      <c r="ED17" s="95" t="s">
        <v>20</v>
      </c>
      <c r="EE17" s="112">
        <v>4361.21492307692</v>
      </c>
      <c r="EF17" s="68">
        <v>3171.75</v>
      </c>
      <c r="EG17" s="106">
        <f t="shared" si="23"/>
        <v>0.727262943</v>
      </c>
      <c r="EH17" s="113"/>
      <c r="EI17" s="95">
        <v>15.0</v>
      </c>
      <c r="EJ17" s="95" t="s">
        <v>11</v>
      </c>
      <c r="EK17" s="112">
        <v>3307.11473076923</v>
      </c>
      <c r="EL17" s="68">
        <v>3770.26</v>
      </c>
      <c r="EM17" s="106">
        <f t="shared" si="40"/>
        <v>1.140045117</v>
      </c>
      <c r="EN17" s="90"/>
      <c r="EO17" s="95">
        <v>15.0</v>
      </c>
      <c r="EP17" s="95" t="s">
        <v>18</v>
      </c>
      <c r="EQ17" s="112">
        <v>4710.96407692308</v>
      </c>
      <c r="ER17" s="68">
        <v>5093.75</v>
      </c>
      <c r="ES17" s="106">
        <f t="shared" si="24"/>
        <v>1.081254265</v>
      </c>
      <c r="ET17" s="90"/>
      <c r="EU17" s="95">
        <v>15.0</v>
      </c>
      <c r="EV17" s="95" t="s">
        <v>18</v>
      </c>
      <c r="EW17" s="112">
        <v>5238.86836</v>
      </c>
      <c r="EX17" s="68">
        <v>4990.75</v>
      </c>
      <c r="EY17" s="106">
        <f t="shared" si="25"/>
        <v>0.9526389398</v>
      </c>
      <c r="FA17" s="95">
        <v>15.0</v>
      </c>
      <c r="FB17" s="95" t="s">
        <v>9</v>
      </c>
      <c r="FC17" s="112">
        <v>3878.677</v>
      </c>
      <c r="FD17" s="68">
        <v>1480.76</v>
      </c>
      <c r="FE17" s="106">
        <f t="shared" si="26"/>
        <v>0.3817693507</v>
      </c>
      <c r="FG17" s="95">
        <v>15.0</v>
      </c>
      <c r="FH17" s="95" t="s">
        <v>13</v>
      </c>
      <c r="FI17" s="112">
        <v>3926.07684615385</v>
      </c>
      <c r="FJ17" s="68">
        <v>2343.0</v>
      </c>
      <c r="FK17" s="106">
        <f t="shared" si="27"/>
        <v>0.5967789454</v>
      </c>
      <c r="FL17" s="113"/>
      <c r="FM17" s="95">
        <v>15.0</v>
      </c>
      <c r="FN17" s="95" t="s">
        <v>20</v>
      </c>
      <c r="FO17" s="112">
        <v>4213.64815384615</v>
      </c>
      <c r="FP17" s="68">
        <v>2684.02</v>
      </c>
      <c r="FQ17" s="106">
        <f t="shared" si="28"/>
        <v>0.6369824679</v>
      </c>
      <c r="FS17" s="95">
        <v>15.0</v>
      </c>
      <c r="FT17" s="95" t="s">
        <v>9</v>
      </c>
      <c r="FU17" s="112">
        <v>2925.96392</v>
      </c>
      <c r="FV17" s="68">
        <v>2484.4</v>
      </c>
      <c r="FW17" s="106">
        <f t="shared" si="29"/>
        <v>0.8490877085</v>
      </c>
      <c r="FY17" s="95">
        <v>15.0</v>
      </c>
      <c r="FZ17" s="95" t="s">
        <v>17</v>
      </c>
      <c r="GA17" s="112">
        <v>3374.18556</v>
      </c>
      <c r="GB17" s="68">
        <v>2163.5</v>
      </c>
      <c r="GC17" s="106">
        <f t="shared" si="30"/>
        <v>0.6411917666</v>
      </c>
      <c r="GE17" s="16">
        <v>15.0</v>
      </c>
      <c r="GF17" s="16" t="s">
        <v>7</v>
      </c>
      <c r="GG17" s="5">
        <v>2544.11846153846</v>
      </c>
      <c r="GH17" s="20">
        <v>2154.75</v>
      </c>
      <c r="GI17" s="106">
        <f t="shared" si="31"/>
        <v>0.8469534861</v>
      </c>
      <c r="GK17" s="16">
        <v>15.0</v>
      </c>
      <c r="GL17" s="16" t="s">
        <v>11</v>
      </c>
      <c r="GM17" s="17">
        <v>3098.37467307692</v>
      </c>
      <c r="GN17" s="20">
        <v>2003.52</v>
      </c>
      <c r="GO17" s="106">
        <f t="shared" si="32"/>
        <v>0.6466358047</v>
      </c>
      <c r="GQ17" s="16">
        <v>15.0</v>
      </c>
      <c r="GR17" s="16" t="s">
        <v>18</v>
      </c>
      <c r="GS17" s="17">
        <v>4984.5622574074</v>
      </c>
      <c r="GT17" s="20">
        <v>3360.5</v>
      </c>
      <c r="GU17" s="106">
        <f t="shared" si="33"/>
        <v>0.6741815683</v>
      </c>
      <c r="GW17" s="16">
        <v>15.0</v>
      </c>
      <c r="GX17" s="16" t="s">
        <v>7</v>
      </c>
      <c r="GY17" s="17">
        <v>2356.85408333333</v>
      </c>
      <c r="GZ17" s="20">
        <v>1849.0</v>
      </c>
      <c r="HA17" s="106">
        <f t="shared" si="34"/>
        <v>0.7845203541</v>
      </c>
      <c r="HC17" s="16">
        <v>15.0</v>
      </c>
      <c r="HD17" s="16" t="s">
        <v>13</v>
      </c>
      <c r="HE17" s="17">
        <v>3129.20941666667</v>
      </c>
      <c r="HF17" s="18">
        <v>2970.0</v>
      </c>
      <c r="HG17" s="106">
        <f t="shared" si="35"/>
        <v>0.9491215207</v>
      </c>
      <c r="HI17" s="16">
        <v>15.0</v>
      </c>
      <c r="HJ17" s="16" t="s">
        <v>20</v>
      </c>
      <c r="HK17" s="17">
        <v>4579.572019230769</v>
      </c>
      <c r="HL17" s="18">
        <v>2867.5</v>
      </c>
      <c r="HM17" s="106">
        <f t="shared" si="36"/>
        <v>0.626150214</v>
      </c>
      <c r="HO17" s="16">
        <v>15.0</v>
      </c>
      <c r="HP17" s="16" t="s">
        <v>20</v>
      </c>
      <c r="HQ17" s="17">
        <v>4694.977760000001</v>
      </c>
      <c r="HR17" s="18">
        <v>2583.0</v>
      </c>
      <c r="HS17" s="106">
        <f t="shared" si="37"/>
        <v>0.5501623505</v>
      </c>
      <c r="HU17" s="16">
        <v>15.0</v>
      </c>
      <c r="HV17" s="16" t="s">
        <v>11</v>
      </c>
      <c r="HW17" s="17">
        <v>2951.8025000000002</v>
      </c>
      <c r="HX17" s="18">
        <v>2607.51</v>
      </c>
      <c r="HY17" s="106">
        <f t="shared" si="38"/>
        <v>0.8833619458</v>
      </c>
      <c r="HZ17" s="113"/>
      <c r="IA17" s="16">
        <v>15.0</v>
      </c>
      <c r="IB17" s="16" t="s">
        <v>17</v>
      </c>
      <c r="IC17" s="17">
        <v>2874.878330434783</v>
      </c>
      <c r="ID17" s="18">
        <v>1924.0</v>
      </c>
      <c r="IE17" s="106">
        <f t="shared" si="39"/>
        <v>0.6692457137</v>
      </c>
    </row>
    <row r="18">
      <c r="A18" s="95">
        <v>16.0</v>
      </c>
      <c r="B18" s="95" t="s">
        <v>13</v>
      </c>
      <c r="C18" s="103">
        <v>2900.0</v>
      </c>
      <c r="D18" s="68">
        <v>2025.0</v>
      </c>
      <c r="E18" s="104">
        <f t="shared" si="1"/>
        <v>0.6982758621</v>
      </c>
      <c r="F18" s="90"/>
      <c r="G18" s="95">
        <v>16.0</v>
      </c>
      <c r="H18" s="95" t="s">
        <v>13</v>
      </c>
      <c r="I18" s="105">
        <v>2599.55</v>
      </c>
      <c r="J18" s="96">
        <v>2119.5</v>
      </c>
      <c r="K18" s="106">
        <f t="shared" si="2"/>
        <v>0.8153334231</v>
      </c>
      <c r="L18" s="90"/>
      <c r="M18" s="95">
        <v>16.0</v>
      </c>
      <c r="N18" s="95" t="s">
        <v>20</v>
      </c>
      <c r="O18" s="96">
        <v>4495.4793</v>
      </c>
      <c r="P18" s="96">
        <v>3877.5</v>
      </c>
      <c r="Q18" s="106">
        <f t="shared" si="3"/>
        <v>0.8625331675</v>
      </c>
      <c r="R18" s="90"/>
      <c r="S18" s="95">
        <v>16.0</v>
      </c>
      <c r="T18" s="95" t="s">
        <v>9</v>
      </c>
      <c r="U18" s="68">
        <v>3175.47</v>
      </c>
      <c r="V18" s="68">
        <v>2688.0</v>
      </c>
      <c r="W18" s="106">
        <f t="shared" si="4"/>
        <v>0.8464888662</v>
      </c>
      <c r="X18" s="90"/>
      <c r="Y18" s="114">
        <v>16.0</v>
      </c>
      <c r="Z18" s="95" t="s">
        <v>17</v>
      </c>
      <c r="AA18" s="108">
        <v>3615.61944444444</v>
      </c>
      <c r="AB18" s="68">
        <v>2385.02</v>
      </c>
      <c r="AC18" s="106">
        <f t="shared" si="5"/>
        <v>0.6596435373</v>
      </c>
      <c r="AD18" s="90"/>
      <c r="AE18" s="116">
        <v>16.0</v>
      </c>
      <c r="AF18" s="118" t="s">
        <v>20</v>
      </c>
      <c r="AG18" s="117">
        <v>3814.78206190476</v>
      </c>
      <c r="AH18" s="75">
        <v>3467.0</v>
      </c>
      <c r="AI18" s="106">
        <f t="shared" si="6"/>
        <v>0.9088330457</v>
      </c>
      <c r="AJ18" s="90"/>
      <c r="AK18" s="116">
        <v>16.0</v>
      </c>
      <c r="AL18" s="95" t="s">
        <v>11</v>
      </c>
      <c r="AM18" s="68">
        <v>3259.27532608696</v>
      </c>
      <c r="AN18" s="68">
        <v>3860.01</v>
      </c>
      <c r="AO18" s="106">
        <f t="shared" si="7"/>
        <v>1.184315412</v>
      </c>
      <c r="AP18" s="90"/>
      <c r="AQ18" s="95">
        <v>16.0</v>
      </c>
      <c r="AR18" s="95" t="s">
        <v>18</v>
      </c>
      <c r="AS18" s="68">
        <v>4983.30807692308</v>
      </c>
      <c r="AT18" s="68">
        <v>3240.5</v>
      </c>
      <c r="AU18" s="106">
        <f t="shared" si="8"/>
        <v>0.6502708542</v>
      </c>
      <c r="AV18" s="90"/>
      <c r="AW18" s="95">
        <v>16.0</v>
      </c>
      <c r="AX18" s="95" t="s">
        <v>7</v>
      </c>
      <c r="AY18" s="68">
        <v>2984.17084615385</v>
      </c>
      <c r="AZ18" s="68">
        <v>3158.0</v>
      </c>
      <c r="BA18" s="106">
        <f t="shared" si="9"/>
        <v>1.058250403</v>
      </c>
      <c r="BB18" s="90"/>
      <c r="BC18" s="95">
        <v>16.0</v>
      </c>
      <c r="BD18" s="95" t="s">
        <v>13</v>
      </c>
      <c r="BE18" s="68">
        <v>3575.83073076923</v>
      </c>
      <c r="BF18" s="68">
        <v>2608.5</v>
      </c>
      <c r="BG18" s="106">
        <f t="shared" si="10"/>
        <v>0.7294808386</v>
      </c>
      <c r="BH18" s="90"/>
      <c r="BI18" s="95">
        <v>16.0</v>
      </c>
      <c r="BJ18" s="95" t="s">
        <v>18</v>
      </c>
      <c r="BK18" s="68">
        <v>5319.04179545455</v>
      </c>
      <c r="BL18" s="68">
        <v>4268.03</v>
      </c>
      <c r="BM18" s="106">
        <f t="shared" si="11"/>
        <v>0.8024058024</v>
      </c>
      <c r="BN18" s="90"/>
      <c r="BO18" s="95">
        <v>16.0</v>
      </c>
      <c r="BP18" s="95" t="s">
        <v>9</v>
      </c>
      <c r="BQ18" s="68">
        <v>3384.92498076923</v>
      </c>
      <c r="BR18" s="68">
        <v>3897.01</v>
      </c>
      <c r="BS18" s="106">
        <f t="shared" si="12"/>
        <v>1.151284008</v>
      </c>
      <c r="BT18" s="90"/>
      <c r="BU18" s="95">
        <v>16.0</v>
      </c>
      <c r="BV18" s="95" t="s">
        <v>17</v>
      </c>
      <c r="BW18" s="68">
        <v>4231.46411826923</v>
      </c>
      <c r="BX18" s="68">
        <v>5971.5</v>
      </c>
      <c r="BY18" s="106">
        <f t="shared" si="13"/>
        <v>1.411213668</v>
      </c>
      <c r="BZ18" s="90"/>
      <c r="CA18" s="95">
        <v>16.0</v>
      </c>
      <c r="CB18" s="95" t="s">
        <v>18</v>
      </c>
      <c r="CC18" s="68">
        <v>5912.07702884615</v>
      </c>
      <c r="CD18" s="68">
        <v>7511.1</v>
      </c>
      <c r="CE18" s="106">
        <f t="shared" si="14"/>
        <v>1.270467209</v>
      </c>
      <c r="CF18" s="90"/>
      <c r="CG18" s="95">
        <v>16.0</v>
      </c>
      <c r="CH18" s="95" t="s">
        <v>9</v>
      </c>
      <c r="CI18" s="96">
        <v>3787.98645144231</v>
      </c>
      <c r="CJ18" s="68">
        <v>3665.53</v>
      </c>
      <c r="CK18" s="106">
        <f t="shared" si="15"/>
        <v>0.9676724157</v>
      </c>
      <c r="CL18" s="90"/>
      <c r="CM18" s="95">
        <v>16.0</v>
      </c>
      <c r="CN18" s="95" t="s">
        <v>13</v>
      </c>
      <c r="CO18" s="96">
        <v>4144.624</v>
      </c>
      <c r="CP18" s="70">
        <v>2984.53</v>
      </c>
      <c r="CQ18" s="106">
        <f t="shared" si="16"/>
        <v>0.7200966843</v>
      </c>
      <c r="CR18" s="90"/>
      <c r="CS18" s="95">
        <v>16.0</v>
      </c>
      <c r="CT18" s="95" t="s">
        <v>20</v>
      </c>
      <c r="CU18" s="96">
        <v>5211.90105263158</v>
      </c>
      <c r="CV18" s="68">
        <v>1920.53</v>
      </c>
      <c r="CW18" s="106">
        <f t="shared" si="17"/>
        <v>0.368489344</v>
      </c>
      <c r="CX18" s="90"/>
      <c r="CY18" s="95">
        <v>16.0</v>
      </c>
      <c r="CZ18" s="95" t="s">
        <v>9</v>
      </c>
      <c r="DA18" s="96">
        <v>3688.52485416667</v>
      </c>
      <c r="DB18" s="68">
        <v>2505.5</v>
      </c>
      <c r="DC18" s="106">
        <f t="shared" si="18"/>
        <v>0.6792688403</v>
      </c>
      <c r="DD18" s="90"/>
      <c r="DE18" s="95">
        <v>16.0</v>
      </c>
      <c r="DF18" s="95" t="s">
        <v>17</v>
      </c>
      <c r="DG18" s="96">
        <v>3693.521125</v>
      </c>
      <c r="DH18" s="68">
        <v>1730.0</v>
      </c>
      <c r="DI18" s="106">
        <f t="shared" si="19"/>
        <v>0.4683877366</v>
      </c>
      <c r="DJ18" s="90"/>
      <c r="DK18" s="95">
        <v>16.0</v>
      </c>
      <c r="DL18" s="95" t="s">
        <v>7</v>
      </c>
      <c r="DM18" s="96">
        <v>2758.34121739131</v>
      </c>
      <c r="DN18" s="68">
        <v>2699.02</v>
      </c>
      <c r="DO18" s="106">
        <f t="shared" si="20"/>
        <v>0.9784938799</v>
      </c>
      <c r="DP18" s="90"/>
      <c r="DQ18" s="95">
        <v>16.0</v>
      </c>
      <c r="DR18" s="95" t="s">
        <v>11</v>
      </c>
      <c r="DS18" s="96">
        <v>3018.05525</v>
      </c>
      <c r="DT18" s="68">
        <v>2191.5</v>
      </c>
      <c r="DU18" s="106">
        <f t="shared" si="21"/>
        <v>0.726129848</v>
      </c>
      <c r="DV18" s="90"/>
      <c r="DW18" s="95">
        <v>16.0</v>
      </c>
      <c r="DX18" s="95" t="s">
        <v>18</v>
      </c>
      <c r="DY18" s="96">
        <v>4387.4299728</v>
      </c>
      <c r="DZ18" s="68">
        <v>8072.52</v>
      </c>
      <c r="EA18" s="106">
        <f t="shared" si="22"/>
        <v>1.839919965</v>
      </c>
      <c r="EB18" s="90"/>
      <c r="EC18" s="95">
        <v>16.0</v>
      </c>
      <c r="ED18" s="95" t="s">
        <v>7</v>
      </c>
      <c r="EE18" s="96">
        <v>3478.47696</v>
      </c>
      <c r="EF18" s="68">
        <v>2508.0</v>
      </c>
      <c r="EG18" s="106">
        <f t="shared" si="23"/>
        <v>0.7210052068</v>
      </c>
      <c r="EH18" s="113"/>
      <c r="EI18" s="95">
        <v>16.0</v>
      </c>
      <c r="EJ18" s="95" t="s">
        <v>13</v>
      </c>
      <c r="EK18" s="96">
        <v>3270.15311538462</v>
      </c>
      <c r="EL18" s="68">
        <v>3424.02</v>
      </c>
      <c r="EM18" s="106">
        <f t="shared" si="40"/>
        <v>1.04705189</v>
      </c>
      <c r="EN18" s="90"/>
      <c r="EO18" s="95">
        <v>16.0</v>
      </c>
      <c r="EP18" s="95" t="s">
        <v>20</v>
      </c>
      <c r="EQ18" s="96">
        <v>4203.32253846154</v>
      </c>
      <c r="ER18" s="68">
        <v>4808.85</v>
      </c>
      <c r="ES18" s="106">
        <f t="shared" si="24"/>
        <v>1.144059243</v>
      </c>
      <c r="ET18" s="90"/>
      <c r="EU18" s="95">
        <v>16.0</v>
      </c>
      <c r="EV18" s="95" t="s">
        <v>20</v>
      </c>
      <c r="EW18" s="96">
        <v>4690.301</v>
      </c>
      <c r="EX18" s="68">
        <v>4930.04</v>
      </c>
      <c r="EY18" s="106">
        <f t="shared" si="25"/>
        <v>1.051113777</v>
      </c>
      <c r="FA18" s="95">
        <v>16.0</v>
      </c>
      <c r="FB18" s="95" t="s">
        <v>11</v>
      </c>
      <c r="FC18" s="96">
        <v>3929.07108</v>
      </c>
      <c r="FD18" s="68">
        <v>3039.0</v>
      </c>
      <c r="FE18" s="106">
        <f t="shared" si="26"/>
        <v>0.773465264</v>
      </c>
      <c r="FG18" s="95">
        <v>16.0</v>
      </c>
      <c r="FH18" s="95" t="s">
        <v>17</v>
      </c>
      <c r="FI18" s="96">
        <v>4211.02930769231</v>
      </c>
      <c r="FJ18" s="68">
        <v>2099.76</v>
      </c>
      <c r="FK18" s="106">
        <f t="shared" si="27"/>
        <v>0.498633433</v>
      </c>
      <c r="FL18" s="113"/>
      <c r="FM18" s="95">
        <v>16.0</v>
      </c>
      <c r="FN18" s="95" t="s">
        <v>7</v>
      </c>
      <c r="FO18" s="96">
        <v>3046.40219230769</v>
      </c>
      <c r="FP18" s="68">
        <v>1500.77</v>
      </c>
      <c r="FQ18" s="106">
        <f t="shared" si="28"/>
        <v>0.4926368566</v>
      </c>
      <c r="FS18" s="95">
        <v>16.0</v>
      </c>
      <c r="FT18" s="95" t="s">
        <v>11</v>
      </c>
      <c r="FU18" s="96">
        <v>3453.12792</v>
      </c>
      <c r="FV18" s="68">
        <v>2447.5</v>
      </c>
      <c r="FW18" s="106">
        <f t="shared" si="29"/>
        <v>0.7087776812</v>
      </c>
      <c r="FY18" s="95">
        <v>16.0</v>
      </c>
      <c r="FZ18" s="95" t="s">
        <v>18</v>
      </c>
      <c r="GA18" s="96">
        <v>4768.50242307692</v>
      </c>
      <c r="GB18" s="68">
        <v>3196.9</v>
      </c>
      <c r="GC18" s="106">
        <f t="shared" si="30"/>
        <v>0.670420127</v>
      </c>
      <c r="GE18" s="16">
        <v>16.0</v>
      </c>
      <c r="GF18" s="16" t="s">
        <v>9</v>
      </c>
      <c r="GG18" s="17">
        <v>2506.32326923077</v>
      </c>
      <c r="GH18" s="20">
        <v>1894.51</v>
      </c>
      <c r="GI18" s="106">
        <f t="shared" si="31"/>
        <v>0.7558921163</v>
      </c>
      <c r="GK18" s="16">
        <v>16.0</v>
      </c>
      <c r="GL18" s="16" t="s">
        <v>13</v>
      </c>
      <c r="GM18" s="17">
        <v>3151.42417307692</v>
      </c>
      <c r="GN18" s="20">
        <v>2930.52</v>
      </c>
      <c r="GO18" s="106">
        <f t="shared" si="32"/>
        <v>0.9299033831</v>
      </c>
      <c r="GQ18" s="16">
        <v>16.0</v>
      </c>
      <c r="GR18" s="16" t="s">
        <v>20</v>
      </c>
      <c r="GS18" s="17">
        <v>4423.43334444445</v>
      </c>
      <c r="GT18" s="20">
        <v>3765.41</v>
      </c>
      <c r="GU18" s="106">
        <f t="shared" si="33"/>
        <v>0.851241492</v>
      </c>
      <c r="GW18" s="16">
        <v>16.0</v>
      </c>
      <c r="GX18" s="16" t="s">
        <v>9</v>
      </c>
      <c r="GY18" s="17">
        <v>2287.03039583333</v>
      </c>
      <c r="GZ18" s="20">
        <v>1986.51</v>
      </c>
      <c r="HA18" s="106">
        <f t="shared" si="34"/>
        <v>0.8685979879</v>
      </c>
      <c r="HC18" s="16">
        <v>16.0</v>
      </c>
      <c r="HD18" s="16" t="s">
        <v>17</v>
      </c>
      <c r="HE18" s="17">
        <v>2824.96158333333</v>
      </c>
      <c r="HF18" s="18">
        <v>3421.5</v>
      </c>
      <c r="HG18" s="106">
        <f t="shared" si="35"/>
        <v>1.211166913</v>
      </c>
      <c r="HI18" s="16">
        <v>16.0</v>
      </c>
      <c r="HJ18" s="16" t="s">
        <v>7</v>
      </c>
      <c r="HK18" s="17">
        <v>2688.7592692307694</v>
      </c>
      <c r="HL18" s="18">
        <v>2008.5</v>
      </c>
      <c r="HM18" s="106">
        <f t="shared" si="36"/>
        <v>0.7469988195</v>
      </c>
      <c r="HO18" s="16">
        <v>16.0</v>
      </c>
      <c r="HP18" s="16" t="s">
        <v>7</v>
      </c>
      <c r="HQ18" s="17">
        <v>2600.963115384616</v>
      </c>
      <c r="HR18" s="18">
        <v>1635.5</v>
      </c>
      <c r="HS18" s="106">
        <f t="shared" si="37"/>
        <v>0.6288055337</v>
      </c>
      <c r="HU18" s="16">
        <v>16.0</v>
      </c>
      <c r="HV18" s="16" t="s">
        <v>13</v>
      </c>
      <c r="HW18" s="17">
        <v>2871.198916666668</v>
      </c>
      <c r="HX18" s="18">
        <v>1818.5</v>
      </c>
      <c r="HY18" s="106">
        <f t="shared" si="38"/>
        <v>0.6333591133</v>
      </c>
      <c r="HZ18" s="113"/>
      <c r="IA18" s="16">
        <v>16.0</v>
      </c>
      <c r="IB18" s="16" t="s">
        <v>18</v>
      </c>
      <c r="IC18" s="17">
        <v>4633.349466666666</v>
      </c>
      <c r="ID18" s="18">
        <v>6114.0</v>
      </c>
      <c r="IE18" s="106">
        <f t="shared" si="39"/>
        <v>1.319563751</v>
      </c>
    </row>
    <row r="19">
      <c r="A19" s="95">
        <v>17.0</v>
      </c>
      <c r="B19" s="95" t="s">
        <v>17</v>
      </c>
      <c r="C19" s="103">
        <v>3500.0</v>
      </c>
      <c r="D19" s="68">
        <v>2346.5</v>
      </c>
      <c r="E19" s="104">
        <f t="shared" si="1"/>
        <v>0.6704285714</v>
      </c>
      <c r="F19" s="90"/>
      <c r="G19" s="95">
        <v>17.0</v>
      </c>
      <c r="H19" s="95" t="s">
        <v>17</v>
      </c>
      <c r="I19" s="105">
        <v>3555.4125</v>
      </c>
      <c r="J19" s="96">
        <v>3235.5</v>
      </c>
      <c r="K19" s="106">
        <f t="shared" si="2"/>
        <v>0.9100209891</v>
      </c>
      <c r="L19" s="90"/>
      <c r="M19" s="95">
        <v>17.0</v>
      </c>
      <c r="N19" s="95" t="s">
        <v>7</v>
      </c>
      <c r="O19" s="96">
        <v>2733.978</v>
      </c>
      <c r="P19" s="96">
        <v>2356.5</v>
      </c>
      <c r="Q19" s="106">
        <f t="shared" si="3"/>
        <v>0.8619308568</v>
      </c>
      <c r="R19" s="90"/>
      <c r="S19" s="95">
        <v>17.0</v>
      </c>
      <c r="T19" s="95" t="s">
        <v>11</v>
      </c>
      <c r="U19" s="68">
        <v>3056.81846153846</v>
      </c>
      <c r="V19" s="68">
        <v>2466.5</v>
      </c>
      <c r="W19" s="106">
        <f t="shared" si="4"/>
        <v>0.8068846845</v>
      </c>
      <c r="X19" s="90"/>
      <c r="Y19" s="114">
        <v>17.0</v>
      </c>
      <c r="Z19" s="95" t="s">
        <v>18</v>
      </c>
      <c r="AA19" s="108">
        <v>4056.95277777778</v>
      </c>
      <c r="AB19" s="68">
        <v>5408.51</v>
      </c>
      <c r="AC19" s="106">
        <f t="shared" si="5"/>
        <v>1.333145909</v>
      </c>
      <c r="AD19" s="90"/>
      <c r="AE19" s="109">
        <v>17.0</v>
      </c>
      <c r="AF19" s="110" t="s">
        <v>7</v>
      </c>
      <c r="AG19" s="111">
        <v>2577.63165</v>
      </c>
      <c r="AH19" s="76">
        <v>2881.01</v>
      </c>
      <c r="AI19" s="106">
        <f t="shared" si="6"/>
        <v>1.117696549</v>
      </c>
      <c r="AJ19" s="90"/>
      <c r="AK19" s="109">
        <v>17.0</v>
      </c>
      <c r="AL19" s="95" t="s">
        <v>13</v>
      </c>
      <c r="AM19" s="68">
        <v>2961.45192</v>
      </c>
      <c r="AN19" s="68">
        <v>2902.5</v>
      </c>
      <c r="AO19" s="106">
        <f t="shared" si="7"/>
        <v>0.9800935752</v>
      </c>
      <c r="AP19" s="90"/>
      <c r="AQ19" s="95">
        <v>17.0</v>
      </c>
      <c r="AR19" s="95" t="s">
        <v>20</v>
      </c>
      <c r="AS19" s="68">
        <v>4829.43946153846</v>
      </c>
      <c r="AT19" s="68">
        <v>3979.51</v>
      </c>
      <c r="AU19" s="106">
        <f t="shared" si="8"/>
        <v>0.8240107432</v>
      </c>
      <c r="AV19" s="90"/>
      <c r="AW19" s="95">
        <v>17.0</v>
      </c>
      <c r="AX19" s="95" t="s">
        <v>9</v>
      </c>
      <c r="AY19" s="68">
        <v>3688.79469230769</v>
      </c>
      <c r="AZ19" s="68">
        <v>2059.5</v>
      </c>
      <c r="BA19" s="106">
        <f t="shared" si="9"/>
        <v>0.5583124494</v>
      </c>
      <c r="BB19" s="90"/>
      <c r="BC19" s="95">
        <v>17.0</v>
      </c>
      <c r="BD19" s="95" t="s">
        <v>17</v>
      </c>
      <c r="BE19" s="68">
        <v>4199.43784615385</v>
      </c>
      <c r="BF19" s="68">
        <v>3220.0</v>
      </c>
      <c r="BG19" s="106">
        <f t="shared" si="10"/>
        <v>0.7667692958</v>
      </c>
      <c r="BH19" s="90"/>
      <c r="BI19" s="95">
        <v>17.0</v>
      </c>
      <c r="BJ19" s="95" t="s">
        <v>20</v>
      </c>
      <c r="BK19" s="68">
        <v>5306.68711363636</v>
      </c>
      <c r="BL19" s="68">
        <v>4159.5</v>
      </c>
      <c r="BM19" s="106">
        <f t="shared" si="11"/>
        <v>0.7838223568</v>
      </c>
      <c r="BN19" s="90"/>
      <c r="BO19" s="95">
        <v>17.0</v>
      </c>
      <c r="BP19" s="95" t="s">
        <v>11</v>
      </c>
      <c r="BQ19" s="68">
        <v>3756.90444230769</v>
      </c>
      <c r="BR19" s="68">
        <v>3552.02</v>
      </c>
      <c r="BS19" s="106">
        <f t="shared" si="12"/>
        <v>0.9454645585</v>
      </c>
      <c r="BT19" s="90"/>
      <c r="BU19" s="95">
        <v>17.0</v>
      </c>
      <c r="BV19" s="95" t="s">
        <v>18</v>
      </c>
      <c r="BW19" s="68">
        <v>5459.13655</v>
      </c>
      <c r="BX19" s="68">
        <v>7659.03</v>
      </c>
      <c r="BY19" s="106">
        <f t="shared" si="13"/>
        <v>1.402974615</v>
      </c>
      <c r="BZ19" s="90"/>
      <c r="CA19" s="95">
        <v>17.0</v>
      </c>
      <c r="CB19" s="95" t="s">
        <v>20</v>
      </c>
      <c r="CC19" s="68">
        <v>6068.54520833333</v>
      </c>
      <c r="CD19" s="68">
        <v>6691.53</v>
      </c>
      <c r="CE19" s="106">
        <f t="shared" si="14"/>
        <v>1.102658013</v>
      </c>
      <c r="CF19" s="90"/>
      <c r="CG19" s="95">
        <v>17.0</v>
      </c>
      <c r="CH19" s="95" t="s">
        <v>11</v>
      </c>
      <c r="CI19" s="96">
        <v>4146.79393557692</v>
      </c>
      <c r="CJ19" s="68">
        <v>3542.58</v>
      </c>
      <c r="CK19" s="106">
        <f t="shared" si="15"/>
        <v>0.8542937158</v>
      </c>
      <c r="CL19" s="90"/>
      <c r="CM19" s="95">
        <v>17.0</v>
      </c>
      <c r="CN19" s="95" t="s">
        <v>17</v>
      </c>
      <c r="CO19" s="96">
        <v>4759.3194</v>
      </c>
      <c r="CP19" s="70">
        <v>2660.53</v>
      </c>
      <c r="CQ19" s="106">
        <f t="shared" si="16"/>
        <v>0.5590148037</v>
      </c>
      <c r="CR19" s="90"/>
      <c r="CS19" s="95">
        <v>17.0</v>
      </c>
      <c r="CT19" s="95" t="s">
        <v>7</v>
      </c>
      <c r="CU19" s="96">
        <v>3035.46</v>
      </c>
      <c r="CV19" s="68">
        <v>2158.65</v>
      </c>
      <c r="CW19" s="106">
        <f t="shared" si="17"/>
        <v>0.7111442747</v>
      </c>
      <c r="CX19" s="90"/>
      <c r="CY19" s="95">
        <v>17.0</v>
      </c>
      <c r="CZ19" s="95" t="s">
        <v>11</v>
      </c>
      <c r="DA19" s="96">
        <v>3391.54861458333</v>
      </c>
      <c r="DB19" s="68">
        <v>3621.52</v>
      </c>
      <c r="DC19" s="106">
        <f t="shared" si="18"/>
        <v>1.067807191</v>
      </c>
      <c r="DD19" s="90"/>
      <c r="DE19" s="95">
        <v>17.0</v>
      </c>
      <c r="DF19" s="95" t="s">
        <v>18</v>
      </c>
      <c r="DG19" s="96">
        <v>4876.4235625</v>
      </c>
      <c r="DH19" s="68">
        <v>3810.52</v>
      </c>
      <c r="DI19" s="106">
        <f t="shared" si="19"/>
        <v>0.7814169444</v>
      </c>
      <c r="DJ19" s="90"/>
      <c r="DK19" s="95">
        <v>17.0</v>
      </c>
      <c r="DL19" s="95" t="s">
        <v>9</v>
      </c>
      <c r="DM19" s="96">
        <v>3483.70855</v>
      </c>
      <c r="DN19" s="68">
        <v>4766.03</v>
      </c>
      <c r="DO19" s="106">
        <f t="shared" si="20"/>
        <v>1.36809091</v>
      </c>
      <c r="DP19" s="90"/>
      <c r="DQ19" s="95">
        <v>17.0</v>
      </c>
      <c r="DR19" s="95" t="s">
        <v>13</v>
      </c>
      <c r="DS19" s="96">
        <v>2876.6968125</v>
      </c>
      <c r="DT19" s="68">
        <v>2777.54</v>
      </c>
      <c r="DU19" s="106">
        <f t="shared" si="21"/>
        <v>0.9655310174</v>
      </c>
      <c r="DV19" s="90"/>
      <c r="DW19" s="95">
        <v>17.0</v>
      </c>
      <c r="DX19" s="95" t="s">
        <v>20</v>
      </c>
      <c r="DY19" s="96">
        <v>4007.91671</v>
      </c>
      <c r="DZ19" s="68">
        <v>6901.26</v>
      </c>
      <c r="EA19" s="106">
        <f t="shared" si="22"/>
        <v>1.72190704</v>
      </c>
      <c r="EB19" s="90"/>
      <c r="EC19" s="95">
        <v>17.0</v>
      </c>
      <c r="ED19" s="95" t="s">
        <v>9</v>
      </c>
      <c r="EE19" s="96">
        <v>3892.50323076923</v>
      </c>
      <c r="EF19" s="68">
        <v>3633.6</v>
      </c>
      <c r="EG19" s="106">
        <f t="shared" si="23"/>
        <v>0.9334867011</v>
      </c>
      <c r="EH19" s="113"/>
      <c r="EI19" s="95">
        <v>17.0</v>
      </c>
      <c r="EJ19" s="95" t="s">
        <v>17</v>
      </c>
      <c r="EK19" s="96">
        <v>3395.17378846154</v>
      </c>
      <c r="EL19" s="68">
        <v>2989.75</v>
      </c>
      <c r="EM19" s="106">
        <f t="shared" si="40"/>
        <v>0.8805882073</v>
      </c>
      <c r="EN19" s="90"/>
      <c r="EO19" s="95">
        <v>17.0</v>
      </c>
      <c r="EP19" s="95" t="s">
        <v>7</v>
      </c>
      <c r="EQ19" s="96">
        <v>3410.95964</v>
      </c>
      <c r="ER19" s="68">
        <v>3555.75</v>
      </c>
      <c r="ES19" s="106">
        <f t="shared" si="24"/>
        <v>1.04244857</v>
      </c>
      <c r="ET19" s="90"/>
      <c r="EU19" s="95">
        <v>17.0</v>
      </c>
      <c r="EV19" s="95" t="s">
        <v>7</v>
      </c>
      <c r="EW19" s="96">
        <v>3506.36634615385</v>
      </c>
      <c r="EX19" s="68">
        <v>2571.51</v>
      </c>
      <c r="EY19" s="106">
        <f t="shared" si="25"/>
        <v>0.7333831511</v>
      </c>
      <c r="FA19" s="95">
        <v>17.0</v>
      </c>
      <c r="FB19" s="95" t="s">
        <v>13</v>
      </c>
      <c r="FC19" s="96">
        <v>3926.07684615385</v>
      </c>
      <c r="FD19" s="68">
        <v>2141.04</v>
      </c>
      <c r="FE19" s="106">
        <f t="shared" si="26"/>
        <v>0.5453382814</v>
      </c>
      <c r="FG19" s="95">
        <v>17.0</v>
      </c>
      <c r="FH19" s="95" t="s">
        <v>18</v>
      </c>
      <c r="FI19" s="96">
        <v>5462.33303846154</v>
      </c>
      <c r="FJ19" s="68">
        <v>3700.0</v>
      </c>
      <c r="FK19" s="106">
        <f t="shared" si="27"/>
        <v>0.6773662415</v>
      </c>
      <c r="FL19" s="113"/>
      <c r="FM19" s="95">
        <v>17.0</v>
      </c>
      <c r="FN19" s="95" t="s">
        <v>9</v>
      </c>
      <c r="FO19" s="96">
        <v>3196.46204166667</v>
      </c>
      <c r="FP19" s="68">
        <v>1245.76</v>
      </c>
      <c r="FQ19" s="106">
        <f t="shared" si="28"/>
        <v>0.3897308911</v>
      </c>
      <c r="FS19" s="95">
        <v>17.0</v>
      </c>
      <c r="FT19" s="95" t="s">
        <v>13</v>
      </c>
      <c r="FU19" s="96">
        <v>3309.52769230769</v>
      </c>
      <c r="FV19" s="68">
        <v>2762.5</v>
      </c>
      <c r="FW19" s="106">
        <f t="shared" si="29"/>
        <v>0.8347112509</v>
      </c>
      <c r="FY19" s="95">
        <v>17.0</v>
      </c>
      <c r="FZ19" s="95" t="s">
        <v>20</v>
      </c>
      <c r="GA19" s="96">
        <v>4265.00853846154</v>
      </c>
      <c r="GB19" s="68">
        <v>2686.8</v>
      </c>
      <c r="GC19" s="106">
        <f t="shared" si="30"/>
        <v>0.6299635688</v>
      </c>
      <c r="GE19" s="16">
        <v>17.0</v>
      </c>
      <c r="GF19" s="16" t="s">
        <v>11</v>
      </c>
      <c r="GG19" s="17">
        <v>3098.37467307692</v>
      </c>
      <c r="GH19" s="20">
        <v>2338.51</v>
      </c>
      <c r="GI19" s="106">
        <f t="shared" si="31"/>
        <v>0.7547537812</v>
      </c>
      <c r="GK19" s="16">
        <v>17.0</v>
      </c>
      <c r="GL19" s="16" t="s">
        <v>17</v>
      </c>
      <c r="GM19" s="41">
        <v>3011.91634615385</v>
      </c>
      <c r="GN19" s="20">
        <v>1796.5</v>
      </c>
      <c r="GO19" s="106">
        <f t="shared" si="32"/>
        <v>0.5964641091</v>
      </c>
      <c r="GQ19" s="16">
        <v>17.0</v>
      </c>
      <c r="GR19" s="16" t="s">
        <v>7</v>
      </c>
      <c r="GS19" s="41">
        <v>2925.73623076923</v>
      </c>
      <c r="GT19" s="20">
        <v>1562.5</v>
      </c>
      <c r="GU19" s="106">
        <f t="shared" si="33"/>
        <v>0.5340536114</v>
      </c>
      <c r="GW19" s="16">
        <v>17.0</v>
      </c>
      <c r="GX19" s="16" t="s">
        <v>11</v>
      </c>
      <c r="GY19" s="41">
        <v>2757.4024375</v>
      </c>
      <c r="GZ19" s="20">
        <v>1610.0</v>
      </c>
      <c r="HA19" s="106">
        <f t="shared" si="34"/>
        <v>0.5838828522</v>
      </c>
      <c r="HC19" s="16">
        <v>17.0</v>
      </c>
      <c r="HD19" s="16" t="s">
        <v>18</v>
      </c>
      <c r="HE19" s="5">
        <v>3969.18954166667</v>
      </c>
      <c r="HF19" s="18">
        <v>5946.0</v>
      </c>
      <c r="HG19" s="106">
        <f t="shared" si="35"/>
        <v>1.498038816</v>
      </c>
      <c r="HI19" s="16">
        <v>17.0</v>
      </c>
      <c r="HJ19" s="16" t="s">
        <v>9</v>
      </c>
      <c r="HK19" s="5">
        <v>2784.4127307692306</v>
      </c>
      <c r="HL19" s="18">
        <v>2237.0</v>
      </c>
      <c r="HM19" s="106">
        <f t="shared" si="36"/>
        <v>0.8034010099</v>
      </c>
      <c r="HO19" s="16">
        <v>17.0</v>
      </c>
      <c r="HP19" s="16" t="s">
        <v>9</v>
      </c>
      <c r="HQ19" s="5">
        <v>2691.103461538462</v>
      </c>
      <c r="HR19" s="18">
        <v>2055.5</v>
      </c>
      <c r="HS19" s="106">
        <f t="shared" si="37"/>
        <v>0.7638130712</v>
      </c>
      <c r="HU19" s="16">
        <v>17.0</v>
      </c>
      <c r="HV19" s="16" t="s">
        <v>17</v>
      </c>
      <c r="HW19" s="5">
        <v>2948.2951666666677</v>
      </c>
      <c r="HX19" s="18">
        <v>2350.5</v>
      </c>
      <c r="HY19" s="106">
        <f t="shared" si="38"/>
        <v>0.7972403939</v>
      </c>
      <c r="HZ19" s="113"/>
      <c r="IA19" s="16">
        <v>17.0</v>
      </c>
      <c r="IB19" s="16" t="s">
        <v>20</v>
      </c>
      <c r="IC19" s="5">
        <v>4467.714066666667</v>
      </c>
      <c r="ID19" s="18">
        <v>4655.0</v>
      </c>
      <c r="IE19" s="106">
        <f t="shared" si="39"/>
        <v>1.041919857</v>
      </c>
    </row>
    <row r="20">
      <c r="A20" s="95">
        <v>18.0</v>
      </c>
      <c r="B20" s="95" t="s">
        <v>18</v>
      </c>
      <c r="C20" s="103">
        <v>4500.0</v>
      </c>
      <c r="D20" s="68">
        <v>3673.0</v>
      </c>
      <c r="E20" s="104">
        <f t="shared" si="1"/>
        <v>0.8162222222</v>
      </c>
      <c r="F20" s="90"/>
      <c r="G20" s="95">
        <v>18.0</v>
      </c>
      <c r="H20" s="95" t="s">
        <v>18</v>
      </c>
      <c r="I20" s="105">
        <v>4996.1625</v>
      </c>
      <c r="J20" s="96">
        <v>4443.0</v>
      </c>
      <c r="K20" s="106">
        <f t="shared" si="2"/>
        <v>0.8892825243</v>
      </c>
      <c r="L20" s="90"/>
      <c r="M20" s="95">
        <v>18.0</v>
      </c>
      <c r="N20" s="95" t="s">
        <v>9</v>
      </c>
      <c r="O20" s="96">
        <v>3465.2332</v>
      </c>
      <c r="P20" s="96">
        <v>4678.5</v>
      </c>
      <c r="Q20" s="106">
        <f t="shared" si="3"/>
        <v>1.350125585</v>
      </c>
      <c r="R20" s="90"/>
      <c r="S20" s="95">
        <v>18.0</v>
      </c>
      <c r="T20" s="95" t="s">
        <v>13</v>
      </c>
      <c r="U20" s="68">
        <v>2628.82307692308</v>
      </c>
      <c r="V20" s="68">
        <v>2666.0</v>
      </c>
      <c r="W20" s="106">
        <f t="shared" si="4"/>
        <v>1.014142041</v>
      </c>
      <c r="X20" s="90"/>
      <c r="Y20" s="114">
        <v>18.0</v>
      </c>
      <c r="Z20" s="95" t="s">
        <v>20</v>
      </c>
      <c r="AA20" s="108">
        <v>3689.71235294118</v>
      </c>
      <c r="AB20" s="68">
        <v>3754.5</v>
      </c>
      <c r="AC20" s="106">
        <f t="shared" si="5"/>
        <v>1.017558997</v>
      </c>
      <c r="AD20" s="90"/>
      <c r="AE20" s="114">
        <v>18.0</v>
      </c>
      <c r="AF20" s="95" t="s">
        <v>9</v>
      </c>
      <c r="AG20" s="108">
        <v>3323.86871</v>
      </c>
      <c r="AH20" s="68">
        <v>3468.5</v>
      </c>
      <c r="AI20" s="106">
        <f t="shared" si="6"/>
        <v>1.043512937</v>
      </c>
      <c r="AJ20" s="90"/>
      <c r="AK20" s="114">
        <v>18.0</v>
      </c>
      <c r="AL20" s="95" t="s">
        <v>17</v>
      </c>
      <c r="AM20" s="68">
        <v>3615.0324</v>
      </c>
      <c r="AN20" s="68">
        <v>2904.0</v>
      </c>
      <c r="AO20" s="106">
        <f t="shared" si="7"/>
        <v>0.8033123023</v>
      </c>
      <c r="AP20" s="90"/>
      <c r="AQ20" s="95">
        <v>18.0</v>
      </c>
      <c r="AR20" s="95" t="s">
        <v>7</v>
      </c>
      <c r="AS20" s="68">
        <v>3049.52388461539</v>
      </c>
      <c r="AT20" s="68">
        <v>2641.02</v>
      </c>
      <c r="AU20" s="106">
        <f t="shared" si="8"/>
        <v>0.866043389</v>
      </c>
      <c r="AV20" s="90"/>
      <c r="AW20" s="95">
        <v>18.0</v>
      </c>
      <c r="AX20" s="95" t="s">
        <v>11</v>
      </c>
      <c r="AY20" s="68">
        <v>3620.84856923077</v>
      </c>
      <c r="AZ20" s="68">
        <v>3622.5</v>
      </c>
      <c r="BA20" s="106">
        <f t="shared" si="9"/>
        <v>1.000456089</v>
      </c>
      <c r="BB20" s="90"/>
      <c r="BC20" s="95">
        <v>18.0</v>
      </c>
      <c r="BD20" s="95" t="s">
        <v>18</v>
      </c>
      <c r="BE20" s="68">
        <v>5580.95515384616</v>
      </c>
      <c r="BF20" s="68">
        <v>6592.5</v>
      </c>
      <c r="BG20" s="106">
        <f t="shared" si="10"/>
        <v>1.181249413</v>
      </c>
      <c r="BH20" s="90"/>
      <c r="BI20" s="95">
        <v>18.0</v>
      </c>
      <c r="BJ20" s="95" t="s">
        <v>7</v>
      </c>
      <c r="BK20" s="68">
        <v>3108.05488636364</v>
      </c>
      <c r="BL20" s="68">
        <v>2293.0</v>
      </c>
      <c r="BM20" s="106">
        <f t="shared" si="11"/>
        <v>0.7377604591</v>
      </c>
      <c r="BN20" s="90"/>
      <c r="BO20" s="95">
        <v>18.0</v>
      </c>
      <c r="BP20" s="95" t="s">
        <v>13</v>
      </c>
      <c r="BQ20" s="68">
        <v>3789.02151923077</v>
      </c>
      <c r="BR20" s="68">
        <v>2445.5</v>
      </c>
      <c r="BS20" s="106">
        <f t="shared" si="12"/>
        <v>0.6454172898</v>
      </c>
      <c r="BT20" s="90"/>
      <c r="BU20" s="95">
        <v>18.0</v>
      </c>
      <c r="BV20" s="95" t="s">
        <v>20</v>
      </c>
      <c r="BW20" s="68">
        <v>5569.685793</v>
      </c>
      <c r="BX20" s="68">
        <v>7680.01</v>
      </c>
      <c r="BY20" s="106">
        <f t="shared" si="13"/>
        <v>1.37889466</v>
      </c>
      <c r="BZ20" s="90"/>
      <c r="CA20" s="95">
        <v>18.0</v>
      </c>
      <c r="CB20" s="95" t="s">
        <v>7</v>
      </c>
      <c r="CC20" s="68">
        <v>3258.90177884615</v>
      </c>
      <c r="CD20" s="68">
        <v>2444.53</v>
      </c>
      <c r="CE20" s="106">
        <f t="shared" si="14"/>
        <v>0.750108523</v>
      </c>
      <c r="CF20" s="90"/>
      <c r="CG20" s="95">
        <v>18.0</v>
      </c>
      <c r="CH20" s="95" t="s">
        <v>13</v>
      </c>
      <c r="CI20" s="96">
        <v>4164.52486153846</v>
      </c>
      <c r="CJ20" s="68">
        <v>3078.1</v>
      </c>
      <c r="CK20" s="106">
        <f t="shared" si="15"/>
        <v>0.7391239343</v>
      </c>
      <c r="CL20" s="90"/>
      <c r="CM20" s="95">
        <v>18.0</v>
      </c>
      <c r="CN20" s="95" t="s">
        <v>18</v>
      </c>
      <c r="CO20" s="96">
        <v>6903.4878</v>
      </c>
      <c r="CP20" s="70">
        <v>2511.53</v>
      </c>
      <c r="CQ20" s="106">
        <f t="shared" si="16"/>
        <v>0.3638059591</v>
      </c>
      <c r="CR20" s="90"/>
      <c r="CS20" s="95">
        <v>18.0</v>
      </c>
      <c r="CT20" s="95" t="s">
        <v>9</v>
      </c>
      <c r="CU20" s="96">
        <v>3778.056</v>
      </c>
      <c r="CV20" s="68">
        <v>2025.03</v>
      </c>
      <c r="CW20" s="106">
        <f t="shared" si="17"/>
        <v>0.5359978783</v>
      </c>
      <c r="CX20" s="90"/>
      <c r="CY20" s="95">
        <v>18.0</v>
      </c>
      <c r="CZ20" s="95" t="s">
        <v>13</v>
      </c>
      <c r="DA20" s="96">
        <v>3390.73971875</v>
      </c>
      <c r="DB20" s="68">
        <v>2359.5</v>
      </c>
      <c r="DC20" s="106">
        <f t="shared" si="18"/>
        <v>0.6958658569</v>
      </c>
      <c r="DD20" s="90"/>
      <c r="DE20" s="95">
        <v>18.0</v>
      </c>
      <c r="DF20" s="95" t="s">
        <v>20</v>
      </c>
      <c r="DG20" s="96">
        <v>4499.2023125</v>
      </c>
      <c r="DH20" s="68">
        <v>2209.51</v>
      </c>
      <c r="DI20" s="106">
        <f t="shared" si="19"/>
        <v>0.4910892746</v>
      </c>
      <c r="DJ20" s="90"/>
      <c r="DK20" s="95">
        <v>18.0</v>
      </c>
      <c r="DL20" s="95" t="s">
        <v>11</v>
      </c>
      <c r="DM20" s="96">
        <v>3244.36143333333</v>
      </c>
      <c r="DN20" s="68">
        <v>3146.5</v>
      </c>
      <c r="DO20" s="106">
        <f t="shared" si="20"/>
        <v>0.9698364577</v>
      </c>
      <c r="DP20" s="90"/>
      <c r="DQ20" s="95">
        <v>18.0</v>
      </c>
      <c r="DR20" s="95" t="s">
        <v>17</v>
      </c>
      <c r="DS20" s="96">
        <v>2817.0883125</v>
      </c>
      <c r="DT20" s="68">
        <v>2639.51</v>
      </c>
      <c r="DU20" s="106">
        <f t="shared" si="21"/>
        <v>0.9369638816</v>
      </c>
      <c r="DV20" s="90"/>
      <c r="DW20" s="95">
        <v>18.0</v>
      </c>
      <c r="DX20" s="95" t="s">
        <v>7</v>
      </c>
      <c r="DY20" s="96">
        <v>2896.25827826088</v>
      </c>
      <c r="DZ20" s="68">
        <v>4523.53</v>
      </c>
      <c r="EA20" s="106">
        <f t="shared" si="22"/>
        <v>1.56185311</v>
      </c>
      <c r="EB20" s="90"/>
      <c r="EC20" s="95">
        <v>18.0</v>
      </c>
      <c r="ED20" s="95" t="s">
        <v>11</v>
      </c>
      <c r="EE20" s="96">
        <v>3820.83230769231</v>
      </c>
      <c r="EF20" s="68">
        <v>2616.0</v>
      </c>
      <c r="EG20" s="106">
        <f t="shared" si="23"/>
        <v>0.6846675775</v>
      </c>
      <c r="EH20" s="113"/>
      <c r="EI20" s="95">
        <v>18.0</v>
      </c>
      <c r="EJ20" s="95" t="s">
        <v>18</v>
      </c>
      <c r="EK20" s="96">
        <v>4193.88859615385</v>
      </c>
      <c r="EL20" s="68">
        <v>5551.52</v>
      </c>
      <c r="EM20" s="106">
        <f t="shared" si="40"/>
        <v>1.323716611</v>
      </c>
      <c r="EN20" s="90"/>
      <c r="EO20" s="95">
        <v>18.0</v>
      </c>
      <c r="EP20" s="95" t="s">
        <v>9</v>
      </c>
      <c r="EQ20" s="96">
        <v>3824.392</v>
      </c>
      <c r="ER20" s="68">
        <v>3488.54</v>
      </c>
      <c r="ES20" s="106">
        <f t="shared" si="24"/>
        <v>0.9121815964</v>
      </c>
      <c r="ET20" s="90"/>
      <c r="EU20" s="95">
        <v>18.0</v>
      </c>
      <c r="EV20" s="95" t="s">
        <v>9</v>
      </c>
      <c r="EW20" s="96">
        <v>3947.55533333333</v>
      </c>
      <c r="EX20" s="68">
        <v>2507.52</v>
      </c>
      <c r="EY20" s="106">
        <f t="shared" si="25"/>
        <v>0.6352083222</v>
      </c>
      <c r="FA20" s="95">
        <v>18.0</v>
      </c>
      <c r="FB20" s="95" t="s">
        <v>17</v>
      </c>
      <c r="FC20" s="96">
        <v>4211.02930769231</v>
      </c>
      <c r="FD20" s="68">
        <v>1976.5</v>
      </c>
      <c r="FE20" s="106">
        <f t="shared" si="26"/>
        <v>0.4693626797</v>
      </c>
      <c r="FG20" s="95">
        <v>18.0</v>
      </c>
      <c r="FH20" s="95" t="s">
        <v>20</v>
      </c>
      <c r="FI20" s="96">
        <v>5046.12053846154</v>
      </c>
      <c r="FJ20" s="68">
        <v>2456.5</v>
      </c>
      <c r="FK20" s="106">
        <f t="shared" si="27"/>
        <v>0.4868096157</v>
      </c>
      <c r="FL20" s="113"/>
      <c r="FM20" s="95">
        <v>18.0</v>
      </c>
      <c r="FN20" s="95" t="s">
        <v>11</v>
      </c>
      <c r="FO20" s="96">
        <v>3456.04072</v>
      </c>
      <c r="FP20" s="68">
        <v>2614.03</v>
      </c>
      <c r="FQ20" s="106">
        <f t="shared" si="28"/>
        <v>0.7563655095</v>
      </c>
      <c r="FS20" s="95">
        <v>18.0</v>
      </c>
      <c r="FT20" s="95" t="s">
        <v>17</v>
      </c>
      <c r="FU20" s="96">
        <v>3432.83980769231</v>
      </c>
      <c r="FV20" s="68">
        <v>2244.27</v>
      </c>
      <c r="FW20" s="106">
        <f t="shared" si="29"/>
        <v>0.6537648494</v>
      </c>
      <c r="FY20" s="95">
        <v>18.0</v>
      </c>
      <c r="FZ20" s="95" t="s">
        <v>7</v>
      </c>
      <c r="GA20" s="96">
        <v>2733.30451923077</v>
      </c>
      <c r="GB20" s="68">
        <v>1835.0</v>
      </c>
      <c r="GC20" s="106">
        <f t="shared" si="30"/>
        <v>0.6713485406</v>
      </c>
      <c r="GE20" s="16">
        <v>18.0</v>
      </c>
      <c r="GF20" s="16" t="s">
        <v>13</v>
      </c>
      <c r="GG20" s="17">
        <v>3151.42417307692</v>
      </c>
      <c r="GH20" s="20">
        <v>1838.0</v>
      </c>
      <c r="GI20" s="106">
        <f t="shared" si="31"/>
        <v>0.5832283752</v>
      </c>
      <c r="GK20" s="16">
        <v>18.0</v>
      </c>
      <c r="GL20" s="16" t="s">
        <v>18</v>
      </c>
      <c r="GM20" s="17">
        <v>4334.40196296296</v>
      </c>
      <c r="GN20" s="20">
        <v>3029.9</v>
      </c>
      <c r="GO20" s="106">
        <f t="shared" si="32"/>
        <v>0.6990353054</v>
      </c>
      <c r="GQ20" s="16">
        <v>18.0</v>
      </c>
      <c r="GR20" s="16" t="s">
        <v>9</v>
      </c>
      <c r="GS20" s="17">
        <v>2882.27175961539</v>
      </c>
      <c r="GT20" s="20">
        <v>1135.01</v>
      </c>
      <c r="GU20" s="106">
        <f t="shared" si="33"/>
        <v>0.3937900707</v>
      </c>
      <c r="GW20" s="16">
        <v>18.0</v>
      </c>
      <c r="GX20" s="16" t="s">
        <v>13</v>
      </c>
      <c r="GY20" s="17">
        <v>3129.20941666667</v>
      </c>
      <c r="GZ20" s="20">
        <v>2127.5</v>
      </c>
      <c r="HA20" s="106">
        <f t="shared" si="34"/>
        <v>0.6798841869</v>
      </c>
      <c r="HC20" s="16">
        <v>18.0</v>
      </c>
      <c r="HD20" s="16" t="s">
        <v>20</v>
      </c>
      <c r="HE20" s="17">
        <v>4064.60462</v>
      </c>
      <c r="HF20" s="18">
        <v>6474.0</v>
      </c>
      <c r="HG20" s="106">
        <f t="shared" si="35"/>
        <v>1.592774847</v>
      </c>
      <c r="HI20" s="16">
        <v>18.0</v>
      </c>
      <c r="HJ20" s="16" t="s">
        <v>11</v>
      </c>
      <c r="HK20" s="17">
        <v>3123.9519999999998</v>
      </c>
      <c r="HL20" s="18">
        <v>1707.5</v>
      </c>
      <c r="HM20" s="106">
        <f t="shared" si="36"/>
        <v>0.5465833022</v>
      </c>
      <c r="HO20" s="16">
        <v>18.0</v>
      </c>
      <c r="HP20" s="16" t="s">
        <v>11</v>
      </c>
      <c r="HQ20" s="17">
        <v>3000.2225000000003</v>
      </c>
      <c r="HR20" s="18">
        <v>1266.0</v>
      </c>
      <c r="HS20" s="106">
        <f t="shared" si="37"/>
        <v>0.421968704</v>
      </c>
      <c r="HU20" s="16">
        <v>18.0</v>
      </c>
      <c r="HV20" s="16" t="s">
        <v>18</v>
      </c>
      <c r="HW20" s="17">
        <v>4705.9700416666665</v>
      </c>
      <c r="HX20" s="18">
        <v>4164.5</v>
      </c>
      <c r="HY20" s="106">
        <f t="shared" si="38"/>
        <v>0.8849397602</v>
      </c>
      <c r="HZ20" s="113"/>
      <c r="IA20" s="16">
        <v>18.0</v>
      </c>
      <c r="IB20" s="16" t="s">
        <v>7</v>
      </c>
      <c r="IC20" s="17">
        <v>2465.1209333333336</v>
      </c>
      <c r="ID20" s="18">
        <v>1406.0</v>
      </c>
      <c r="IE20" s="106">
        <f t="shared" si="39"/>
        <v>0.5703574137</v>
      </c>
    </row>
    <row r="21" ht="15.75" customHeight="1">
      <c r="A21" s="95">
        <v>19.0</v>
      </c>
      <c r="B21" s="95" t="s">
        <v>20</v>
      </c>
      <c r="C21" s="103">
        <v>3500.0</v>
      </c>
      <c r="D21" s="68">
        <v>3671.0</v>
      </c>
      <c r="E21" s="104">
        <f t="shared" si="1"/>
        <v>1.048857143</v>
      </c>
      <c r="F21" s="90"/>
      <c r="G21" s="95">
        <v>19.0</v>
      </c>
      <c r="H21" s="95" t="s">
        <v>20</v>
      </c>
      <c r="I21" s="105">
        <v>4734.9025</v>
      </c>
      <c r="J21" s="96">
        <v>3675.5</v>
      </c>
      <c r="K21" s="106">
        <f t="shared" si="2"/>
        <v>0.7762567445</v>
      </c>
      <c r="L21" s="90"/>
      <c r="M21" s="95">
        <v>19.0</v>
      </c>
      <c r="N21" s="95" t="s">
        <v>11</v>
      </c>
      <c r="O21" s="96">
        <v>3505.10506666667</v>
      </c>
      <c r="P21" s="96">
        <v>2052.5</v>
      </c>
      <c r="Q21" s="106">
        <f t="shared" si="3"/>
        <v>0.5855744581</v>
      </c>
      <c r="R21" s="90"/>
      <c r="S21" s="95">
        <v>19.0</v>
      </c>
      <c r="T21" s="95" t="s">
        <v>17</v>
      </c>
      <c r="U21" s="68">
        <v>4033.78076923077</v>
      </c>
      <c r="V21" s="68">
        <v>2666.0</v>
      </c>
      <c r="W21" s="106">
        <f t="shared" si="4"/>
        <v>0.6609184169</v>
      </c>
      <c r="X21" s="90"/>
      <c r="Y21" s="114">
        <v>19.0</v>
      </c>
      <c r="Z21" s="95" t="s">
        <v>7</v>
      </c>
      <c r="AA21" s="108">
        <v>2557.5375</v>
      </c>
      <c r="AB21" s="68">
        <v>2145.0</v>
      </c>
      <c r="AC21" s="106">
        <f t="shared" si="5"/>
        <v>0.8386973798</v>
      </c>
      <c r="AD21" s="90"/>
      <c r="AE21" s="114">
        <v>19.0</v>
      </c>
      <c r="AF21" s="95" t="s">
        <v>11</v>
      </c>
      <c r="AG21" s="108">
        <v>3100.40545238095</v>
      </c>
      <c r="AH21" s="68">
        <v>3813.0</v>
      </c>
      <c r="AI21" s="106">
        <f t="shared" si="6"/>
        <v>1.229839148</v>
      </c>
      <c r="AJ21" s="90"/>
      <c r="AK21" s="114">
        <v>19.0</v>
      </c>
      <c r="AL21" s="95" t="s">
        <v>18</v>
      </c>
      <c r="AM21" s="68">
        <v>4370.5494</v>
      </c>
      <c r="AN21" s="68">
        <v>5272.0</v>
      </c>
      <c r="AO21" s="106">
        <f t="shared" si="7"/>
        <v>1.206255671</v>
      </c>
      <c r="AP21" s="90"/>
      <c r="AQ21" s="95">
        <v>19.0</v>
      </c>
      <c r="AR21" s="95" t="s">
        <v>9</v>
      </c>
      <c r="AS21" s="68">
        <v>3489.23480769231</v>
      </c>
      <c r="AT21" s="68">
        <v>2972.0</v>
      </c>
      <c r="AU21" s="106">
        <f t="shared" si="8"/>
        <v>0.8517626826</v>
      </c>
      <c r="AV21" s="90"/>
      <c r="AW21" s="95">
        <v>19.0</v>
      </c>
      <c r="AX21" s="95" t="s">
        <v>13</v>
      </c>
      <c r="AY21" s="68">
        <v>3535.0242</v>
      </c>
      <c r="AZ21" s="68">
        <v>3047.01</v>
      </c>
      <c r="BA21" s="106">
        <f t="shared" si="9"/>
        <v>0.8619488376</v>
      </c>
      <c r="BB21" s="90"/>
      <c r="BC21" s="95">
        <v>19.0</v>
      </c>
      <c r="BD21" s="95" t="s">
        <v>20</v>
      </c>
      <c r="BE21" s="68">
        <v>5140.16838461539</v>
      </c>
      <c r="BF21" s="68">
        <v>5898.0</v>
      </c>
      <c r="BG21" s="106">
        <f t="shared" si="10"/>
        <v>1.147433228</v>
      </c>
      <c r="BH21" s="90"/>
      <c r="BI21" s="95">
        <v>19.0</v>
      </c>
      <c r="BJ21" s="95" t="s">
        <v>9</v>
      </c>
      <c r="BK21" s="68">
        <v>3435.89447727273</v>
      </c>
      <c r="BL21" s="68">
        <v>2868.5</v>
      </c>
      <c r="BM21" s="106">
        <f t="shared" si="11"/>
        <v>0.8348626592</v>
      </c>
      <c r="BN21" s="90"/>
      <c r="BO21" s="95">
        <v>19.0</v>
      </c>
      <c r="BP21" s="95" t="s">
        <v>17</v>
      </c>
      <c r="BQ21" s="68">
        <v>4029.96582692308</v>
      </c>
      <c r="BR21" s="68">
        <v>3505.01</v>
      </c>
      <c r="BS21" s="106">
        <f t="shared" si="12"/>
        <v>0.8697369036</v>
      </c>
      <c r="BT21" s="90"/>
      <c r="BU21" s="95">
        <v>19.0</v>
      </c>
      <c r="BV21" s="95" t="s">
        <v>7</v>
      </c>
      <c r="BW21" s="68">
        <v>3222.12748846154</v>
      </c>
      <c r="BX21" s="68">
        <v>3044.52</v>
      </c>
      <c r="BY21" s="106">
        <f t="shared" si="13"/>
        <v>0.944878814</v>
      </c>
      <c r="BZ21" s="90"/>
      <c r="CA21" s="95">
        <v>19.0</v>
      </c>
      <c r="CB21" s="95" t="s">
        <v>9</v>
      </c>
      <c r="CC21" s="68">
        <v>3607.60614423077</v>
      </c>
      <c r="CD21" s="68">
        <v>4869.08</v>
      </c>
      <c r="CE21" s="106">
        <f t="shared" si="14"/>
        <v>1.349670614</v>
      </c>
      <c r="CF21" s="90"/>
      <c r="CG21" s="95">
        <v>19.0</v>
      </c>
      <c r="CH21" s="95" t="s">
        <v>17</v>
      </c>
      <c r="CI21" s="96">
        <v>4618.74731971154</v>
      </c>
      <c r="CJ21" s="68">
        <v>3223.0</v>
      </c>
      <c r="CK21" s="106">
        <f t="shared" si="15"/>
        <v>0.6978082534</v>
      </c>
      <c r="CL21" s="90"/>
      <c r="CM21" s="95">
        <v>19.0</v>
      </c>
      <c r="CN21" s="95" t="s">
        <v>20</v>
      </c>
      <c r="CO21" s="96">
        <v>6423.77193333333</v>
      </c>
      <c r="CP21" s="70">
        <v>2559.55</v>
      </c>
      <c r="CQ21" s="106">
        <f t="shared" si="16"/>
        <v>0.3984497</v>
      </c>
      <c r="CR21" s="90"/>
      <c r="CS21" s="95">
        <v>19.0</v>
      </c>
      <c r="CT21" s="95" t="s">
        <v>11</v>
      </c>
      <c r="CU21" s="96">
        <v>3423.9315</v>
      </c>
      <c r="CV21" s="68">
        <v>2132.57</v>
      </c>
      <c r="CW21" s="106">
        <f t="shared" si="17"/>
        <v>0.6228424839</v>
      </c>
      <c r="CX21" s="90"/>
      <c r="CY21" s="95">
        <v>19.0</v>
      </c>
      <c r="CZ21" s="95" t="s">
        <v>17</v>
      </c>
      <c r="DA21" s="96">
        <v>3831.45896875</v>
      </c>
      <c r="DB21" s="68">
        <v>3186.5</v>
      </c>
      <c r="DC21" s="106">
        <f t="shared" si="18"/>
        <v>0.8316675256</v>
      </c>
      <c r="DD21" s="90"/>
      <c r="DE21" s="95">
        <v>19.0</v>
      </c>
      <c r="DF21" s="95" t="s">
        <v>7</v>
      </c>
      <c r="DG21" s="96"/>
      <c r="DH21" s="68">
        <v>0.0</v>
      </c>
      <c r="DI21" s="106"/>
      <c r="DJ21" s="90"/>
      <c r="DK21" s="95">
        <v>19.0</v>
      </c>
      <c r="DL21" s="95" t="s">
        <v>13</v>
      </c>
      <c r="DM21" s="96">
        <v>3168.16775</v>
      </c>
      <c r="DN21" s="68">
        <v>1952.02</v>
      </c>
      <c r="DO21" s="106">
        <f t="shared" si="20"/>
        <v>0.6161353041</v>
      </c>
      <c r="DP21" s="90"/>
      <c r="DQ21" s="95">
        <v>19.0</v>
      </c>
      <c r="DR21" s="95" t="s">
        <v>18</v>
      </c>
      <c r="DS21" s="96">
        <v>3631.1611875</v>
      </c>
      <c r="DT21" s="68">
        <v>2003.5</v>
      </c>
      <c r="DU21" s="106">
        <f t="shared" si="21"/>
        <v>0.5517518768</v>
      </c>
      <c r="DV21" s="90"/>
      <c r="DW21" s="95">
        <v>19.0</v>
      </c>
      <c r="DX21" s="95" t="s">
        <v>9</v>
      </c>
      <c r="DY21" s="115">
        <v>3657.8939775</v>
      </c>
      <c r="DZ21" s="68">
        <v>6178.52</v>
      </c>
      <c r="EA21" s="106">
        <f t="shared" si="22"/>
        <v>1.689092149</v>
      </c>
      <c r="EB21" s="90"/>
      <c r="EC21" s="95">
        <v>19.0</v>
      </c>
      <c r="ED21" s="95" t="s">
        <v>13</v>
      </c>
      <c r="EE21" s="115">
        <v>3738.57553846154</v>
      </c>
      <c r="EF21" s="68">
        <v>2690.81</v>
      </c>
      <c r="EG21" s="106">
        <f t="shared" si="23"/>
        <v>0.7197420441</v>
      </c>
      <c r="EH21" s="113"/>
      <c r="EI21" s="95">
        <v>19.0</v>
      </c>
      <c r="EJ21" s="95" t="s">
        <v>20</v>
      </c>
      <c r="EK21" s="115">
        <v>3751.09713461538</v>
      </c>
      <c r="EL21" s="68">
        <v>5499.75</v>
      </c>
      <c r="EM21" s="106">
        <f t="shared" si="40"/>
        <v>1.466171043</v>
      </c>
      <c r="EN21" s="90"/>
      <c r="EO21" s="95">
        <v>19.0</v>
      </c>
      <c r="EP21" s="95" t="s">
        <v>11</v>
      </c>
      <c r="EQ21" s="115">
        <v>3598.85944</v>
      </c>
      <c r="ER21" s="68">
        <v>4198.01</v>
      </c>
      <c r="ES21" s="106">
        <f t="shared" si="24"/>
        <v>1.166483457</v>
      </c>
      <c r="ET21" s="90"/>
      <c r="EU21" s="95">
        <v>19.0</v>
      </c>
      <c r="EV21" s="95" t="s">
        <v>11</v>
      </c>
      <c r="EW21" s="115">
        <v>3815.68264</v>
      </c>
      <c r="EX21" s="68">
        <v>2404.02</v>
      </c>
      <c r="EY21" s="106">
        <f t="shared" si="25"/>
        <v>0.6300366741</v>
      </c>
      <c r="FA21" s="95">
        <v>19.0</v>
      </c>
      <c r="FB21" s="95" t="s">
        <v>18</v>
      </c>
      <c r="FC21" s="115">
        <v>5462.33303846154</v>
      </c>
      <c r="FD21" s="68">
        <v>3048.54</v>
      </c>
      <c r="FE21" s="106">
        <f t="shared" si="26"/>
        <v>0.5581021843</v>
      </c>
      <c r="FG21" s="95">
        <v>19.0</v>
      </c>
      <c r="FH21" s="95" t="s">
        <v>7</v>
      </c>
      <c r="FI21" s="115">
        <v>3488.60176923077</v>
      </c>
      <c r="FJ21" s="68">
        <v>2093.52</v>
      </c>
      <c r="FK21" s="106">
        <f t="shared" si="27"/>
        <v>0.6001028889</v>
      </c>
      <c r="FL21" s="113"/>
      <c r="FM21" s="95">
        <v>19.0</v>
      </c>
      <c r="FN21" s="95" t="s">
        <v>13</v>
      </c>
      <c r="FO21" s="115">
        <v>3327.21696153846</v>
      </c>
      <c r="FP21" s="68">
        <v>2380.75</v>
      </c>
      <c r="FQ21" s="106">
        <f t="shared" si="28"/>
        <v>0.7155379488</v>
      </c>
      <c r="FS21" s="95">
        <v>19.0</v>
      </c>
      <c r="FT21" s="95" t="s">
        <v>18</v>
      </c>
      <c r="FU21" s="115">
        <v>4957.44530769231</v>
      </c>
      <c r="FV21" s="68">
        <v>2244.5</v>
      </c>
      <c r="FW21" s="106">
        <f t="shared" si="29"/>
        <v>0.452753356</v>
      </c>
      <c r="FY21" s="95">
        <v>19.0</v>
      </c>
      <c r="FZ21" s="95" t="s">
        <v>9</v>
      </c>
      <c r="GA21" s="115">
        <v>2712.61778846154</v>
      </c>
      <c r="GB21" s="68">
        <v>2066.0</v>
      </c>
      <c r="GC21" s="106">
        <f t="shared" si="30"/>
        <v>0.7616259131</v>
      </c>
      <c r="GE21" s="16">
        <v>19.0</v>
      </c>
      <c r="GF21" s="16" t="s">
        <v>17</v>
      </c>
      <c r="GG21" s="41">
        <v>3011.91634615385</v>
      </c>
      <c r="GH21" s="20">
        <v>1633.01</v>
      </c>
      <c r="GI21" s="106">
        <f t="shared" si="31"/>
        <v>0.542183053</v>
      </c>
      <c r="GK21" s="16">
        <v>19.0</v>
      </c>
      <c r="GL21" s="16" t="s">
        <v>20</v>
      </c>
      <c r="GM21" s="17">
        <v>3846.46377777778</v>
      </c>
      <c r="GN21" s="20">
        <v>4194.4</v>
      </c>
      <c r="GO21" s="106">
        <f t="shared" si="32"/>
        <v>1.090456129</v>
      </c>
      <c r="GQ21" s="16">
        <v>19.0</v>
      </c>
      <c r="GR21" s="16" t="s">
        <v>11</v>
      </c>
      <c r="GS21" s="17">
        <v>3563.13087403846</v>
      </c>
      <c r="GT21" s="20">
        <v>2343.01</v>
      </c>
      <c r="GU21" s="106">
        <f t="shared" si="33"/>
        <v>0.65757057</v>
      </c>
      <c r="GW21" s="16">
        <v>19.0</v>
      </c>
      <c r="GX21" s="16" t="s">
        <v>17</v>
      </c>
      <c r="GY21" s="17">
        <v>2824.96158333333</v>
      </c>
      <c r="GZ21" s="20">
        <v>1266.0</v>
      </c>
      <c r="HA21" s="106">
        <f t="shared" si="34"/>
        <v>0.4481476872</v>
      </c>
      <c r="HC21" s="16">
        <v>19.0</v>
      </c>
      <c r="HD21" s="16" t="s">
        <v>7</v>
      </c>
      <c r="HE21" s="17">
        <v>2356.85408333333</v>
      </c>
      <c r="HF21" s="18">
        <v>2201.51</v>
      </c>
      <c r="HG21" s="106">
        <f t="shared" si="35"/>
        <v>0.9340883747</v>
      </c>
      <c r="HI21" s="16">
        <v>19.0</v>
      </c>
      <c r="HJ21" s="16" t="s">
        <v>13</v>
      </c>
      <c r="HK21" s="17">
        <v>3353.449538461538</v>
      </c>
      <c r="HL21" s="18">
        <v>1749.5</v>
      </c>
      <c r="HM21" s="106">
        <f t="shared" si="36"/>
        <v>0.5217016031</v>
      </c>
      <c r="HO21" s="16">
        <v>19.0</v>
      </c>
      <c r="HP21" s="16" t="s">
        <v>13</v>
      </c>
      <c r="HQ21" s="17">
        <v>3049.4403076923077</v>
      </c>
      <c r="HR21" s="18">
        <v>2001.5</v>
      </c>
      <c r="HS21" s="106">
        <f t="shared" si="37"/>
        <v>0.6563499521</v>
      </c>
      <c r="HU21" s="16">
        <v>19.0</v>
      </c>
      <c r="HV21" s="16" t="s">
        <v>20</v>
      </c>
      <c r="HW21" s="17">
        <v>4690.855583333334</v>
      </c>
      <c r="HX21" s="18">
        <v>4225.0</v>
      </c>
      <c r="HY21" s="106">
        <f t="shared" si="38"/>
        <v>0.9006885684</v>
      </c>
      <c r="HZ21" s="113"/>
      <c r="IA21" s="16">
        <v>19.0</v>
      </c>
      <c r="IB21" s="16" t="s">
        <v>9</v>
      </c>
      <c r="IC21" s="17">
        <v>2649.563933333334</v>
      </c>
      <c r="ID21" s="18">
        <v>1741.0</v>
      </c>
      <c r="IE21" s="106">
        <f t="shared" si="39"/>
        <v>0.6570892584</v>
      </c>
    </row>
    <row r="22" ht="15.75" customHeight="1">
      <c r="A22" s="95">
        <v>20.0</v>
      </c>
      <c r="B22" s="95" t="s">
        <v>7</v>
      </c>
      <c r="C22" s="103">
        <v>1800.0</v>
      </c>
      <c r="D22" s="68">
        <v>4152.5</v>
      </c>
      <c r="E22" s="104">
        <f t="shared" si="1"/>
        <v>2.306944444</v>
      </c>
      <c r="F22" s="90"/>
      <c r="G22" s="95">
        <v>20.0</v>
      </c>
      <c r="H22" s="95" t="s">
        <v>7</v>
      </c>
      <c r="I22" s="105">
        <v>3140.65</v>
      </c>
      <c r="J22" s="96">
        <v>2219.0</v>
      </c>
      <c r="K22" s="106">
        <f t="shared" si="2"/>
        <v>0.7065416395</v>
      </c>
      <c r="L22" s="90"/>
      <c r="M22" s="95">
        <v>20.0</v>
      </c>
      <c r="N22" s="95" t="s">
        <v>13</v>
      </c>
      <c r="O22" s="96">
        <v>2738.74755555556</v>
      </c>
      <c r="P22" s="96">
        <v>2868.0</v>
      </c>
      <c r="Q22" s="106">
        <f t="shared" si="3"/>
        <v>1.047193997</v>
      </c>
      <c r="R22" s="90"/>
      <c r="S22" s="95">
        <v>20.0</v>
      </c>
      <c r="T22" s="95" t="s">
        <v>18</v>
      </c>
      <c r="U22" s="68">
        <v>4690.08846153846</v>
      </c>
      <c r="V22" s="68">
        <v>3580.5</v>
      </c>
      <c r="W22" s="106">
        <f t="shared" si="4"/>
        <v>0.7634184364</v>
      </c>
      <c r="X22" s="90"/>
      <c r="Y22" s="114">
        <v>20.0</v>
      </c>
      <c r="Z22" s="95" t="s">
        <v>9</v>
      </c>
      <c r="AA22" s="108">
        <v>3393.50875</v>
      </c>
      <c r="AB22" s="68">
        <v>2556.0</v>
      </c>
      <c r="AC22" s="106">
        <f t="shared" si="5"/>
        <v>0.7532027139</v>
      </c>
      <c r="AD22" s="90"/>
      <c r="AE22" s="114">
        <v>20.0</v>
      </c>
      <c r="AF22" s="95" t="s">
        <v>13</v>
      </c>
      <c r="AG22" s="108">
        <v>2743.68354782609</v>
      </c>
      <c r="AH22" s="68">
        <v>5307.02</v>
      </c>
      <c r="AI22" s="106">
        <f t="shared" si="6"/>
        <v>1.934268259</v>
      </c>
      <c r="AJ22" s="90"/>
      <c r="AK22" s="114">
        <v>20.0</v>
      </c>
      <c r="AL22" s="95" t="s">
        <v>20</v>
      </c>
      <c r="AM22" s="68">
        <v>4138.3610625</v>
      </c>
      <c r="AN22" s="68">
        <v>4979.01</v>
      </c>
      <c r="AO22" s="106">
        <f t="shared" si="7"/>
        <v>1.203135716</v>
      </c>
      <c r="AP22" s="90"/>
      <c r="AQ22" s="95">
        <v>20.0</v>
      </c>
      <c r="AR22" s="95" t="s">
        <v>11</v>
      </c>
      <c r="AS22" s="68">
        <v>3715.95565384615</v>
      </c>
      <c r="AT22" s="68">
        <v>2657.0</v>
      </c>
      <c r="AU22" s="106">
        <f t="shared" si="8"/>
        <v>0.7150246794</v>
      </c>
      <c r="AV22" s="90"/>
      <c r="AW22" s="95">
        <v>20.0</v>
      </c>
      <c r="AX22" s="95" t="s">
        <v>17</v>
      </c>
      <c r="AY22" s="68">
        <v>3996.56007692308</v>
      </c>
      <c r="AZ22" s="68">
        <v>4769.0</v>
      </c>
      <c r="BA22" s="106">
        <f t="shared" si="9"/>
        <v>1.193276195</v>
      </c>
      <c r="BB22" s="90"/>
      <c r="BC22" s="95">
        <v>20.0</v>
      </c>
      <c r="BD22" s="95" t="s">
        <v>7</v>
      </c>
      <c r="BE22" s="68">
        <v>2913.27507692308</v>
      </c>
      <c r="BF22" s="68">
        <v>6636.5</v>
      </c>
      <c r="BG22" s="106">
        <f t="shared" si="10"/>
        <v>2.278020381</v>
      </c>
      <c r="BH22" s="90"/>
      <c r="BI22" s="95">
        <v>20.0</v>
      </c>
      <c r="BJ22" s="95" t="s">
        <v>11</v>
      </c>
      <c r="BK22" s="68">
        <v>3839.49681818182</v>
      </c>
      <c r="BL22" s="68">
        <v>2735.51</v>
      </c>
      <c r="BM22" s="106">
        <f t="shared" si="11"/>
        <v>0.7124657552</v>
      </c>
      <c r="BN22" s="90"/>
      <c r="BO22" s="95">
        <v>20.0</v>
      </c>
      <c r="BP22" s="95" t="s">
        <v>18</v>
      </c>
      <c r="BQ22" s="68">
        <v>5199.17766666667</v>
      </c>
      <c r="BR22" s="68">
        <v>6416.01</v>
      </c>
      <c r="BS22" s="106">
        <f t="shared" si="12"/>
        <v>1.23404323</v>
      </c>
      <c r="BT22" s="90"/>
      <c r="BU22" s="95">
        <v>20.0</v>
      </c>
      <c r="BV22" s="95" t="s">
        <v>9</v>
      </c>
      <c r="BW22" s="68">
        <v>3554.17122980769</v>
      </c>
      <c r="BX22" s="68">
        <v>2547.53</v>
      </c>
      <c r="BY22" s="106">
        <f t="shared" si="13"/>
        <v>0.7167718816</v>
      </c>
      <c r="BZ22" s="90"/>
      <c r="CA22" s="95">
        <v>20.0</v>
      </c>
      <c r="CB22" s="95" t="s">
        <v>11</v>
      </c>
      <c r="CC22" s="68">
        <v>3949.32755769231</v>
      </c>
      <c r="CD22" s="68">
        <v>3148.57</v>
      </c>
      <c r="CE22" s="106">
        <f t="shared" si="14"/>
        <v>0.7972420505</v>
      </c>
      <c r="CF22" s="90"/>
      <c r="CG22" s="95">
        <v>20.0</v>
      </c>
      <c r="CH22" s="95" t="s">
        <v>18</v>
      </c>
      <c r="CI22" s="96">
        <v>6207.68088028846</v>
      </c>
      <c r="CJ22" s="68">
        <v>4206.56</v>
      </c>
      <c r="CK22" s="106">
        <f t="shared" si="15"/>
        <v>0.6776379265</v>
      </c>
      <c r="CL22" s="90"/>
      <c r="CM22" s="95">
        <v>20.0</v>
      </c>
      <c r="CN22" s="95" t="s">
        <v>7</v>
      </c>
      <c r="CO22" s="96">
        <v>3518.0440625</v>
      </c>
      <c r="CP22" s="70">
        <v>2431.9</v>
      </c>
      <c r="CQ22" s="106">
        <f t="shared" si="16"/>
        <v>0.6912647928</v>
      </c>
      <c r="CR22" s="90"/>
      <c r="CS22" s="95">
        <v>20.0</v>
      </c>
      <c r="CT22" s="95" t="s">
        <v>13</v>
      </c>
      <c r="CU22" s="96">
        <v>3452.2635</v>
      </c>
      <c r="CV22" s="68">
        <v>2538.53</v>
      </c>
      <c r="CW22" s="106">
        <f t="shared" si="17"/>
        <v>0.735323361</v>
      </c>
      <c r="CX22" s="90"/>
      <c r="CY22" s="95">
        <v>20.0</v>
      </c>
      <c r="CZ22" s="95" t="s">
        <v>18</v>
      </c>
      <c r="DA22" s="96">
        <v>5263.61373958333</v>
      </c>
      <c r="DB22" s="68">
        <v>2792.03</v>
      </c>
      <c r="DC22" s="106">
        <f t="shared" si="18"/>
        <v>0.5304397583</v>
      </c>
      <c r="DD22" s="90"/>
      <c r="DE22" s="95">
        <v>20.0</v>
      </c>
      <c r="DF22" s="95" t="s">
        <v>9</v>
      </c>
      <c r="DG22" s="96">
        <v>3652.4061875</v>
      </c>
      <c r="DH22" s="68">
        <v>2925.06</v>
      </c>
      <c r="DI22" s="106">
        <f t="shared" ref="DI22:DI34" si="41">DH22/DG22</f>
        <v>0.800858352</v>
      </c>
      <c r="DJ22" s="90"/>
      <c r="DK22" s="95">
        <v>20.0</v>
      </c>
      <c r="DL22" s="95" t="s">
        <v>17</v>
      </c>
      <c r="DM22" s="96">
        <v>3230.885088</v>
      </c>
      <c r="DN22" s="68">
        <v>2626.01</v>
      </c>
      <c r="DO22" s="106">
        <f t="shared" si="20"/>
        <v>0.8127834722</v>
      </c>
      <c r="DP22" s="90"/>
      <c r="DQ22" s="95">
        <v>20.0</v>
      </c>
      <c r="DR22" s="95" t="s">
        <v>20</v>
      </c>
      <c r="DS22" s="96">
        <v>3162.9469375</v>
      </c>
      <c r="DT22" s="68">
        <v>3688.5</v>
      </c>
      <c r="DU22" s="106">
        <f t="shared" si="21"/>
        <v>1.166159304</v>
      </c>
      <c r="DV22" s="90"/>
      <c r="DW22" s="95">
        <v>20.0</v>
      </c>
      <c r="DX22" s="95" t="s">
        <v>11</v>
      </c>
      <c r="DY22" s="96">
        <v>3406.579505</v>
      </c>
      <c r="DZ22" s="68">
        <v>7137.28</v>
      </c>
      <c r="EA22" s="106">
        <f t="shared" si="22"/>
        <v>2.095145582</v>
      </c>
      <c r="EB22" s="90"/>
      <c r="EC22" s="95">
        <v>20.0</v>
      </c>
      <c r="ED22" s="95" t="s">
        <v>17</v>
      </c>
      <c r="EE22" s="96">
        <v>3996.95769230769</v>
      </c>
      <c r="EF22" s="68">
        <v>2366.0</v>
      </c>
      <c r="EG22" s="106">
        <f t="shared" si="23"/>
        <v>0.5919502237</v>
      </c>
      <c r="EH22" s="113"/>
      <c r="EI22" s="95">
        <v>20.0</v>
      </c>
      <c r="EJ22" s="95" t="s">
        <v>7</v>
      </c>
      <c r="EK22" s="96">
        <v>3161.80644230769</v>
      </c>
      <c r="EL22" s="68">
        <v>4567.5</v>
      </c>
      <c r="EM22" s="106">
        <f t="shared" si="40"/>
        <v>1.444585582</v>
      </c>
      <c r="EN22" s="90"/>
      <c r="EO22" s="95">
        <v>20.0</v>
      </c>
      <c r="EP22" s="95" t="s">
        <v>13</v>
      </c>
      <c r="EQ22" s="96">
        <v>3504.97196296296</v>
      </c>
      <c r="ER22" s="68">
        <v>3899.51</v>
      </c>
      <c r="ES22" s="106">
        <f t="shared" si="24"/>
        <v>1.112565248</v>
      </c>
      <c r="ET22" s="90"/>
      <c r="EU22" s="95">
        <v>20.0</v>
      </c>
      <c r="EV22" s="95" t="s">
        <v>13</v>
      </c>
      <c r="EW22" s="96">
        <v>3699.33934615385</v>
      </c>
      <c r="EX22" s="68">
        <v>2565.5</v>
      </c>
      <c r="EY22" s="106">
        <f t="shared" si="25"/>
        <v>0.6935022067</v>
      </c>
      <c r="FA22" s="95">
        <v>20.0</v>
      </c>
      <c r="FB22" s="95" t="s">
        <v>20</v>
      </c>
      <c r="FC22" s="96">
        <v>5046.12053846154</v>
      </c>
      <c r="FD22" s="68">
        <v>1359.0</v>
      </c>
      <c r="FE22" s="106">
        <f t="shared" si="26"/>
        <v>0.269315802</v>
      </c>
      <c r="FG22" s="95">
        <v>20.0</v>
      </c>
      <c r="FH22" s="95" t="s">
        <v>9</v>
      </c>
      <c r="FI22" s="96">
        <v>3878.677</v>
      </c>
      <c r="FJ22" s="68">
        <v>2438.0</v>
      </c>
      <c r="FK22" s="106">
        <f t="shared" si="27"/>
        <v>0.6285648431</v>
      </c>
      <c r="FL22" s="113"/>
      <c r="FM22" s="95">
        <v>20.0</v>
      </c>
      <c r="FN22" s="95" t="s">
        <v>17</v>
      </c>
      <c r="FO22" s="96">
        <v>3504.46842307692</v>
      </c>
      <c r="FP22" s="68">
        <v>1809.59</v>
      </c>
      <c r="FQ22" s="106">
        <f t="shared" si="28"/>
        <v>0.5163664732</v>
      </c>
      <c r="FS22" s="95">
        <v>20.0</v>
      </c>
      <c r="FT22" s="95" t="s">
        <v>20</v>
      </c>
      <c r="FU22" s="96">
        <v>4348.39307692308</v>
      </c>
      <c r="FV22" s="68">
        <v>2258.2</v>
      </c>
      <c r="FW22" s="106">
        <f t="shared" si="29"/>
        <v>0.5193182769</v>
      </c>
      <c r="FY22" s="95">
        <v>20.0</v>
      </c>
      <c r="FZ22" s="95" t="s">
        <v>11</v>
      </c>
      <c r="GA22" s="96">
        <v>3303.29538461538</v>
      </c>
      <c r="GB22" s="68">
        <v>1960.0</v>
      </c>
      <c r="GC22" s="106">
        <f t="shared" si="30"/>
        <v>0.5933468769</v>
      </c>
      <c r="GE22" s="16">
        <v>20.0</v>
      </c>
      <c r="GF22" s="16" t="s">
        <v>18</v>
      </c>
      <c r="GG22" s="17">
        <v>4334.40196296296</v>
      </c>
      <c r="GH22" s="20">
        <v>2976.67</v>
      </c>
      <c r="GI22" s="106">
        <f t="shared" si="31"/>
        <v>0.6867544878</v>
      </c>
      <c r="GK22" s="16">
        <v>20.0</v>
      </c>
      <c r="GL22" s="16" t="s">
        <v>7</v>
      </c>
      <c r="GM22" s="5">
        <v>2544.11846153846</v>
      </c>
      <c r="GN22" s="20">
        <v>2376.5</v>
      </c>
      <c r="GO22" s="106">
        <f t="shared" si="32"/>
        <v>0.9341153079</v>
      </c>
      <c r="GQ22" s="16">
        <v>20.0</v>
      </c>
      <c r="GR22" s="16" t="s">
        <v>13</v>
      </c>
      <c r="GS22" s="5">
        <v>3624.13779903846</v>
      </c>
      <c r="GT22" s="20">
        <v>3377.51</v>
      </c>
      <c r="GU22" s="106">
        <f t="shared" si="33"/>
        <v>0.9319485592</v>
      </c>
      <c r="GW22" s="16">
        <v>20.0</v>
      </c>
      <c r="GX22" s="16" t="s">
        <v>18</v>
      </c>
      <c r="GY22" s="5">
        <v>3969.18954166667</v>
      </c>
      <c r="GZ22" s="20">
        <v>3522.0</v>
      </c>
      <c r="HA22" s="106">
        <f t="shared" si="34"/>
        <v>0.887334798</v>
      </c>
      <c r="HC22" s="16">
        <v>20.0</v>
      </c>
      <c r="HD22" s="16" t="s">
        <v>9</v>
      </c>
      <c r="HE22" s="17">
        <v>2287.03039583333</v>
      </c>
      <c r="HF22" s="18">
        <v>7027.02</v>
      </c>
      <c r="HG22" s="106">
        <f t="shared" si="35"/>
        <v>3.07255208</v>
      </c>
      <c r="HI22" s="16">
        <v>20.0</v>
      </c>
      <c r="HJ22" s="16" t="s">
        <v>17</v>
      </c>
      <c r="HK22" s="17">
        <v>3092.8636666666666</v>
      </c>
      <c r="HL22" s="18">
        <v>2585.4</v>
      </c>
      <c r="HM22" s="106">
        <f t="shared" si="36"/>
        <v>0.8359243338</v>
      </c>
      <c r="HO22" s="16">
        <v>20.0</v>
      </c>
      <c r="HP22" s="16" t="s">
        <v>17</v>
      </c>
      <c r="HQ22" s="17">
        <v>3011.8659999999995</v>
      </c>
      <c r="HR22" s="18">
        <v>2674.0</v>
      </c>
      <c r="HS22" s="106">
        <f t="shared" si="37"/>
        <v>0.8878217026</v>
      </c>
      <c r="HU22" s="16">
        <v>20.0</v>
      </c>
      <c r="HV22" s="16" t="s">
        <v>7</v>
      </c>
      <c r="HW22" s="17">
        <v>2460.2421250000007</v>
      </c>
      <c r="HX22" s="18">
        <v>2595.0</v>
      </c>
      <c r="HY22" s="106">
        <f t="shared" si="38"/>
        <v>1.054774233</v>
      </c>
      <c r="HZ22" s="113"/>
      <c r="IA22" s="16">
        <v>20.0</v>
      </c>
      <c r="IB22" s="16" t="s">
        <v>11</v>
      </c>
      <c r="IC22" s="17">
        <v>2953.7709090909098</v>
      </c>
      <c r="ID22" s="18">
        <v>1648.0</v>
      </c>
      <c r="IE22" s="106">
        <f t="shared" si="39"/>
        <v>0.5579308791</v>
      </c>
    </row>
    <row r="23" ht="15.75" customHeight="1">
      <c r="A23" s="95">
        <v>21.0</v>
      </c>
      <c r="B23" s="95" t="s">
        <v>9</v>
      </c>
      <c r="C23" s="103">
        <v>2000.0</v>
      </c>
      <c r="D23" s="68">
        <v>4456.5</v>
      </c>
      <c r="E23" s="104">
        <f t="shared" si="1"/>
        <v>2.22825</v>
      </c>
      <c r="F23" s="90"/>
      <c r="G23" s="95">
        <v>21.0</v>
      </c>
      <c r="H23" s="95" t="s">
        <v>9</v>
      </c>
      <c r="I23" s="105">
        <v>3785.785</v>
      </c>
      <c r="J23" s="96">
        <v>2553.5</v>
      </c>
      <c r="K23" s="106">
        <f t="shared" si="2"/>
        <v>0.6744968349</v>
      </c>
      <c r="L23" s="90"/>
      <c r="M23" s="95">
        <v>21.0</v>
      </c>
      <c r="N23" s="95" t="s">
        <v>17</v>
      </c>
      <c r="O23" s="96">
        <v>3468.6145</v>
      </c>
      <c r="P23" s="96">
        <v>4995.5</v>
      </c>
      <c r="Q23" s="106">
        <f t="shared" si="3"/>
        <v>1.440200403</v>
      </c>
      <c r="R23" s="90"/>
      <c r="S23" s="95">
        <v>21.0</v>
      </c>
      <c r="T23" s="95" t="s">
        <v>20</v>
      </c>
      <c r="U23" s="68">
        <v>4046.23923076923</v>
      </c>
      <c r="V23" s="68">
        <v>3120.5</v>
      </c>
      <c r="W23" s="106">
        <f t="shared" si="4"/>
        <v>0.7712099612</v>
      </c>
      <c r="X23" s="90"/>
      <c r="Y23" s="114">
        <v>21.0</v>
      </c>
      <c r="Z23" s="95" t="s">
        <v>11</v>
      </c>
      <c r="AA23" s="108">
        <v>3016.24352941176</v>
      </c>
      <c r="AB23" s="68">
        <v>2371.0</v>
      </c>
      <c r="AC23" s="106">
        <f t="shared" si="5"/>
        <v>0.7860771111</v>
      </c>
      <c r="AD23" s="90"/>
      <c r="AE23" s="114">
        <v>21.0</v>
      </c>
      <c r="AF23" s="95" t="s">
        <v>17</v>
      </c>
      <c r="AG23" s="108">
        <v>3548.44762608696</v>
      </c>
      <c r="AH23" s="68">
        <v>5198.5</v>
      </c>
      <c r="AI23" s="106">
        <f t="shared" si="6"/>
        <v>1.465006828</v>
      </c>
      <c r="AJ23" s="90"/>
      <c r="AK23" s="114">
        <v>21.0</v>
      </c>
      <c r="AL23" s="95" t="s">
        <v>7</v>
      </c>
      <c r="AM23" s="68">
        <v>2705.10176086957</v>
      </c>
      <c r="AN23" s="68">
        <v>2345.5</v>
      </c>
      <c r="AO23" s="106">
        <f t="shared" si="7"/>
        <v>0.8670653481</v>
      </c>
      <c r="AP23" s="90"/>
      <c r="AQ23" s="95">
        <v>21.0</v>
      </c>
      <c r="AR23" s="95" t="s">
        <v>13</v>
      </c>
      <c r="AS23" s="68">
        <v>3620.97675</v>
      </c>
      <c r="AT23" s="68">
        <v>2459.01</v>
      </c>
      <c r="AU23" s="106">
        <f t="shared" si="8"/>
        <v>0.679101295</v>
      </c>
      <c r="AV23" s="90"/>
      <c r="AW23" s="95">
        <v>21.0</v>
      </c>
      <c r="AX23" s="95" t="s">
        <v>18</v>
      </c>
      <c r="AY23" s="68">
        <v>5060.51798571429</v>
      </c>
      <c r="AZ23" s="68">
        <v>5458.0</v>
      </c>
      <c r="BA23" s="106">
        <f t="shared" si="9"/>
        <v>1.078545717</v>
      </c>
      <c r="BB23" s="90"/>
      <c r="BC23" s="95">
        <v>21.0</v>
      </c>
      <c r="BD23" s="95" t="s">
        <v>9</v>
      </c>
      <c r="BE23" s="68">
        <v>3379.77075</v>
      </c>
      <c r="BF23" s="68">
        <v>2481.0</v>
      </c>
      <c r="BG23" s="106">
        <f t="shared" si="10"/>
        <v>0.7340734575</v>
      </c>
      <c r="BH23" s="90"/>
      <c r="BI23" s="95">
        <v>21.0</v>
      </c>
      <c r="BJ23" s="95" t="s">
        <v>13</v>
      </c>
      <c r="BK23" s="68">
        <v>3758.82436363636</v>
      </c>
      <c r="BL23" s="68">
        <v>3217.03</v>
      </c>
      <c r="BM23" s="106">
        <f t="shared" si="11"/>
        <v>0.8558606864</v>
      </c>
      <c r="BN23" s="90"/>
      <c r="BO23" s="95">
        <v>21.0</v>
      </c>
      <c r="BP23" s="95" t="s">
        <v>20</v>
      </c>
      <c r="BQ23" s="68">
        <v>5304.46266</v>
      </c>
      <c r="BR23" s="68">
        <v>4838.09</v>
      </c>
      <c r="BS23" s="106">
        <f t="shared" si="12"/>
        <v>0.9120791888</v>
      </c>
      <c r="BT23" s="90"/>
      <c r="BU23" s="95">
        <v>21.0</v>
      </c>
      <c r="BV23" s="95" t="s">
        <v>11</v>
      </c>
      <c r="BW23" s="68">
        <v>3944.74966442308</v>
      </c>
      <c r="BX23" s="68">
        <v>3458.5</v>
      </c>
      <c r="BY23" s="106">
        <f t="shared" si="13"/>
        <v>0.8767349754</v>
      </c>
      <c r="BZ23" s="90"/>
      <c r="CA23" s="95">
        <v>21.0</v>
      </c>
      <c r="CB23" s="95" t="s">
        <v>13</v>
      </c>
      <c r="CC23" s="68">
        <v>3966.21415384615</v>
      </c>
      <c r="CD23" s="68">
        <v>4010.03</v>
      </c>
      <c r="CE23" s="106">
        <f t="shared" si="14"/>
        <v>1.011047272</v>
      </c>
      <c r="CF23" s="90"/>
      <c r="CG23" s="95">
        <v>21.0</v>
      </c>
      <c r="CH23" s="95" t="s">
        <v>20</v>
      </c>
      <c r="CI23" s="96">
        <v>6371.97246875</v>
      </c>
      <c r="CJ23" s="68">
        <v>4285.06</v>
      </c>
      <c r="CK23" s="106">
        <f t="shared" si="15"/>
        <v>0.6724856426</v>
      </c>
      <c r="CL23" s="90"/>
      <c r="CM23" s="95">
        <v>21.0</v>
      </c>
      <c r="CN23" s="95" t="s">
        <v>9</v>
      </c>
      <c r="CO23" s="96">
        <v>4420.4125625</v>
      </c>
      <c r="CP23" s="70">
        <v>2303.08</v>
      </c>
      <c r="CQ23" s="106">
        <f t="shared" si="16"/>
        <v>0.5210101925</v>
      </c>
      <c r="CR23" s="90"/>
      <c r="CS23" s="95">
        <v>21.0</v>
      </c>
      <c r="CT23" s="95" t="s">
        <v>17</v>
      </c>
      <c r="CU23" s="96">
        <v>3827.424</v>
      </c>
      <c r="CV23" s="68">
        <v>2749.59</v>
      </c>
      <c r="CW23" s="106">
        <f t="shared" si="17"/>
        <v>0.7183917956</v>
      </c>
      <c r="CX23" s="90"/>
      <c r="CY23" s="95">
        <v>21.0</v>
      </c>
      <c r="CZ23" s="95" t="s">
        <v>20</v>
      </c>
      <c r="DA23" s="96">
        <v>4936.90694791667</v>
      </c>
      <c r="DB23" s="68">
        <v>2969.0</v>
      </c>
      <c r="DC23" s="106">
        <f t="shared" si="18"/>
        <v>0.6013886896</v>
      </c>
      <c r="DD23" s="90"/>
      <c r="DE23" s="95">
        <v>21.0</v>
      </c>
      <c r="DF23" s="95" t="s">
        <v>11</v>
      </c>
      <c r="DG23" s="96">
        <v>3405.940125</v>
      </c>
      <c r="DH23" s="68">
        <v>3664.0</v>
      </c>
      <c r="DI23" s="106">
        <f t="shared" si="41"/>
        <v>1.07576759</v>
      </c>
      <c r="DJ23" s="90"/>
      <c r="DK23" s="95">
        <v>21.0</v>
      </c>
      <c r="DL23" s="95" t="s">
        <v>18</v>
      </c>
      <c r="DM23" s="96">
        <v>4178.504736</v>
      </c>
      <c r="DN23" s="68">
        <v>3730.5</v>
      </c>
      <c r="DO23" s="106">
        <f t="shared" si="20"/>
        <v>0.8927834801</v>
      </c>
      <c r="DP23" s="90"/>
      <c r="DQ23" s="95">
        <v>21.0</v>
      </c>
      <c r="DR23" s="95" t="s">
        <v>7</v>
      </c>
      <c r="DS23" s="96">
        <v>2653.7599375</v>
      </c>
      <c r="DT23" s="68">
        <v>5089.51</v>
      </c>
      <c r="DU23" s="106">
        <f t="shared" si="21"/>
        <v>1.917848683</v>
      </c>
      <c r="DV23" s="90"/>
      <c r="DW23" s="95">
        <v>21.0</v>
      </c>
      <c r="DX23" s="95" t="s">
        <v>13</v>
      </c>
      <c r="DY23" s="96">
        <v>3326.5761375</v>
      </c>
      <c r="DZ23" s="68">
        <v>3774.76</v>
      </c>
      <c r="EA23" s="106">
        <f t="shared" si="22"/>
        <v>1.134728274</v>
      </c>
      <c r="EB23" s="90"/>
      <c r="EC23" s="95">
        <v>21.0</v>
      </c>
      <c r="ED23" s="95" t="s">
        <v>18</v>
      </c>
      <c r="EE23" s="96">
        <v>4853.73777777778</v>
      </c>
      <c r="EF23" s="68">
        <v>2478.75</v>
      </c>
      <c r="EG23" s="106">
        <f t="shared" si="23"/>
        <v>0.5106888986</v>
      </c>
      <c r="EH23" s="113"/>
      <c r="EI23" s="95">
        <v>21.0</v>
      </c>
      <c r="EJ23" s="95" t="s">
        <v>9</v>
      </c>
      <c r="EK23" s="96">
        <v>3526.95252</v>
      </c>
      <c r="EL23" s="68">
        <v>3183.75</v>
      </c>
      <c r="EM23" s="106">
        <f t="shared" si="40"/>
        <v>0.9026914828</v>
      </c>
      <c r="EN23" s="90"/>
      <c r="EO23" s="95">
        <v>21.0</v>
      </c>
      <c r="EP23" s="95" t="s">
        <v>17</v>
      </c>
      <c r="EQ23" s="96">
        <v>3756.49266666667</v>
      </c>
      <c r="ER23" s="68">
        <v>4059.45</v>
      </c>
      <c r="ES23" s="106">
        <f t="shared" si="24"/>
        <v>1.080648988</v>
      </c>
      <c r="ET23" s="90"/>
      <c r="EU23" s="95">
        <v>21.0</v>
      </c>
      <c r="EV23" s="95" t="s">
        <v>17</v>
      </c>
      <c r="EW23" s="96">
        <v>4094.86380769231</v>
      </c>
      <c r="EX23" s="68">
        <v>3666.75</v>
      </c>
      <c r="EY23" s="106">
        <f t="shared" si="25"/>
        <v>0.8954510265</v>
      </c>
      <c r="FA23" s="95">
        <v>21.0</v>
      </c>
      <c r="FB23" s="95" t="s">
        <v>7</v>
      </c>
      <c r="FC23" s="96">
        <v>3488.60176923077</v>
      </c>
      <c r="FD23" s="68">
        <v>2463.06</v>
      </c>
      <c r="FE23" s="106">
        <f t="shared" si="26"/>
        <v>0.7060307146</v>
      </c>
      <c r="FG23" s="95">
        <v>21.0</v>
      </c>
      <c r="FH23" s="95" t="s">
        <v>11</v>
      </c>
      <c r="FI23" s="96">
        <v>3929.07108</v>
      </c>
      <c r="FJ23" s="68">
        <v>2086.76</v>
      </c>
      <c r="FK23" s="106">
        <f t="shared" si="27"/>
        <v>0.5311077243</v>
      </c>
      <c r="FL23" s="113"/>
      <c r="FM23" s="95">
        <v>21.0</v>
      </c>
      <c r="FN23" s="95" t="s">
        <v>18</v>
      </c>
      <c r="FO23" s="96">
        <v>4887.0415</v>
      </c>
      <c r="FP23" s="68">
        <v>2224.0</v>
      </c>
      <c r="FQ23" s="106">
        <f t="shared" si="28"/>
        <v>0.4550810547</v>
      </c>
      <c r="FS23" s="95">
        <v>21.0</v>
      </c>
      <c r="FT23" s="95" t="s">
        <v>7</v>
      </c>
      <c r="FU23" s="96">
        <v>2816.69469230769</v>
      </c>
      <c r="FV23" s="68">
        <v>1729.0</v>
      </c>
      <c r="FW23" s="106">
        <f t="shared" si="29"/>
        <v>0.6138400462</v>
      </c>
      <c r="FY23" s="95">
        <v>21.0</v>
      </c>
      <c r="FZ23" s="95" t="s">
        <v>13</v>
      </c>
      <c r="GA23" s="96">
        <v>3318.94157692308</v>
      </c>
      <c r="GB23" s="68">
        <v>4493.0</v>
      </c>
      <c r="GC23" s="106">
        <f t="shared" si="30"/>
        <v>1.35374483</v>
      </c>
      <c r="GE23" s="16">
        <v>21.0</v>
      </c>
      <c r="GF23" s="16" t="s">
        <v>20</v>
      </c>
      <c r="GG23" s="17">
        <v>3846.46377777778</v>
      </c>
      <c r="GH23" s="20">
        <v>2882.9</v>
      </c>
      <c r="GI23" s="106">
        <f t="shared" si="31"/>
        <v>0.7494936041</v>
      </c>
      <c r="GK23" s="16">
        <v>21.0</v>
      </c>
      <c r="GL23" s="16" t="s">
        <v>9</v>
      </c>
      <c r="GM23" s="17">
        <v>2506.32326923077</v>
      </c>
      <c r="GN23" s="20">
        <v>2089.5</v>
      </c>
      <c r="GO23" s="106">
        <f t="shared" si="32"/>
        <v>0.8336913381</v>
      </c>
      <c r="GQ23" s="16">
        <v>21.0</v>
      </c>
      <c r="GR23" s="16" t="s">
        <v>17</v>
      </c>
      <c r="GS23" s="17">
        <v>3463.70379807693</v>
      </c>
      <c r="GT23" s="20">
        <v>2239.0</v>
      </c>
      <c r="GU23" s="106">
        <f t="shared" si="33"/>
        <v>0.6464178609</v>
      </c>
      <c r="GW23" s="16">
        <v>21.0</v>
      </c>
      <c r="GX23" s="16" t="s">
        <v>20</v>
      </c>
      <c r="GY23" s="17">
        <v>4064.60462</v>
      </c>
      <c r="GZ23" s="20">
        <v>2802.5</v>
      </c>
      <c r="HA23" s="106">
        <f t="shared" si="34"/>
        <v>0.689488957</v>
      </c>
      <c r="HC23" s="16">
        <v>21.0</v>
      </c>
      <c r="HD23" s="16" t="s">
        <v>11</v>
      </c>
      <c r="HE23" s="41">
        <v>2757.4024375</v>
      </c>
      <c r="HF23" s="18">
        <v>1784.0</v>
      </c>
      <c r="HG23" s="106">
        <f t="shared" si="35"/>
        <v>0.6469857195</v>
      </c>
      <c r="HI23" s="16">
        <v>21.0</v>
      </c>
      <c r="HJ23" s="16" t="s">
        <v>18</v>
      </c>
      <c r="HK23" s="41">
        <v>4778.571148148147</v>
      </c>
      <c r="HL23" s="18">
        <v>4992.01</v>
      </c>
      <c r="HM23" s="106">
        <f t="shared" si="36"/>
        <v>1.044665831</v>
      </c>
      <c r="HO23" s="16">
        <v>21.0</v>
      </c>
      <c r="HP23" s="16" t="s">
        <v>18</v>
      </c>
      <c r="HQ23" s="41">
        <v>4793.871076923077</v>
      </c>
      <c r="HR23" s="18">
        <v>3262.5</v>
      </c>
      <c r="HS23" s="106">
        <f t="shared" si="37"/>
        <v>0.6805564746</v>
      </c>
      <c r="HU23" s="16">
        <v>21.0</v>
      </c>
      <c r="HV23" s="16" t="s">
        <v>9</v>
      </c>
      <c r="HW23" s="41">
        <v>2676.4526250000004</v>
      </c>
      <c r="HX23" s="18">
        <v>3196.5</v>
      </c>
      <c r="HY23" s="106">
        <f t="shared" si="38"/>
        <v>1.194304719</v>
      </c>
      <c r="HZ23" s="113"/>
      <c r="IA23" s="16">
        <v>21.0</v>
      </c>
      <c r="IB23" s="16" t="s">
        <v>13</v>
      </c>
      <c r="IC23" s="41">
        <v>2785.570200000001</v>
      </c>
      <c r="ID23" s="18">
        <v>1950.5</v>
      </c>
      <c r="IE23" s="106">
        <f t="shared" si="39"/>
        <v>0.7002157045</v>
      </c>
    </row>
    <row r="24" ht="15.75" customHeight="1">
      <c r="A24" s="95">
        <v>22.0</v>
      </c>
      <c r="B24" s="95" t="s">
        <v>11</v>
      </c>
      <c r="C24" s="103">
        <v>2300.0</v>
      </c>
      <c r="D24" s="68">
        <v>4146.5</v>
      </c>
      <c r="E24" s="104">
        <f t="shared" si="1"/>
        <v>1.802826087</v>
      </c>
      <c r="F24" s="90"/>
      <c r="G24" s="95">
        <v>22.0</v>
      </c>
      <c r="H24" s="95" t="s">
        <v>11</v>
      </c>
      <c r="I24" s="105">
        <v>3528.2075</v>
      </c>
      <c r="J24" s="96">
        <v>3062.0</v>
      </c>
      <c r="K24" s="106">
        <f t="shared" si="2"/>
        <v>0.8678627887</v>
      </c>
      <c r="L24" s="90"/>
      <c r="M24" s="95">
        <v>22.0</v>
      </c>
      <c r="N24" s="95" t="s">
        <v>18</v>
      </c>
      <c r="O24" s="96">
        <v>4968.2295</v>
      </c>
      <c r="P24" s="96">
        <v>4507.0</v>
      </c>
      <c r="Q24" s="106">
        <f t="shared" si="3"/>
        <v>0.9071642121</v>
      </c>
      <c r="R24" s="90"/>
      <c r="S24" s="95">
        <v>22.0</v>
      </c>
      <c r="T24" s="95" t="s">
        <v>7</v>
      </c>
      <c r="U24" s="68">
        <v>2494.38333333333</v>
      </c>
      <c r="V24" s="68">
        <v>1309.5</v>
      </c>
      <c r="W24" s="106">
        <f t="shared" si="4"/>
        <v>0.5249794538</v>
      </c>
      <c r="X24" s="90"/>
      <c r="Y24" s="114">
        <v>22.0</v>
      </c>
      <c r="Z24" s="95" t="s">
        <v>13</v>
      </c>
      <c r="AA24" s="108">
        <v>2559.51111111111</v>
      </c>
      <c r="AB24" s="68">
        <v>3537.5</v>
      </c>
      <c r="AC24" s="106">
        <f t="shared" si="5"/>
        <v>1.38209988</v>
      </c>
      <c r="AD24" s="90"/>
      <c r="AE24" s="114">
        <v>22.0</v>
      </c>
      <c r="AF24" s="95" t="s">
        <v>18</v>
      </c>
      <c r="AG24" s="108">
        <v>4238.41114090909</v>
      </c>
      <c r="AH24" s="68">
        <v>5675.02</v>
      </c>
      <c r="AI24" s="106">
        <f t="shared" si="6"/>
        <v>1.338949859</v>
      </c>
      <c r="AJ24" s="90"/>
      <c r="AK24" s="114">
        <v>22.0</v>
      </c>
      <c r="AL24" s="95" t="s">
        <v>9</v>
      </c>
      <c r="AM24" s="68">
        <v>3417.11331818182</v>
      </c>
      <c r="AN24" s="68">
        <v>3308.01</v>
      </c>
      <c r="AO24" s="106">
        <f t="shared" si="7"/>
        <v>0.9680714954</v>
      </c>
      <c r="AP24" s="90"/>
      <c r="AQ24" s="95">
        <v>22.0</v>
      </c>
      <c r="AR24" s="95" t="s">
        <v>17</v>
      </c>
      <c r="AS24" s="68">
        <v>3514.63915384615</v>
      </c>
      <c r="AT24" s="68">
        <v>4058.5</v>
      </c>
      <c r="AU24" s="106">
        <f t="shared" si="8"/>
        <v>1.154741589</v>
      </c>
      <c r="AV24" s="90"/>
      <c r="AW24" s="95">
        <v>22.0</v>
      </c>
      <c r="AX24" s="95" t="s">
        <v>20</v>
      </c>
      <c r="AY24" s="68">
        <v>4746.31186153846</v>
      </c>
      <c r="AZ24" s="68">
        <v>5944.0</v>
      </c>
      <c r="BA24" s="106">
        <f t="shared" si="9"/>
        <v>1.252340801</v>
      </c>
      <c r="BB24" s="90"/>
      <c r="BC24" s="95">
        <v>22.0</v>
      </c>
      <c r="BD24" s="95" t="s">
        <v>11</v>
      </c>
      <c r="BE24" s="68">
        <v>3500.343</v>
      </c>
      <c r="BF24" s="68">
        <v>3232.0</v>
      </c>
      <c r="BG24" s="106">
        <f t="shared" si="10"/>
        <v>0.9233380843</v>
      </c>
      <c r="BH24" s="90"/>
      <c r="BI24" s="95">
        <v>22.0</v>
      </c>
      <c r="BJ24" s="95" t="s">
        <v>17</v>
      </c>
      <c r="BK24" s="68">
        <v>4128.831</v>
      </c>
      <c r="BL24" s="68">
        <v>3927.0</v>
      </c>
      <c r="BM24" s="106">
        <f t="shared" si="11"/>
        <v>0.951116672</v>
      </c>
      <c r="BN24" s="90"/>
      <c r="BO24" s="95">
        <v>22.0</v>
      </c>
      <c r="BP24" s="95" t="s">
        <v>7</v>
      </c>
      <c r="BQ24" s="68">
        <v>3068.69284615385</v>
      </c>
      <c r="BR24" s="68">
        <v>3812.01</v>
      </c>
      <c r="BS24" s="106">
        <f t="shared" si="12"/>
        <v>1.242225987</v>
      </c>
      <c r="BT24" s="90"/>
      <c r="BU24" s="95">
        <v>22.0</v>
      </c>
      <c r="BV24" s="95" t="s">
        <v>13</v>
      </c>
      <c r="BW24" s="68">
        <v>3978.47259519231</v>
      </c>
      <c r="BX24" s="68">
        <v>5258.01</v>
      </c>
      <c r="BY24" s="106">
        <f t="shared" si="13"/>
        <v>1.321615237</v>
      </c>
      <c r="BZ24" s="90"/>
      <c r="CA24" s="95">
        <v>22.0</v>
      </c>
      <c r="CB24" s="95" t="s">
        <v>17</v>
      </c>
      <c r="CC24" s="68">
        <v>4398.80697115385</v>
      </c>
      <c r="CD24" s="68">
        <v>2485.05</v>
      </c>
      <c r="CE24" s="106">
        <f t="shared" si="14"/>
        <v>0.5649372696</v>
      </c>
      <c r="CF24" s="90"/>
      <c r="CG24" s="95">
        <v>22.0</v>
      </c>
      <c r="CH24" s="95" t="s">
        <v>7</v>
      </c>
      <c r="CI24" s="96">
        <v>3421.84686778846</v>
      </c>
      <c r="CJ24" s="68">
        <v>4340.04</v>
      </c>
      <c r="CK24" s="106">
        <f t="shared" si="15"/>
        <v>1.268332619</v>
      </c>
      <c r="CL24" s="90"/>
      <c r="CM24" s="95">
        <v>22.0</v>
      </c>
      <c r="CN24" s="95" t="s">
        <v>11</v>
      </c>
      <c r="CO24" s="96">
        <v>4042.78086666667</v>
      </c>
      <c r="CP24" s="70">
        <v>2339.07</v>
      </c>
      <c r="CQ24" s="106">
        <f t="shared" si="16"/>
        <v>0.5785794672</v>
      </c>
      <c r="CR24" s="90"/>
      <c r="CS24" s="95">
        <v>22.0</v>
      </c>
      <c r="CT24" s="95" t="s">
        <v>18</v>
      </c>
      <c r="CU24" s="96">
        <v>5622.48052631579</v>
      </c>
      <c r="CV24" s="68">
        <v>4177.03</v>
      </c>
      <c r="CW24" s="106">
        <f t="shared" si="17"/>
        <v>0.7429158679</v>
      </c>
      <c r="CX24" s="90"/>
      <c r="CY24" s="95">
        <v>22.0</v>
      </c>
      <c r="CZ24" s="95" t="s">
        <v>7</v>
      </c>
      <c r="DA24" s="96">
        <v>2939.27120833333</v>
      </c>
      <c r="DB24" s="68">
        <v>2250.08</v>
      </c>
      <c r="DC24" s="106">
        <f t="shared" si="18"/>
        <v>0.7655230976</v>
      </c>
      <c r="DD24" s="90"/>
      <c r="DE24" s="95">
        <v>22.0</v>
      </c>
      <c r="DF24" s="95" t="s">
        <v>13</v>
      </c>
      <c r="DG24" s="96">
        <v>3410.6576875</v>
      </c>
      <c r="DH24" s="68">
        <v>2935.13</v>
      </c>
      <c r="DI24" s="106">
        <f t="shared" si="41"/>
        <v>0.860575956</v>
      </c>
      <c r="DJ24" s="90"/>
      <c r="DK24" s="95">
        <v>22.0</v>
      </c>
      <c r="DL24" s="95" t="s">
        <v>20</v>
      </c>
      <c r="DM24" s="96">
        <v>3817.06353333333</v>
      </c>
      <c r="DN24" s="68">
        <v>3346.0</v>
      </c>
      <c r="DO24" s="106">
        <f t="shared" si="20"/>
        <v>0.8765900727</v>
      </c>
      <c r="DP24" s="90"/>
      <c r="DQ24" s="95">
        <v>22.0</v>
      </c>
      <c r="DR24" s="95" t="s">
        <v>9</v>
      </c>
      <c r="DS24" s="96">
        <v>3195.7760625</v>
      </c>
      <c r="DT24" s="68">
        <v>3999.38</v>
      </c>
      <c r="DU24" s="106">
        <f t="shared" si="21"/>
        <v>1.25145815</v>
      </c>
      <c r="DV24" s="90"/>
      <c r="DW24" s="95">
        <v>22.0</v>
      </c>
      <c r="DX24" s="95" t="s">
        <v>17</v>
      </c>
      <c r="DY24" s="112">
        <v>3392.4293424</v>
      </c>
      <c r="DZ24" s="68">
        <v>3855.02</v>
      </c>
      <c r="EA24" s="106">
        <f t="shared" si="22"/>
        <v>1.136359703</v>
      </c>
      <c r="EB24" s="90"/>
      <c r="EC24" s="95">
        <v>22.0</v>
      </c>
      <c r="ED24" s="95" t="s">
        <v>20</v>
      </c>
      <c r="EE24" s="112">
        <v>4361.21492307692</v>
      </c>
      <c r="EF24" s="68">
        <v>2270.5</v>
      </c>
      <c r="EG24" s="106">
        <f t="shared" si="23"/>
        <v>0.5206118112</v>
      </c>
      <c r="EH24" s="113"/>
      <c r="EI24" s="95">
        <v>22.0</v>
      </c>
      <c r="EJ24" s="95" t="s">
        <v>11</v>
      </c>
      <c r="EK24" s="112">
        <v>3307.11473076923</v>
      </c>
      <c r="EL24" s="68">
        <v>3561.0</v>
      </c>
      <c r="EM24" s="106">
        <f t="shared" si="40"/>
        <v>1.076769417</v>
      </c>
      <c r="EN24" s="90"/>
      <c r="EO24" s="95">
        <v>22.0</v>
      </c>
      <c r="EP24" s="95" t="s">
        <v>18</v>
      </c>
      <c r="EQ24" s="112">
        <v>4710.96407692308</v>
      </c>
      <c r="ER24" s="68">
        <v>5634.5</v>
      </c>
      <c r="ES24" s="106">
        <f t="shared" si="24"/>
        <v>1.196039687</v>
      </c>
      <c r="ET24" s="90"/>
      <c r="EU24" s="95">
        <v>22.0</v>
      </c>
      <c r="EV24" s="95" t="s">
        <v>18</v>
      </c>
      <c r="EW24" s="112">
        <v>5238.86836</v>
      </c>
      <c r="EX24" s="68">
        <v>5398.77</v>
      </c>
      <c r="EY24" s="106">
        <f t="shared" si="25"/>
        <v>1.030522172</v>
      </c>
      <c r="FA24" s="95">
        <v>22.0</v>
      </c>
      <c r="FB24" s="95" t="s">
        <v>9</v>
      </c>
      <c r="FC24" s="112">
        <v>3878.677</v>
      </c>
      <c r="FD24" s="68">
        <v>2204.5</v>
      </c>
      <c r="FE24" s="106">
        <f t="shared" si="26"/>
        <v>0.5683639035</v>
      </c>
      <c r="FG24" s="95">
        <v>22.0</v>
      </c>
      <c r="FH24" s="95" t="s">
        <v>13</v>
      </c>
      <c r="FI24" s="112">
        <v>3926.07684615385</v>
      </c>
      <c r="FJ24" s="68">
        <v>2587.26</v>
      </c>
      <c r="FK24" s="106">
        <f t="shared" si="27"/>
        <v>0.6589937236</v>
      </c>
      <c r="FL24" s="113"/>
      <c r="FM24" s="95">
        <v>22.0</v>
      </c>
      <c r="FN24" s="95" t="s">
        <v>20</v>
      </c>
      <c r="FO24" s="112">
        <v>4213.64815384615</v>
      </c>
      <c r="FP24" s="68">
        <v>2497.59</v>
      </c>
      <c r="FQ24" s="106">
        <f t="shared" si="28"/>
        <v>0.5927381473</v>
      </c>
      <c r="FS24" s="95">
        <v>22.0</v>
      </c>
      <c r="FT24" s="95" t="s">
        <v>9</v>
      </c>
      <c r="FU24" s="112">
        <v>2925.96392</v>
      </c>
      <c r="FV24" s="68">
        <v>2054.54</v>
      </c>
      <c r="FW24" s="106">
        <f t="shared" si="29"/>
        <v>0.702175439</v>
      </c>
      <c r="FY24" s="95">
        <v>22.0</v>
      </c>
      <c r="FZ24" s="95" t="s">
        <v>17</v>
      </c>
      <c r="GA24" s="112">
        <v>3374.18556</v>
      </c>
      <c r="GB24" s="68">
        <v>2014.0</v>
      </c>
      <c r="GC24" s="106">
        <f t="shared" si="30"/>
        <v>0.5968847783</v>
      </c>
      <c r="GE24" s="16">
        <v>22.0</v>
      </c>
      <c r="GF24" s="16" t="s">
        <v>7</v>
      </c>
      <c r="GG24" s="5">
        <v>2544.11846153846</v>
      </c>
      <c r="GH24" s="20">
        <v>943.5</v>
      </c>
      <c r="GI24" s="106">
        <f t="shared" si="31"/>
        <v>0.3708553726</v>
      </c>
      <c r="GK24" s="16">
        <v>22.0</v>
      </c>
      <c r="GL24" s="16" t="s">
        <v>11</v>
      </c>
      <c r="GM24" s="17">
        <v>3098.37467307692</v>
      </c>
      <c r="GN24" s="20">
        <v>2055.5</v>
      </c>
      <c r="GO24" s="106">
        <f t="shared" si="32"/>
        <v>0.6634123426</v>
      </c>
      <c r="GQ24" s="16">
        <v>22.0</v>
      </c>
      <c r="GR24" s="16" t="s">
        <v>18</v>
      </c>
      <c r="GS24" s="17">
        <v>4984.5622574074</v>
      </c>
      <c r="GT24" s="20">
        <v>2282.5</v>
      </c>
      <c r="GU24" s="106">
        <f t="shared" si="33"/>
        <v>0.4579138312</v>
      </c>
      <c r="GW24" s="16">
        <v>22.0</v>
      </c>
      <c r="GX24" s="16" t="s">
        <v>7</v>
      </c>
      <c r="GY24" s="17">
        <v>2356.85408333333</v>
      </c>
      <c r="GZ24" s="20">
        <v>2690.5</v>
      </c>
      <c r="HA24" s="106">
        <f t="shared" si="34"/>
        <v>1.141564096</v>
      </c>
      <c r="HC24" s="16">
        <v>22.0</v>
      </c>
      <c r="HD24" s="16" t="s">
        <v>13</v>
      </c>
      <c r="HE24" s="17">
        <v>3129.20941666667</v>
      </c>
      <c r="HF24" s="18">
        <v>4027.53</v>
      </c>
      <c r="HG24" s="106">
        <f t="shared" si="35"/>
        <v>1.287075892</v>
      </c>
      <c r="HI24" s="16">
        <v>22.0</v>
      </c>
      <c r="HJ24" s="16" t="s">
        <v>20</v>
      </c>
      <c r="HK24" s="17">
        <v>4579.572019230769</v>
      </c>
      <c r="HL24" s="18">
        <v>2943.5</v>
      </c>
      <c r="HM24" s="106">
        <f t="shared" si="36"/>
        <v>0.6427456513</v>
      </c>
      <c r="HO24" s="16">
        <v>22.0</v>
      </c>
      <c r="HP24" s="16" t="s">
        <v>20</v>
      </c>
      <c r="HQ24" s="17">
        <v>4694.977760000001</v>
      </c>
      <c r="HR24" s="18">
        <v>3460.0</v>
      </c>
      <c r="HS24" s="106">
        <f t="shared" si="37"/>
        <v>0.7369576975</v>
      </c>
      <c r="HU24" s="16">
        <v>22.0</v>
      </c>
      <c r="HV24" s="16" t="s">
        <v>11</v>
      </c>
      <c r="HW24" s="17">
        <v>2951.8025000000002</v>
      </c>
      <c r="HX24" s="18">
        <v>2064.5</v>
      </c>
      <c r="HY24" s="106">
        <f t="shared" si="38"/>
        <v>0.6994031613</v>
      </c>
      <c r="HZ24" s="113"/>
      <c r="IA24" s="16">
        <v>22.0</v>
      </c>
      <c r="IB24" s="16" t="s">
        <v>17</v>
      </c>
      <c r="IC24" s="17">
        <v>2874.878330434783</v>
      </c>
      <c r="ID24" s="18">
        <v>2996.0</v>
      </c>
      <c r="IE24" s="106">
        <f t="shared" si="39"/>
        <v>1.042131059</v>
      </c>
    </row>
    <row r="25" ht="15.75" customHeight="1">
      <c r="A25" s="95">
        <v>23.0</v>
      </c>
      <c r="B25" s="95" t="s">
        <v>13</v>
      </c>
      <c r="C25" s="103">
        <v>2900.0</v>
      </c>
      <c r="D25" s="68">
        <v>2418.5</v>
      </c>
      <c r="E25" s="104">
        <f t="shared" si="1"/>
        <v>0.8339655172</v>
      </c>
      <c r="F25" s="90"/>
      <c r="G25" s="95">
        <v>23.0</v>
      </c>
      <c r="H25" s="95" t="s">
        <v>13</v>
      </c>
      <c r="I25" s="105">
        <v>2599.55</v>
      </c>
      <c r="J25" s="96">
        <v>2894.5</v>
      </c>
      <c r="K25" s="106">
        <f t="shared" si="2"/>
        <v>1.113461945</v>
      </c>
      <c r="L25" s="90"/>
      <c r="M25" s="95">
        <v>23.0</v>
      </c>
      <c r="N25" s="95" t="s">
        <v>20</v>
      </c>
      <c r="O25" s="96">
        <v>4495.4793</v>
      </c>
      <c r="P25" s="96">
        <v>3237.5</v>
      </c>
      <c r="Q25" s="106">
        <f t="shared" si="3"/>
        <v>0.7201679251</v>
      </c>
      <c r="R25" s="90"/>
      <c r="S25" s="95">
        <v>23.0</v>
      </c>
      <c r="T25" s="95" t="s">
        <v>9</v>
      </c>
      <c r="U25" s="68">
        <v>3175.47</v>
      </c>
      <c r="V25" s="68">
        <v>2044.5</v>
      </c>
      <c r="W25" s="106">
        <f t="shared" si="4"/>
        <v>0.643841699</v>
      </c>
      <c r="X25" s="90"/>
      <c r="Y25" s="114">
        <v>23.0</v>
      </c>
      <c r="Z25" s="95" t="s">
        <v>17</v>
      </c>
      <c r="AA25" s="108">
        <v>3615.61944444444</v>
      </c>
      <c r="AB25" s="68">
        <v>3413.5</v>
      </c>
      <c r="AC25" s="106">
        <f t="shared" si="5"/>
        <v>0.9440982527</v>
      </c>
      <c r="AD25" s="90"/>
      <c r="AE25" s="116">
        <v>23.0</v>
      </c>
      <c r="AF25" s="118" t="s">
        <v>20</v>
      </c>
      <c r="AG25" s="117">
        <v>3814.78206190476</v>
      </c>
      <c r="AH25" s="75">
        <v>6820.0</v>
      </c>
      <c r="AI25" s="106">
        <f t="shared" si="6"/>
        <v>1.78778234</v>
      </c>
      <c r="AJ25" s="90"/>
      <c r="AK25" s="116">
        <v>23.0</v>
      </c>
      <c r="AL25" s="95" t="s">
        <v>11</v>
      </c>
      <c r="AM25" s="68">
        <v>3259.27532608696</v>
      </c>
      <c r="AN25" s="68">
        <v>3837.04</v>
      </c>
      <c r="AO25" s="106">
        <f t="shared" si="7"/>
        <v>1.177267833</v>
      </c>
      <c r="AP25" s="90"/>
      <c r="AQ25" s="95">
        <v>23.0</v>
      </c>
      <c r="AR25" s="95" t="s">
        <v>18</v>
      </c>
      <c r="AS25" s="68">
        <v>4983.30807692308</v>
      </c>
      <c r="AT25" s="68">
        <v>5241.0</v>
      </c>
      <c r="AU25" s="106">
        <f t="shared" si="8"/>
        <v>1.051711016</v>
      </c>
      <c r="AV25" s="90"/>
      <c r="AW25" s="95">
        <v>23.0</v>
      </c>
      <c r="AX25" s="95" t="s">
        <v>7</v>
      </c>
      <c r="AY25" s="68">
        <v>2984.17084615385</v>
      </c>
      <c r="AZ25" s="68">
        <v>2368.5</v>
      </c>
      <c r="BA25" s="106">
        <f t="shared" si="9"/>
        <v>0.7936878021</v>
      </c>
      <c r="BB25" s="90"/>
      <c r="BC25" s="95">
        <v>23.0</v>
      </c>
      <c r="BD25" s="95" t="s">
        <v>13</v>
      </c>
      <c r="BE25" s="68">
        <v>3575.83073076923</v>
      </c>
      <c r="BF25" s="68">
        <v>2389.51</v>
      </c>
      <c r="BG25" s="106">
        <f t="shared" si="10"/>
        <v>0.6682391254</v>
      </c>
      <c r="BH25" s="90"/>
      <c r="BI25" s="95">
        <v>23.0</v>
      </c>
      <c r="BJ25" s="95" t="s">
        <v>18</v>
      </c>
      <c r="BK25" s="68">
        <v>5319.04179545455</v>
      </c>
      <c r="BL25" s="68">
        <v>2734.5</v>
      </c>
      <c r="BM25" s="106">
        <f t="shared" si="11"/>
        <v>0.5140963552</v>
      </c>
      <c r="BN25" s="90"/>
      <c r="BO25" s="95">
        <v>23.0</v>
      </c>
      <c r="BP25" s="95" t="s">
        <v>9</v>
      </c>
      <c r="BQ25" s="68">
        <v>3384.92498076923</v>
      </c>
      <c r="BR25" s="68">
        <v>4180.0</v>
      </c>
      <c r="BS25" s="106">
        <f t="shared" si="12"/>
        <v>1.234887043</v>
      </c>
      <c r="BT25" s="90"/>
      <c r="BU25" s="95">
        <v>23.0</v>
      </c>
      <c r="BV25" s="95" t="s">
        <v>17</v>
      </c>
      <c r="BW25" s="68">
        <v>4231.46411826923</v>
      </c>
      <c r="BX25" s="68">
        <v>6791.08</v>
      </c>
      <c r="BY25" s="106">
        <f t="shared" si="13"/>
        <v>1.604900765</v>
      </c>
      <c r="BZ25" s="90"/>
      <c r="CA25" s="95">
        <v>23.0</v>
      </c>
      <c r="CB25" s="95" t="s">
        <v>18</v>
      </c>
      <c r="CC25" s="68">
        <v>5912.07702884615</v>
      </c>
      <c r="CD25" s="68">
        <v>5373.52</v>
      </c>
      <c r="CE25" s="106">
        <f t="shared" si="14"/>
        <v>0.9089056137</v>
      </c>
      <c r="CF25" s="90"/>
      <c r="CG25" s="95">
        <v>23.0</v>
      </c>
      <c r="CH25" s="95" t="s">
        <v>9</v>
      </c>
      <c r="CI25" s="96">
        <v>3787.98645144231</v>
      </c>
      <c r="CJ25" s="68">
        <v>4233.52</v>
      </c>
      <c r="CK25" s="106">
        <f t="shared" si="15"/>
        <v>1.117617514</v>
      </c>
      <c r="CL25" s="90"/>
      <c r="CM25" s="95">
        <v>23.0</v>
      </c>
      <c r="CN25" s="95" t="s">
        <v>13</v>
      </c>
      <c r="CO25" s="96">
        <v>4144.624</v>
      </c>
      <c r="CP25" s="70">
        <v>2740.55</v>
      </c>
      <c r="CQ25" s="106">
        <f t="shared" si="16"/>
        <v>0.6612300657</v>
      </c>
      <c r="CR25" s="90"/>
      <c r="CS25" s="95">
        <v>23.0</v>
      </c>
      <c r="CT25" s="95" t="s">
        <v>20</v>
      </c>
      <c r="CU25" s="96">
        <v>5211.90105263158</v>
      </c>
      <c r="CV25" s="68">
        <v>5134.57</v>
      </c>
      <c r="CW25" s="106">
        <f t="shared" si="17"/>
        <v>0.9851626015</v>
      </c>
      <c r="CX25" s="90"/>
      <c r="CY25" s="95">
        <v>23.0</v>
      </c>
      <c r="CZ25" s="95" t="s">
        <v>9</v>
      </c>
      <c r="DA25" s="96">
        <v>3688.52485416667</v>
      </c>
      <c r="DB25" s="73">
        <v>2718.09</v>
      </c>
      <c r="DC25" s="106">
        <f t="shared" si="18"/>
        <v>0.7369043473</v>
      </c>
      <c r="DD25" s="90"/>
      <c r="DE25" s="95">
        <v>23.0</v>
      </c>
      <c r="DF25" s="95" t="s">
        <v>17</v>
      </c>
      <c r="DG25" s="96">
        <v>3693.521125</v>
      </c>
      <c r="DH25" s="73">
        <v>2231.05</v>
      </c>
      <c r="DI25" s="106">
        <f t="shared" si="41"/>
        <v>0.6040441964</v>
      </c>
      <c r="DJ25" s="90"/>
      <c r="DK25" s="95">
        <v>23.0</v>
      </c>
      <c r="DL25" s="95" t="s">
        <v>7</v>
      </c>
      <c r="DM25" s="96">
        <v>2758.34121739131</v>
      </c>
      <c r="DN25" s="73">
        <v>2559.01</v>
      </c>
      <c r="DO25" s="106">
        <f t="shared" si="20"/>
        <v>0.9277351126</v>
      </c>
      <c r="DP25" s="90"/>
      <c r="DQ25" s="95">
        <v>23.0</v>
      </c>
      <c r="DR25" s="95" t="s">
        <v>11</v>
      </c>
      <c r="DS25" s="96">
        <v>3018.05525</v>
      </c>
      <c r="DT25" s="68">
        <v>1713.06</v>
      </c>
      <c r="DU25" s="106">
        <f t="shared" si="21"/>
        <v>0.5676039231</v>
      </c>
      <c r="DV25" s="90"/>
      <c r="DW25" s="95">
        <v>23.0</v>
      </c>
      <c r="DX25" s="95" t="s">
        <v>18</v>
      </c>
      <c r="DY25" s="96">
        <v>4387.4299728</v>
      </c>
      <c r="DZ25" s="68">
        <v>6697.26</v>
      </c>
      <c r="EA25" s="106">
        <f t="shared" si="22"/>
        <v>1.526465389</v>
      </c>
      <c r="EB25" s="90"/>
      <c r="EC25" s="95">
        <v>23.0</v>
      </c>
      <c r="ED25" s="95" t="s">
        <v>7</v>
      </c>
      <c r="EE25" s="96">
        <v>3478.47696</v>
      </c>
      <c r="EF25" s="68">
        <v>2607.75</v>
      </c>
      <c r="EG25" s="106">
        <f t="shared" si="23"/>
        <v>0.7496815503</v>
      </c>
      <c r="EH25" s="113"/>
      <c r="EI25" s="95">
        <v>23.0</v>
      </c>
      <c r="EJ25" s="95" t="s">
        <v>13</v>
      </c>
      <c r="EK25" s="96">
        <v>3270.15311538462</v>
      </c>
      <c r="EL25" s="68">
        <v>3948.5</v>
      </c>
      <c r="EM25" s="106">
        <f t="shared" si="40"/>
        <v>1.207435817</v>
      </c>
      <c r="EN25" s="90"/>
      <c r="EO25" s="95">
        <v>23.0</v>
      </c>
      <c r="EP25" s="95" t="s">
        <v>20</v>
      </c>
      <c r="EQ25" s="96">
        <v>4203.32253846154</v>
      </c>
      <c r="ER25" s="68">
        <v>4964.25</v>
      </c>
      <c r="ES25" s="106">
        <f t="shared" si="24"/>
        <v>1.181029996</v>
      </c>
      <c r="ET25" s="90"/>
      <c r="EU25" s="95">
        <v>23.0</v>
      </c>
      <c r="EV25" s="95" t="s">
        <v>20</v>
      </c>
      <c r="EW25" s="96">
        <v>4690.301</v>
      </c>
      <c r="EX25" s="68">
        <v>4646.25</v>
      </c>
      <c r="EY25" s="106">
        <f t="shared" si="25"/>
        <v>0.9906080655</v>
      </c>
      <c r="FA25" s="95">
        <v>23.0</v>
      </c>
      <c r="FB25" s="95" t="s">
        <v>11</v>
      </c>
      <c r="FC25" s="96">
        <v>3929.07108</v>
      </c>
      <c r="FD25" s="68">
        <v>2588.51</v>
      </c>
      <c r="FE25" s="106">
        <f t="shared" si="26"/>
        <v>0.6588096645</v>
      </c>
      <c r="FG25" s="95">
        <v>23.0</v>
      </c>
      <c r="FH25" s="95" t="s">
        <v>17</v>
      </c>
      <c r="FI25" s="96">
        <v>4211.02930769231</v>
      </c>
      <c r="FJ25" s="68">
        <v>3058.25</v>
      </c>
      <c r="FK25" s="106">
        <f t="shared" si="27"/>
        <v>0.726247617</v>
      </c>
      <c r="FL25" s="113"/>
      <c r="FM25" s="95">
        <v>23.0</v>
      </c>
      <c r="FN25" s="95" t="s">
        <v>7</v>
      </c>
      <c r="FO25" s="96">
        <v>3046.40219230769</v>
      </c>
      <c r="FP25" s="68">
        <v>1438.0</v>
      </c>
      <c r="FQ25" s="106">
        <f t="shared" si="28"/>
        <v>0.4720322233</v>
      </c>
      <c r="FS25" s="95">
        <v>23.0</v>
      </c>
      <c r="FT25" s="95" t="s">
        <v>11</v>
      </c>
      <c r="FU25" s="96">
        <v>3453.12792</v>
      </c>
      <c r="FV25" s="68">
        <v>2148.03</v>
      </c>
      <c r="FW25" s="106">
        <f t="shared" si="29"/>
        <v>0.6220534106</v>
      </c>
      <c r="FY25" s="95">
        <v>23.0</v>
      </c>
      <c r="FZ25" s="95" t="s">
        <v>18</v>
      </c>
      <c r="GA25" s="96">
        <v>4768.50242307692</v>
      </c>
      <c r="GB25" s="68">
        <v>3132.9</v>
      </c>
      <c r="GC25" s="106">
        <f t="shared" si="30"/>
        <v>0.6569987225</v>
      </c>
      <c r="GE25" s="16">
        <v>23.0</v>
      </c>
      <c r="GF25" s="16" t="s">
        <v>9</v>
      </c>
      <c r="GG25" s="17">
        <v>2506.32326923077</v>
      </c>
      <c r="GH25" s="20">
        <v>1312.52</v>
      </c>
      <c r="GI25" s="106">
        <f t="shared" si="31"/>
        <v>0.5236834434</v>
      </c>
      <c r="GK25" s="16">
        <v>23.0</v>
      </c>
      <c r="GL25" s="16" t="s">
        <v>13</v>
      </c>
      <c r="GM25" s="17">
        <v>3151.42417307692</v>
      </c>
      <c r="GN25" s="20">
        <v>1910.5</v>
      </c>
      <c r="GO25" s="106">
        <f t="shared" si="32"/>
        <v>0.606233847</v>
      </c>
      <c r="GQ25" s="16">
        <v>23.0</v>
      </c>
      <c r="GR25" s="16" t="s">
        <v>20</v>
      </c>
      <c r="GS25" s="17">
        <v>4423.43334444445</v>
      </c>
      <c r="GT25" s="20">
        <v>2556.5</v>
      </c>
      <c r="GU25" s="106">
        <f t="shared" si="33"/>
        <v>0.5779447323</v>
      </c>
      <c r="GW25" s="16">
        <v>23.0</v>
      </c>
      <c r="GX25" s="16" t="s">
        <v>9</v>
      </c>
      <c r="GY25" s="17">
        <v>2287.03039583333</v>
      </c>
      <c r="GZ25" s="20">
        <v>1277.02</v>
      </c>
      <c r="HA25" s="106">
        <f t="shared" si="34"/>
        <v>0.5583747388</v>
      </c>
      <c r="HC25" s="16">
        <v>23.0</v>
      </c>
      <c r="HD25" s="16" t="s">
        <v>17</v>
      </c>
      <c r="HE25" s="17">
        <v>2824.96158333333</v>
      </c>
      <c r="HF25" s="18">
        <v>3482.0</v>
      </c>
      <c r="HG25" s="106">
        <f t="shared" si="35"/>
        <v>1.232583133</v>
      </c>
      <c r="HI25" s="16">
        <v>23.0</v>
      </c>
      <c r="HJ25" s="16" t="s">
        <v>7</v>
      </c>
      <c r="HK25" s="17">
        <v>2688.7592692307694</v>
      </c>
      <c r="HL25" s="18">
        <v>1943.0</v>
      </c>
      <c r="HM25" s="106">
        <f t="shared" si="36"/>
        <v>0.722638141</v>
      </c>
      <c r="HO25" s="16">
        <v>23.0</v>
      </c>
      <c r="HP25" s="16" t="s">
        <v>7</v>
      </c>
      <c r="HQ25" s="17">
        <v>2600.963115384616</v>
      </c>
      <c r="HR25" s="18">
        <v>1080.0</v>
      </c>
      <c r="HS25" s="106">
        <f t="shared" si="37"/>
        <v>0.4152308019</v>
      </c>
      <c r="HU25" s="16">
        <v>23.0</v>
      </c>
      <c r="HV25" s="16" t="s">
        <v>13</v>
      </c>
      <c r="HW25" s="17">
        <v>2871.198916666668</v>
      </c>
      <c r="HX25" s="18">
        <v>3013.5</v>
      </c>
      <c r="HY25" s="106">
        <f t="shared" si="38"/>
        <v>1.049561555</v>
      </c>
      <c r="HZ25" s="113"/>
      <c r="IA25" s="16">
        <v>23.0</v>
      </c>
      <c r="IB25" s="16" t="s">
        <v>18</v>
      </c>
      <c r="IC25" s="17">
        <v>4633.349466666666</v>
      </c>
      <c r="ID25" s="18">
        <v>3912.0</v>
      </c>
      <c r="IE25" s="106">
        <f t="shared" si="39"/>
        <v>0.8443136069</v>
      </c>
    </row>
    <row r="26" ht="15.75" customHeight="1">
      <c r="A26" s="95">
        <v>24.0</v>
      </c>
      <c r="B26" s="95" t="s">
        <v>17</v>
      </c>
      <c r="C26" s="103">
        <v>3200.0</v>
      </c>
      <c r="D26" s="68">
        <v>3142.0</v>
      </c>
      <c r="E26" s="104">
        <f t="shared" si="1"/>
        <v>0.981875</v>
      </c>
      <c r="F26" s="90"/>
      <c r="G26" s="95">
        <v>24.0</v>
      </c>
      <c r="H26" s="95" t="s">
        <v>17</v>
      </c>
      <c r="I26" s="105">
        <v>3555.4125</v>
      </c>
      <c r="J26" s="96">
        <v>2850.0</v>
      </c>
      <c r="K26" s="106">
        <f t="shared" si="2"/>
        <v>0.8015947517</v>
      </c>
      <c r="L26" s="90"/>
      <c r="M26" s="95">
        <v>24.0</v>
      </c>
      <c r="N26" s="95" t="s">
        <v>7</v>
      </c>
      <c r="O26" s="96">
        <v>2733.978</v>
      </c>
      <c r="P26" s="96">
        <v>1653.0</v>
      </c>
      <c r="Q26" s="106">
        <f t="shared" si="3"/>
        <v>0.6046134973</v>
      </c>
      <c r="R26" s="90"/>
      <c r="S26" s="95">
        <v>24.0</v>
      </c>
      <c r="T26" s="95" t="s">
        <v>11</v>
      </c>
      <c r="U26" s="68">
        <v>3056.81846153846</v>
      </c>
      <c r="V26" s="68">
        <v>2214.0</v>
      </c>
      <c r="W26" s="106">
        <f t="shared" si="4"/>
        <v>0.7242824616</v>
      </c>
      <c r="X26" s="90"/>
      <c r="Y26" s="114">
        <v>24.0</v>
      </c>
      <c r="Z26" s="95" t="s">
        <v>18</v>
      </c>
      <c r="AA26" s="108">
        <v>4056.95277777778</v>
      </c>
      <c r="AB26" s="68">
        <v>4097.51</v>
      </c>
      <c r="AC26" s="106">
        <f t="shared" si="5"/>
        <v>1.009996967</v>
      </c>
      <c r="AD26" s="90"/>
      <c r="AE26" s="109">
        <v>24.0</v>
      </c>
      <c r="AF26" s="110" t="s">
        <v>7</v>
      </c>
      <c r="AG26" s="111">
        <v>2577.63165</v>
      </c>
      <c r="AH26" s="76">
        <v>4827.0</v>
      </c>
      <c r="AI26" s="106">
        <f t="shared" si="6"/>
        <v>1.872649259</v>
      </c>
      <c r="AJ26" s="90"/>
      <c r="AK26" s="109">
        <v>24.0</v>
      </c>
      <c r="AL26" s="95" t="s">
        <v>13</v>
      </c>
      <c r="AM26" s="68">
        <v>2961.45192</v>
      </c>
      <c r="AN26" s="68">
        <v>3837.04</v>
      </c>
      <c r="AO26" s="106">
        <f t="shared" si="7"/>
        <v>1.295661758</v>
      </c>
      <c r="AP26" s="90"/>
      <c r="AQ26" s="95">
        <v>24.0</v>
      </c>
      <c r="AR26" s="95" t="s">
        <v>20</v>
      </c>
      <c r="AS26" s="68">
        <v>4829.43946153846</v>
      </c>
      <c r="AT26" s="68">
        <v>3710.5</v>
      </c>
      <c r="AU26" s="106">
        <f t="shared" si="8"/>
        <v>0.7683086266</v>
      </c>
      <c r="AV26" s="90"/>
      <c r="AW26" s="95">
        <v>24.0</v>
      </c>
      <c r="AX26" s="95" t="s">
        <v>9</v>
      </c>
      <c r="AY26" s="68">
        <v>3688.79469230769</v>
      </c>
      <c r="AZ26" s="68">
        <v>2282.0</v>
      </c>
      <c r="BA26" s="106">
        <f t="shared" si="9"/>
        <v>0.6186302547</v>
      </c>
      <c r="BB26" s="90"/>
      <c r="BC26" s="95">
        <v>24.0</v>
      </c>
      <c r="BD26" s="95" t="s">
        <v>17</v>
      </c>
      <c r="BE26" s="68">
        <v>4199.43784615385</v>
      </c>
      <c r="BF26" s="68">
        <v>3746.5</v>
      </c>
      <c r="BG26" s="106">
        <f t="shared" si="10"/>
        <v>0.8921432195</v>
      </c>
      <c r="BH26" s="90"/>
      <c r="BI26" s="95">
        <v>24.0</v>
      </c>
      <c r="BJ26" s="95" t="s">
        <v>20</v>
      </c>
      <c r="BK26" s="68">
        <v>0.0</v>
      </c>
      <c r="BL26" s="68">
        <v>0.0</v>
      </c>
      <c r="BM26" s="106"/>
      <c r="BN26" s="90"/>
      <c r="BO26" s="95">
        <v>24.0</v>
      </c>
      <c r="BP26" s="95" t="s">
        <v>11</v>
      </c>
      <c r="BQ26" s="68">
        <v>3756.90444230769</v>
      </c>
      <c r="BR26" s="68">
        <v>4146.5</v>
      </c>
      <c r="BS26" s="106">
        <f t="shared" si="12"/>
        <v>1.103701216</v>
      </c>
      <c r="BT26" s="90"/>
      <c r="BU26" s="95">
        <v>24.0</v>
      </c>
      <c r="BV26" s="95" t="s">
        <v>18</v>
      </c>
      <c r="BW26" s="68">
        <v>5459.13655</v>
      </c>
      <c r="BX26" s="68">
        <v>8037.5</v>
      </c>
      <c r="BY26" s="106">
        <f t="shared" si="13"/>
        <v>1.472302428</v>
      </c>
      <c r="BZ26" s="90"/>
      <c r="CA26" s="95">
        <v>24.0</v>
      </c>
      <c r="CB26" s="95" t="s">
        <v>20</v>
      </c>
      <c r="CC26" s="68">
        <v>6068.54520833333</v>
      </c>
      <c r="CD26" s="68">
        <v>4384.0</v>
      </c>
      <c r="CE26" s="106">
        <f t="shared" si="14"/>
        <v>0.7224136674</v>
      </c>
      <c r="CF26" s="90"/>
      <c r="CG26" s="95">
        <v>24.0</v>
      </c>
      <c r="CH26" s="95" t="s">
        <v>11</v>
      </c>
      <c r="CI26" s="96">
        <v>4146.79393557692</v>
      </c>
      <c r="CJ26" s="68">
        <v>2946.53</v>
      </c>
      <c r="CK26" s="106">
        <f t="shared" si="15"/>
        <v>0.710556166</v>
      </c>
      <c r="CL26" s="90"/>
      <c r="CM26" s="95">
        <v>24.0</v>
      </c>
      <c r="CN26" s="95" t="s">
        <v>17</v>
      </c>
      <c r="CO26" s="96">
        <v>4759.3194</v>
      </c>
      <c r="CP26" s="70">
        <v>1891.01</v>
      </c>
      <c r="CQ26" s="106">
        <f t="shared" si="16"/>
        <v>0.3973278196</v>
      </c>
      <c r="CR26" s="90"/>
      <c r="CS26" s="95">
        <v>24.0</v>
      </c>
      <c r="CT26" s="95" t="s">
        <v>7</v>
      </c>
      <c r="CU26" s="96">
        <v>3035.46</v>
      </c>
      <c r="CV26" s="68">
        <v>1687.05</v>
      </c>
      <c r="CW26" s="106">
        <f t="shared" si="17"/>
        <v>0.5557806725</v>
      </c>
      <c r="CX26" s="90"/>
      <c r="CY26" s="95">
        <v>24.0</v>
      </c>
      <c r="CZ26" s="95" t="s">
        <v>11</v>
      </c>
      <c r="DA26" s="96">
        <v>3391.54861458333</v>
      </c>
      <c r="DB26" s="68">
        <v>3490.5</v>
      </c>
      <c r="DC26" s="106">
        <f t="shared" si="18"/>
        <v>1.029175871</v>
      </c>
      <c r="DD26" s="90"/>
      <c r="DE26" s="95">
        <v>24.0</v>
      </c>
      <c r="DF26" s="95" t="s">
        <v>18</v>
      </c>
      <c r="DG26" s="96">
        <v>4876.4235625</v>
      </c>
      <c r="DH26" s="68">
        <v>3168.51</v>
      </c>
      <c r="DI26" s="106">
        <f t="shared" si="41"/>
        <v>0.6497610307</v>
      </c>
      <c r="DJ26" s="90"/>
      <c r="DK26" s="95">
        <v>24.0</v>
      </c>
      <c r="DL26" s="95" t="s">
        <v>9</v>
      </c>
      <c r="DM26" s="96">
        <v>3483.70855</v>
      </c>
      <c r="DN26" s="68">
        <v>2304.51</v>
      </c>
      <c r="DO26" s="106">
        <f t="shared" si="20"/>
        <v>0.6615105618</v>
      </c>
      <c r="DP26" s="90"/>
      <c r="DQ26" s="95">
        <v>24.0</v>
      </c>
      <c r="DR26" s="95" t="s">
        <v>13</v>
      </c>
      <c r="DS26" s="96">
        <v>2876.6968125</v>
      </c>
      <c r="DT26" s="68">
        <v>2836.53</v>
      </c>
      <c r="DU26" s="106">
        <f t="shared" si="21"/>
        <v>0.9860371756</v>
      </c>
      <c r="DV26" s="90"/>
      <c r="DW26" s="95">
        <v>24.0</v>
      </c>
      <c r="DX26" s="95" t="s">
        <v>20</v>
      </c>
      <c r="DY26" s="96">
        <v>4007.91671</v>
      </c>
      <c r="DZ26" s="68">
        <v>5108.8</v>
      </c>
      <c r="EA26" s="106">
        <f t="shared" si="22"/>
        <v>1.274677188</v>
      </c>
      <c r="EB26" s="90"/>
      <c r="EC26" s="95">
        <v>24.0</v>
      </c>
      <c r="ED26" s="95" t="s">
        <v>9</v>
      </c>
      <c r="EE26" s="96"/>
      <c r="EF26" s="68">
        <v>0.0</v>
      </c>
      <c r="EG26" s="106"/>
      <c r="EH26" s="113"/>
      <c r="EI26" s="95">
        <v>24.0</v>
      </c>
      <c r="EJ26" s="95" t="s">
        <v>17</v>
      </c>
      <c r="EK26" s="96">
        <v>3395.17378846154</v>
      </c>
      <c r="EL26" s="68">
        <v>6062.25</v>
      </c>
      <c r="EM26" s="106">
        <f t="shared" si="40"/>
        <v>1.785549247</v>
      </c>
      <c r="EN26" s="90"/>
      <c r="EO26" s="95">
        <v>24.0</v>
      </c>
      <c r="EP26" s="95" t="s">
        <v>7</v>
      </c>
      <c r="EQ26" s="96">
        <v>3410.95964</v>
      </c>
      <c r="ER26" s="68">
        <v>2615.5</v>
      </c>
      <c r="ES26" s="106">
        <f t="shared" si="24"/>
        <v>0.7667930073</v>
      </c>
      <c r="ET26" s="90"/>
      <c r="EU26" s="95">
        <v>24.0</v>
      </c>
      <c r="EV26" s="95" t="s">
        <v>7</v>
      </c>
      <c r="EW26" s="96">
        <v>3506.36634615385</v>
      </c>
      <c r="EX26" s="68">
        <v>2315.75</v>
      </c>
      <c r="EY26" s="106">
        <f t="shared" si="25"/>
        <v>0.660441543</v>
      </c>
      <c r="FA26" s="95">
        <v>24.0</v>
      </c>
      <c r="FB26" s="95" t="s">
        <v>13</v>
      </c>
      <c r="FC26" s="96">
        <v>3926.07684615385</v>
      </c>
      <c r="FD26" s="68">
        <v>1523.75</v>
      </c>
      <c r="FE26" s="106">
        <f t="shared" si="26"/>
        <v>0.3881100803</v>
      </c>
      <c r="FG26" s="95">
        <v>24.0</v>
      </c>
      <c r="FH26" s="95" t="s">
        <v>18</v>
      </c>
      <c r="FI26" s="96">
        <v>5462.33303846154</v>
      </c>
      <c r="FJ26" s="68">
        <v>5817.01</v>
      </c>
      <c r="FK26" s="106">
        <f t="shared" si="27"/>
        <v>1.064931406</v>
      </c>
      <c r="FL26" s="113"/>
      <c r="FM26" s="95">
        <v>24.0</v>
      </c>
      <c r="FN26" s="95" t="s">
        <v>9</v>
      </c>
      <c r="FO26" s="96">
        <v>3196.46204166667</v>
      </c>
      <c r="FP26" s="68">
        <v>1397.52</v>
      </c>
      <c r="FQ26" s="106">
        <f t="shared" si="28"/>
        <v>0.4372083828</v>
      </c>
      <c r="FS26" s="95">
        <v>24.0</v>
      </c>
      <c r="FT26" s="95" t="s">
        <v>13</v>
      </c>
      <c r="FU26" s="96">
        <v>3309.52769230769</v>
      </c>
      <c r="FV26" s="68">
        <v>3636.1</v>
      </c>
      <c r="FW26" s="106">
        <f t="shared" si="29"/>
        <v>1.098676409</v>
      </c>
      <c r="FY26" s="95">
        <v>24.0</v>
      </c>
      <c r="FZ26" s="95" t="s">
        <v>20</v>
      </c>
      <c r="GA26" s="96">
        <v>4265.00853846154</v>
      </c>
      <c r="GB26" s="68">
        <v>1980.0</v>
      </c>
      <c r="GC26" s="106">
        <f t="shared" si="30"/>
        <v>0.4642429158</v>
      </c>
      <c r="GE26" s="16">
        <v>24.0</v>
      </c>
      <c r="GF26" s="16" t="s">
        <v>11</v>
      </c>
      <c r="GG26" s="17">
        <v>3098.37467307692</v>
      </c>
      <c r="GH26" s="20">
        <v>2002.04</v>
      </c>
      <c r="GI26" s="106">
        <f t="shared" si="31"/>
        <v>0.6461581349</v>
      </c>
      <c r="GK26" s="16">
        <v>24.0</v>
      </c>
      <c r="GL26" s="16" t="s">
        <v>17</v>
      </c>
      <c r="GM26" s="41">
        <v>3011.91634615385</v>
      </c>
      <c r="GN26" s="20">
        <v>2070.75</v>
      </c>
      <c r="GO26" s="106">
        <f t="shared" si="32"/>
        <v>0.6875190948</v>
      </c>
      <c r="GQ26" s="16">
        <v>24.0</v>
      </c>
      <c r="GR26" s="16" t="s">
        <v>7</v>
      </c>
      <c r="GS26" s="41">
        <v>2925.73623076923</v>
      </c>
      <c r="GT26" s="20">
        <v>1871.0</v>
      </c>
      <c r="GU26" s="106">
        <f t="shared" si="33"/>
        <v>0.6394971564</v>
      </c>
      <c r="GW26" s="16">
        <v>24.0</v>
      </c>
      <c r="GX26" s="16" t="s">
        <v>11</v>
      </c>
      <c r="GY26" s="41">
        <v>0.0</v>
      </c>
      <c r="GZ26" s="20">
        <v>0.0</v>
      </c>
      <c r="HA26" s="106"/>
      <c r="HC26" s="16">
        <v>24.0</v>
      </c>
      <c r="HD26" s="16" t="s">
        <v>18</v>
      </c>
      <c r="HE26" s="5">
        <v>3969.18954166667</v>
      </c>
      <c r="HF26" s="18">
        <v>6372.0</v>
      </c>
      <c r="HG26" s="106">
        <f t="shared" si="35"/>
        <v>1.605365512</v>
      </c>
      <c r="HI26" s="16">
        <v>24.0</v>
      </c>
      <c r="HJ26" s="16" t="s">
        <v>9</v>
      </c>
      <c r="HK26" s="5">
        <v>2784.4127307692306</v>
      </c>
      <c r="HL26" s="18">
        <v>2723.5</v>
      </c>
      <c r="HM26" s="106">
        <f t="shared" si="36"/>
        <v>0.9781236704</v>
      </c>
      <c r="HO26" s="16">
        <v>24.0</v>
      </c>
      <c r="HP26" s="16" t="s">
        <v>9</v>
      </c>
      <c r="HQ26" s="5">
        <v>2691.103461538462</v>
      </c>
      <c r="HR26" s="18">
        <v>2301.0</v>
      </c>
      <c r="HS26" s="106">
        <f t="shared" si="37"/>
        <v>0.8550395899</v>
      </c>
      <c r="HU26" s="16">
        <v>24.0</v>
      </c>
      <c r="HV26" s="16" t="s">
        <v>17</v>
      </c>
      <c r="HW26" s="5">
        <v>2948.2951666666677</v>
      </c>
      <c r="HX26" s="18">
        <v>2211.0</v>
      </c>
      <c r="HY26" s="106">
        <f t="shared" si="38"/>
        <v>0.7499249142</v>
      </c>
      <c r="HZ26" s="113"/>
      <c r="IA26" s="16">
        <v>24.0</v>
      </c>
      <c r="IB26" s="16" t="s">
        <v>20</v>
      </c>
      <c r="IC26" s="5">
        <v>4467.714066666667</v>
      </c>
      <c r="ID26" s="18">
        <v>3848.0</v>
      </c>
      <c r="IE26" s="106">
        <f t="shared" si="39"/>
        <v>0.8612905711</v>
      </c>
    </row>
    <row r="27" ht="15.75" customHeight="1">
      <c r="A27" s="95">
        <v>25.0</v>
      </c>
      <c r="B27" s="95" t="s">
        <v>18</v>
      </c>
      <c r="C27" s="103">
        <v>5300.0</v>
      </c>
      <c r="D27" s="68">
        <v>4052.5</v>
      </c>
      <c r="E27" s="104">
        <f t="shared" si="1"/>
        <v>0.7646226415</v>
      </c>
      <c r="F27" s="90"/>
      <c r="G27" s="95">
        <v>25.0</v>
      </c>
      <c r="H27" s="95" t="s">
        <v>18</v>
      </c>
      <c r="I27" s="105">
        <v>4996.1625</v>
      </c>
      <c r="J27" s="96">
        <v>3524.5</v>
      </c>
      <c r="K27" s="106">
        <f t="shared" si="2"/>
        <v>0.7054414263</v>
      </c>
      <c r="L27" s="90"/>
      <c r="M27" s="95">
        <v>25.0</v>
      </c>
      <c r="N27" s="95" t="s">
        <v>9</v>
      </c>
      <c r="O27" s="96">
        <v>3465.2332</v>
      </c>
      <c r="P27" s="96">
        <v>2390.0</v>
      </c>
      <c r="Q27" s="106">
        <f t="shared" si="3"/>
        <v>0.6897082713</v>
      </c>
      <c r="R27" s="90"/>
      <c r="S27" s="95">
        <v>25.0</v>
      </c>
      <c r="T27" s="95" t="s">
        <v>13</v>
      </c>
      <c r="U27" s="68">
        <v>2628.82307692308</v>
      </c>
      <c r="V27" s="68">
        <v>2214.0</v>
      </c>
      <c r="W27" s="106">
        <f t="shared" si="4"/>
        <v>0.8422019798</v>
      </c>
      <c r="X27" s="90"/>
      <c r="Y27" s="114">
        <v>25.0</v>
      </c>
      <c r="Z27" s="95" t="s">
        <v>20</v>
      </c>
      <c r="AA27" s="108">
        <v>3689.71235294118</v>
      </c>
      <c r="AB27" s="68">
        <v>4193.5</v>
      </c>
      <c r="AC27" s="106">
        <f t="shared" si="5"/>
        <v>1.136538461</v>
      </c>
      <c r="AD27" s="90"/>
      <c r="AE27" s="114">
        <v>25.0</v>
      </c>
      <c r="AF27" s="95" t="s">
        <v>9</v>
      </c>
      <c r="AG27" s="108">
        <v>3323.86871</v>
      </c>
      <c r="AH27" s="68">
        <v>6342.01</v>
      </c>
      <c r="AI27" s="106">
        <f t="shared" si="6"/>
        <v>1.908020609</v>
      </c>
      <c r="AJ27" s="90"/>
      <c r="AK27" s="114">
        <v>25.0</v>
      </c>
      <c r="AL27" s="95" t="s">
        <v>17</v>
      </c>
      <c r="AM27" s="68">
        <v>3615.0324</v>
      </c>
      <c r="AN27" s="68">
        <v>3264.02</v>
      </c>
      <c r="AO27" s="106">
        <f t="shared" si="7"/>
        <v>0.9029020044</v>
      </c>
      <c r="AP27" s="90"/>
      <c r="AQ27" s="95">
        <v>25.0</v>
      </c>
      <c r="AR27" s="95" t="s">
        <v>7</v>
      </c>
      <c r="AS27" s="68">
        <v>3049.52388461539</v>
      </c>
      <c r="AT27" s="68">
        <v>2475.5</v>
      </c>
      <c r="AU27" s="106">
        <f t="shared" si="8"/>
        <v>0.8117660637</v>
      </c>
      <c r="AV27" s="90"/>
      <c r="AW27" s="95">
        <v>25.0</v>
      </c>
      <c r="AX27" s="95" t="s">
        <v>11</v>
      </c>
      <c r="AY27" s="68">
        <v>3620.84856923077</v>
      </c>
      <c r="AZ27" s="68">
        <v>2955.0</v>
      </c>
      <c r="BA27" s="106">
        <f t="shared" si="9"/>
        <v>0.8161070378</v>
      </c>
      <c r="BB27" s="90"/>
      <c r="BC27" s="95">
        <v>25.0</v>
      </c>
      <c r="BD27" s="95" t="s">
        <v>18</v>
      </c>
      <c r="BE27" s="68">
        <v>5580.95515384616</v>
      </c>
      <c r="BF27" s="68">
        <v>5092.5</v>
      </c>
      <c r="BG27" s="106">
        <f t="shared" si="10"/>
        <v>0.9124782156</v>
      </c>
      <c r="BH27" s="90"/>
      <c r="BI27" s="95">
        <v>25.0</v>
      </c>
      <c r="BJ27" s="95" t="s">
        <v>7</v>
      </c>
      <c r="BK27" s="68">
        <v>3108.05488636364</v>
      </c>
      <c r="BL27" s="68">
        <v>2313.0</v>
      </c>
      <c r="BM27" s="106">
        <f t="shared" ref="BM27:BM32" si="42">BL27/BK27</f>
        <v>0.7441953519</v>
      </c>
      <c r="BN27" s="90"/>
      <c r="BO27" s="95">
        <v>25.0</v>
      </c>
      <c r="BP27" s="95" t="s">
        <v>13</v>
      </c>
      <c r="BQ27" s="68">
        <v>3789.02151923077</v>
      </c>
      <c r="BR27" s="68">
        <v>4785.02</v>
      </c>
      <c r="BS27" s="106">
        <f t="shared" si="12"/>
        <v>1.262864298</v>
      </c>
      <c r="BT27" s="90"/>
      <c r="BU27" s="95">
        <v>25.0</v>
      </c>
      <c r="BV27" s="95" t="s">
        <v>20</v>
      </c>
      <c r="BW27" s="68">
        <v>5569.685793</v>
      </c>
      <c r="BX27" s="68">
        <v>10609.51</v>
      </c>
      <c r="BY27" s="106">
        <f t="shared" si="13"/>
        <v>1.90486688</v>
      </c>
      <c r="BZ27" s="90"/>
      <c r="CA27" s="95">
        <v>25.0</v>
      </c>
      <c r="CB27" s="95" t="s">
        <v>7</v>
      </c>
      <c r="CC27" s="68">
        <v>3258.90177884615</v>
      </c>
      <c r="CD27" s="68">
        <v>3259.51</v>
      </c>
      <c r="CE27" s="106">
        <f t="shared" si="14"/>
        <v>1.000186634</v>
      </c>
      <c r="CF27" s="90"/>
      <c r="CG27" s="95">
        <v>25.0</v>
      </c>
      <c r="CH27" s="95" t="s">
        <v>13</v>
      </c>
      <c r="CI27" s="96">
        <v>4164.52486153846</v>
      </c>
      <c r="CJ27" s="68">
        <v>2552.55</v>
      </c>
      <c r="CK27" s="106">
        <f t="shared" si="15"/>
        <v>0.6129270649</v>
      </c>
      <c r="CL27" s="90"/>
      <c r="CM27" s="95">
        <v>25.0</v>
      </c>
      <c r="CN27" s="95" t="s">
        <v>18</v>
      </c>
      <c r="CO27" s="96">
        <v>6903.4878</v>
      </c>
      <c r="CP27" s="70">
        <v>3675.05</v>
      </c>
      <c r="CQ27" s="106">
        <f t="shared" si="16"/>
        <v>0.5323468523</v>
      </c>
      <c r="CR27" s="90"/>
      <c r="CS27" s="95">
        <v>25.0</v>
      </c>
      <c r="CT27" s="95" t="s">
        <v>9</v>
      </c>
      <c r="CU27" s="96">
        <v>3778.056</v>
      </c>
      <c r="CV27" s="68">
        <v>3827.66</v>
      </c>
      <c r="CW27" s="106">
        <f t="shared" si="17"/>
        <v>1.013129504</v>
      </c>
      <c r="CX27" s="90"/>
      <c r="CY27" s="95">
        <v>25.0</v>
      </c>
      <c r="CZ27" s="95" t="s">
        <v>13</v>
      </c>
      <c r="DA27" s="96">
        <v>3390.73971875</v>
      </c>
      <c r="DB27" s="68">
        <v>3646.03</v>
      </c>
      <c r="DC27" s="106">
        <f t="shared" si="18"/>
        <v>1.075290439</v>
      </c>
      <c r="DD27" s="90"/>
      <c r="DE27" s="95">
        <v>25.0</v>
      </c>
      <c r="DF27" s="95" t="s">
        <v>20</v>
      </c>
      <c r="DG27" s="96">
        <v>4499.2023125</v>
      </c>
      <c r="DH27" s="68">
        <v>3691.09</v>
      </c>
      <c r="DI27" s="106">
        <f t="shared" si="41"/>
        <v>0.8203876473</v>
      </c>
      <c r="DJ27" s="90"/>
      <c r="DK27" s="95">
        <v>25.0</v>
      </c>
      <c r="DL27" s="95" t="s">
        <v>11</v>
      </c>
      <c r="DM27" s="96">
        <v>3244.36143333333</v>
      </c>
      <c r="DN27" s="68">
        <v>2470.5</v>
      </c>
      <c r="DO27" s="106">
        <f t="shared" si="20"/>
        <v>0.7614749623</v>
      </c>
      <c r="DP27" s="90"/>
      <c r="DQ27" s="95">
        <v>25.0</v>
      </c>
      <c r="DR27" s="95" t="s">
        <v>17</v>
      </c>
      <c r="DS27" s="96">
        <v>2817.0883125</v>
      </c>
      <c r="DT27" s="68">
        <v>2337.5</v>
      </c>
      <c r="DU27" s="106">
        <f t="shared" si="21"/>
        <v>0.8297574448</v>
      </c>
      <c r="DV27" s="90"/>
      <c r="DW27" s="95">
        <v>25.0</v>
      </c>
      <c r="DX27" s="95" t="s">
        <v>7</v>
      </c>
      <c r="DY27" s="96">
        <v>2896.25827826088</v>
      </c>
      <c r="DZ27" s="68">
        <v>3022.25</v>
      </c>
      <c r="EA27" s="106">
        <f t="shared" si="22"/>
        <v>1.043501549</v>
      </c>
      <c r="EB27" s="90"/>
      <c r="EC27" s="95">
        <v>25.0</v>
      </c>
      <c r="ED27" s="95" t="s">
        <v>11</v>
      </c>
      <c r="EE27" s="96">
        <v>3820.83230769231</v>
      </c>
      <c r="EF27" s="68">
        <v>1349.75</v>
      </c>
      <c r="EG27" s="106">
        <f t="shared" ref="EG27:EG32" si="43">EF27/EE27</f>
        <v>0.3532607273</v>
      </c>
      <c r="EH27" s="113"/>
      <c r="EI27" s="95">
        <v>25.0</v>
      </c>
      <c r="EJ27" s="95" t="s">
        <v>18</v>
      </c>
      <c r="EK27" s="96">
        <v>4193.88859615385</v>
      </c>
      <c r="EL27" s="68">
        <v>6062.25</v>
      </c>
      <c r="EM27" s="106">
        <f t="shared" si="40"/>
        <v>1.445496193</v>
      </c>
      <c r="EN27" s="90"/>
      <c r="EO27" s="95">
        <v>25.0</v>
      </c>
      <c r="EP27" s="95" t="s">
        <v>9</v>
      </c>
      <c r="EQ27" s="96">
        <v>3824.392</v>
      </c>
      <c r="ER27" s="68">
        <v>3972.76</v>
      </c>
      <c r="ES27" s="106">
        <f t="shared" si="24"/>
        <v>1.038795186</v>
      </c>
      <c r="ET27" s="90"/>
      <c r="EU27" s="95">
        <v>25.0</v>
      </c>
      <c r="EV27" s="95" t="s">
        <v>9</v>
      </c>
      <c r="EW27" s="96">
        <v>3947.55533333333</v>
      </c>
      <c r="EX27" s="68">
        <v>2303.25</v>
      </c>
      <c r="EY27" s="106">
        <f t="shared" si="25"/>
        <v>0.5834623724</v>
      </c>
      <c r="FA27" s="95">
        <v>25.0</v>
      </c>
      <c r="FB27" s="95" t="s">
        <v>17</v>
      </c>
      <c r="FC27" s="96">
        <v>4211.02930769231</v>
      </c>
      <c r="FD27" s="68">
        <v>3375.5</v>
      </c>
      <c r="FE27" s="106">
        <f t="shared" si="26"/>
        <v>0.8015854921</v>
      </c>
      <c r="FG27" s="95">
        <v>25.0</v>
      </c>
      <c r="FH27" s="95" t="s">
        <v>20</v>
      </c>
      <c r="FI27" s="96">
        <v>5046.12053846154</v>
      </c>
      <c r="FJ27" s="68">
        <v>4526.0</v>
      </c>
      <c r="FK27" s="106">
        <f t="shared" si="27"/>
        <v>0.896926652</v>
      </c>
      <c r="FL27" s="113"/>
      <c r="FM27" s="95">
        <v>25.0</v>
      </c>
      <c r="FN27" s="95" t="s">
        <v>11</v>
      </c>
      <c r="FO27" s="96">
        <v>3456.04072</v>
      </c>
      <c r="FP27" s="68">
        <v>2021.76</v>
      </c>
      <c r="FQ27" s="106">
        <f t="shared" si="28"/>
        <v>0.5849931074</v>
      </c>
      <c r="FS27" s="95">
        <v>25.0</v>
      </c>
      <c r="FT27" s="95" t="s">
        <v>17</v>
      </c>
      <c r="FU27" s="96">
        <v>3432.83980769231</v>
      </c>
      <c r="FV27" s="68">
        <v>1866.5</v>
      </c>
      <c r="FW27" s="106">
        <f t="shared" si="29"/>
        <v>0.5437189338</v>
      </c>
      <c r="FY27" s="95">
        <v>25.0</v>
      </c>
      <c r="FZ27" s="95" t="s">
        <v>7</v>
      </c>
      <c r="GA27" s="96">
        <v>2733.30451923077</v>
      </c>
      <c r="GB27" s="68">
        <v>1707.51</v>
      </c>
      <c r="GC27" s="106">
        <f t="shared" si="30"/>
        <v>0.624705366</v>
      </c>
      <c r="GE27" s="16">
        <v>25.0</v>
      </c>
      <c r="GF27" s="16" t="s">
        <v>13</v>
      </c>
      <c r="GG27" s="17">
        <v>3151.42417307692</v>
      </c>
      <c r="GH27" s="20">
        <v>2439.0</v>
      </c>
      <c r="GI27" s="106">
        <f t="shared" si="31"/>
        <v>0.7739358036</v>
      </c>
      <c r="GK27" s="16">
        <v>25.0</v>
      </c>
      <c r="GL27" s="16" t="s">
        <v>18</v>
      </c>
      <c r="GM27" s="17">
        <v>4334.40196296296</v>
      </c>
      <c r="GN27" s="20">
        <v>4417.25</v>
      </c>
      <c r="GO27" s="106">
        <f t="shared" si="32"/>
        <v>1.019114064</v>
      </c>
      <c r="GQ27" s="16">
        <v>25.0</v>
      </c>
      <c r="GR27" s="16" t="s">
        <v>9</v>
      </c>
      <c r="GS27" s="17">
        <v>2882.27175961539</v>
      </c>
      <c r="GT27" s="20">
        <v>1636.0</v>
      </c>
      <c r="GU27" s="106">
        <f t="shared" si="33"/>
        <v>0.5676078234</v>
      </c>
      <c r="GW27" s="16">
        <v>25.0</v>
      </c>
      <c r="GX27" s="16" t="s">
        <v>13</v>
      </c>
      <c r="GY27" s="17">
        <v>3129.20941666667</v>
      </c>
      <c r="GZ27" s="20">
        <v>941.02</v>
      </c>
      <c r="HA27" s="106">
        <f t="shared" ref="HA27:HA32" si="44">GZ27/GY27</f>
        <v>0.3007213244</v>
      </c>
      <c r="HC27" s="16">
        <v>25.0</v>
      </c>
      <c r="HD27" s="16" t="s">
        <v>20</v>
      </c>
      <c r="HE27" s="17">
        <v>4064.60462</v>
      </c>
      <c r="HF27" s="18">
        <v>5614.5</v>
      </c>
      <c r="HG27" s="106">
        <f t="shared" si="35"/>
        <v>1.381315165</v>
      </c>
      <c r="HI27" s="16">
        <v>25.0</v>
      </c>
      <c r="HJ27" s="16" t="s">
        <v>11</v>
      </c>
      <c r="HK27" s="17">
        <v>3123.9519999999998</v>
      </c>
      <c r="HL27" s="18">
        <v>2723.5</v>
      </c>
      <c r="HM27" s="106">
        <f t="shared" si="36"/>
        <v>0.871812371</v>
      </c>
      <c r="HO27" s="16">
        <v>25.0</v>
      </c>
      <c r="HP27" s="16" t="s">
        <v>11</v>
      </c>
      <c r="HQ27" s="17">
        <v>3000.2225000000003</v>
      </c>
      <c r="HR27" s="18">
        <v>2330.5</v>
      </c>
      <c r="HS27" s="106">
        <f t="shared" si="37"/>
        <v>0.7767757225</v>
      </c>
      <c r="HU27" s="16">
        <v>25.0</v>
      </c>
      <c r="HV27" s="16" t="s">
        <v>18</v>
      </c>
      <c r="HW27" s="17">
        <v>4705.9700416666665</v>
      </c>
      <c r="HX27" s="18">
        <v>2959.51</v>
      </c>
      <c r="HY27" s="106">
        <f t="shared" si="38"/>
        <v>0.6288841565</v>
      </c>
      <c r="HZ27" s="113"/>
      <c r="IA27" s="16">
        <v>25.0</v>
      </c>
      <c r="IB27" s="16" t="s">
        <v>7</v>
      </c>
      <c r="IC27" s="17">
        <v>2465.1209333333336</v>
      </c>
      <c r="ID27" s="45">
        <v>3036.5</v>
      </c>
      <c r="IE27" s="106">
        <f t="shared" si="39"/>
        <v>1.23178541</v>
      </c>
    </row>
    <row r="28" ht="15.75" customHeight="1">
      <c r="A28" s="95">
        <v>26.0</v>
      </c>
      <c r="B28" s="95" t="s">
        <v>20</v>
      </c>
      <c r="C28" s="103">
        <v>3500.0</v>
      </c>
      <c r="D28" s="68">
        <v>4736.0</v>
      </c>
      <c r="E28" s="104">
        <f t="shared" si="1"/>
        <v>1.353142857</v>
      </c>
      <c r="F28" s="90"/>
      <c r="G28" s="95">
        <v>26.0</v>
      </c>
      <c r="H28" s="95" t="s">
        <v>20</v>
      </c>
      <c r="I28" s="105">
        <v>4734.9025</v>
      </c>
      <c r="J28" s="96">
        <v>2552.5</v>
      </c>
      <c r="K28" s="106">
        <f t="shared" si="2"/>
        <v>0.5390818502</v>
      </c>
      <c r="L28" s="90"/>
      <c r="M28" s="95">
        <v>26.0</v>
      </c>
      <c r="N28" s="95" t="s">
        <v>11</v>
      </c>
      <c r="O28" s="96">
        <v>3505.10506666667</v>
      </c>
      <c r="P28" s="96">
        <v>2691.0</v>
      </c>
      <c r="Q28" s="106">
        <f t="shared" si="3"/>
        <v>0.7677373285</v>
      </c>
      <c r="R28" s="90"/>
      <c r="S28" s="95">
        <v>26.0</v>
      </c>
      <c r="T28" s="95" t="s">
        <v>17</v>
      </c>
      <c r="U28" s="68">
        <v>4033.78076923077</v>
      </c>
      <c r="V28" s="68">
        <v>2192.5</v>
      </c>
      <c r="W28" s="106">
        <f t="shared" si="4"/>
        <v>0.5435347446</v>
      </c>
      <c r="X28" s="90"/>
      <c r="Y28" s="114">
        <v>26.0</v>
      </c>
      <c r="Z28" s="95" t="s">
        <v>7</v>
      </c>
      <c r="AA28" s="108">
        <v>2557.5375</v>
      </c>
      <c r="AB28" s="68">
        <v>2713.5</v>
      </c>
      <c r="AC28" s="106">
        <f t="shared" si="5"/>
        <v>1.060981511</v>
      </c>
      <c r="AD28" s="90"/>
      <c r="AE28" s="114">
        <v>26.0</v>
      </c>
      <c r="AF28" s="95" t="s">
        <v>11</v>
      </c>
      <c r="AG28" s="108">
        <v>3100.40545238095</v>
      </c>
      <c r="AH28" s="68">
        <v>5435.0</v>
      </c>
      <c r="AI28" s="106">
        <f t="shared" si="6"/>
        <v>1.75299653</v>
      </c>
      <c r="AJ28" s="90"/>
      <c r="AK28" s="114">
        <v>26.0</v>
      </c>
      <c r="AL28" s="95" t="s">
        <v>18</v>
      </c>
      <c r="AM28" s="68">
        <v>4370.5494</v>
      </c>
      <c r="AN28" s="68">
        <v>4555.02</v>
      </c>
      <c r="AO28" s="106">
        <f t="shared" si="7"/>
        <v>1.042207646</v>
      </c>
      <c r="AP28" s="90"/>
      <c r="AQ28" s="95">
        <v>26.0</v>
      </c>
      <c r="AR28" s="95" t="s">
        <v>9</v>
      </c>
      <c r="AS28" s="68">
        <v>3489.23480769231</v>
      </c>
      <c r="AT28" s="68">
        <v>3361.5</v>
      </c>
      <c r="AU28" s="106">
        <f t="shared" si="8"/>
        <v>0.9633917421</v>
      </c>
      <c r="AV28" s="90"/>
      <c r="AW28" s="95">
        <v>26.0</v>
      </c>
      <c r="AX28" s="95" t="s">
        <v>13</v>
      </c>
      <c r="AY28" s="68">
        <v>3535.0242</v>
      </c>
      <c r="AZ28" s="68">
        <v>2615.0</v>
      </c>
      <c r="BA28" s="106">
        <f t="shared" si="9"/>
        <v>0.739740339</v>
      </c>
      <c r="BB28" s="90"/>
      <c r="BC28" s="95">
        <v>26.0</v>
      </c>
      <c r="BD28" s="95" t="s">
        <v>20</v>
      </c>
      <c r="BE28" s="68">
        <v>5140.16838461539</v>
      </c>
      <c r="BF28" s="68">
        <v>4474.0</v>
      </c>
      <c r="BG28" s="106">
        <f t="shared" si="10"/>
        <v>0.8703995016</v>
      </c>
      <c r="BH28" s="90"/>
      <c r="BI28" s="95">
        <v>26.0</v>
      </c>
      <c r="BJ28" s="95" t="s">
        <v>9</v>
      </c>
      <c r="BK28" s="68">
        <v>3435.89447727273</v>
      </c>
      <c r="BL28" s="68">
        <v>3151.51</v>
      </c>
      <c r="BM28" s="106">
        <f t="shared" si="42"/>
        <v>0.9172313122</v>
      </c>
      <c r="BN28" s="90"/>
      <c r="BO28" s="95">
        <v>26.0</v>
      </c>
      <c r="BP28" s="95" t="s">
        <v>17</v>
      </c>
      <c r="BQ28" s="68">
        <v>4029.96582692308</v>
      </c>
      <c r="BR28" s="68">
        <v>5060.5</v>
      </c>
      <c r="BS28" s="106">
        <f t="shared" si="12"/>
        <v>1.255717844</v>
      </c>
      <c r="BT28" s="90"/>
      <c r="BU28" s="95">
        <v>26.0</v>
      </c>
      <c r="BV28" s="95" t="s">
        <v>7</v>
      </c>
      <c r="BW28" s="68">
        <v>3222.12748846154</v>
      </c>
      <c r="BX28" s="68">
        <v>5501.53</v>
      </c>
      <c r="BY28" s="106">
        <f t="shared" si="13"/>
        <v>1.707421578</v>
      </c>
      <c r="BZ28" s="90"/>
      <c r="CA28" s="95">
        <v>26.0</v>
      </c>
      <c r="CB28" s="95" t="s">
        <v>9</v>
      </c>
      <c r="CC28" s="68">
        <v>3607.60614423077</v>
      </c>
      <c r="CD28" s="68">
        <v>3560.5</v>
      </c>
      <c r="CE28" s="106">
        <f t="shared" si="14"/>
        <v>0.986942548</v>
      </c>
      <c r="CF28" s="90"/>
      <c r="CG28" s="95">
        <v>26.0</v>
      </c>
      <c r="CH28" s="95" t="s">
        <v>17</v>
      </c>
      <c r="CI28" s="96">
        <v>4618.74731971154</v>
      </c>
      <c r="CJ28" s="68">
        <v>3727.06</v>
      </c>
      <c r="CK28" s="106">
        <f t="shared" si="15"/>
        <v>0.8069417403</v>
      </c>
      <c r="CL28" s="90"/>
      <c r="CM28" s="95">
        <v>26.0</v>
      </c>
      <c r="CN28" s="95" t="s">
        <v>20</v>
      </c>
      <c r="CO28" s="96">
        <v>6423.77193333333</v>
      </c>
      <c r="CP28" s="70">
        <v>2337.51</v>
      </c>
      <c r="CQ28" s="106">
        <f t="shared" si="16"/>
        <v>0.3638843384</v>
      </c>
      <c r="CR28" s="90"/>
      <c r="CS28" s="95">
        <v>26.0</v>
      </c>
      <c r="CT28" s="95" t="s">
        <v>11</v>
      </c>
      <c r="CU28" s="96">
        <v>3423.9315</v>
      </c>
      <c r="CV28" s="68">
        <v>3091.06</v>
      </c>
      <c r="CW28" s="106">
        <f t="shared" si="17"/>
        <v>0.9027809114</v>
      </c>
      <c r="CX28" s="90"/>
      <c r="CY28" s="95">
        <v>26.0</v>
      </c>
      <c r="CZ28" s="95" t="s">
        <v>17</v>
      </c>
      <c r="DA28" s="96">
        <v>3831.45896875</v>
      </c>
      <c r="DB28" s="68">
        <v>2198.1</v>
      </c>
      <c r="DC28" s="106">
        <f t="shared" si="18"/>
        <v>0.5736979093</v>
      </c>
      <c r="DD28" s="90"/>
      <c r="DE28" s="95">
        <v>26.0</v>
      </c>
      <c r="DF28" s="95" t="s">
        <v>7</v>
      </c>
      <c r="DG28" s="96">
        <v>2899.715</v>
      </c>
      <c r="DH28" s="68">
        <v>2664.13</v>
      </c>
      <c r="DI28" s="106">
        <f t="shared" si="41"/>
        <v>0.9187558088</v>
      </c>
      <c r="DJ28" s="90"/>
      <c r="DK28" s="95">
        <v>26.0</v>
      </c>
      <c r="DL28" s="95" t="s">
        <v>13</v>
      </c>
      <c r="DM28" s="96">
        <v>3168.16775</v>
      </c>
      <c r="DN28" s="68">
        <v>2039.5</v>
      </c>
      <c r="DO28" s="106">
        <f t="shared" si="20"/>
        <v>0.6437474783</v>
      </c>
      <c r="DP28" s="90"/>
      <c r="DQ28" s="95">
        <v>26.0</v>
      </c>
      <c r="DR28" s="95" t="s">
        <v>18</v>
      </c>
      <c r="DS28" s="96">
        <v>3631.1611875</v>
      </c>
      <c r="DT28" s="68">
        <v>3618.5</v>
      </c>
      <c r="DU28" s="106">
        <f t="shared" si="21"/>
        <v>0.9965131849</v>
      </c>
      <c r="DV28" s="90"/>
      <c r="DW28" s="95">
        <v>26.0</v>
      </c>
      <c r="DX28" s="95" t="s">
        <v>9</v>
      </c>
      <c r="DY28" s="115">
        <v>3657.8939775</v>
      </c>
      <c r="DZ28" s="68">
        <v>2917.27</v>
      </c>
      <c r="EA28" s="106">
        <f t="shared" si="22"/>
        <v>0.7975272159</v>
      </c>
      <c r="EB28" s="90"/>
      <c r="EC28" s="95">
        <v>26.0</v>
      </c>
      <c r="ED28" s="95" t="s">
        <v>13</v>
      </c>
      <c r="EE28" s="115">
        <v>3738.57553846154</v>
      </c>
      <c r="EF28" s="68">
        <v>2033.5</v>
      </c>
      <c r="EG28" s="106">
        <f t="shared" si="43"/>
        <v>0.5439237429</v>
      </c>
      <c r="EH28" s="113"/>
      <c r="EI28" s="95">
        <v>26.0</v>
      </c>
      <c r="EJ28" s="95" t="s">
        <v>20</v>
      </c>
      <c r="EK28" s="115">
        <v>3751.09713461538</v>
      </c>
      <c r="EL28" s="68">
        <v>5242.77</v>
      </c>
      <c r="EM28" s="106">
        <f t="shared" si="40"/>
        <v>1.397663087</v>
      </c>
      <c r="EN28" s="90"/>
      <c r="EO28" s="95">
        <v>26.0</v>
      </c>
      <c r="EP28" s="95" t="s">
        <v>11</v>
      </c>
      <c r="EQ28" s="115">
        <v>3598.85944</v>
      </c>
      <c r="ER28" s="68">
        <v>3786.25</v>
      </c>
      <c r="ES28" s="106">
        <f t="shared" si="24"/>
        <v>1.05206943</v>
      </c>
      <c r="ET28" s="90"/>
      <c r="EU28" s="95">
        <v>26.0</v>
      </c>
      <c r="EV28" s="95" t="s">
        <v>11</v>
      </c>
      <c r="EW28" s="115">
        <v>3815.68264</v>
      </c>
      <c r="EX28" s="68">
        <v>3328.25</v>
      </c>
      <c r="EY28" s="106">
        <f t="shared" si="25"/>
        <v>0.8722554557</v>
      </c>
      <c r="FA28" s="95">
        <v>26.0</v>
      </c>
      <c r="FB28" s="95" t="s">
        <v>18</v>
      </c>
      <c r="FC28" s="115">
        <v>5462.33303846154</v>
      </c>
      <c r="FD28" s="68">
        <v>4911.0</v>
      </c>
      <c r="FE28" s="106">
        <f t="shared" si="26"/>
        <v>0.8990663816</v>
      </c>
      <c r="FG28" s="95">
        <v>26.0</v>
      </c>
      <c r="FH28" s="95" t="s">
        <v>7</v>
      </c>
      <c r="FI28" s="115">
        <v>3488.60176923077</v>
      </c>
      <c r="FJ28" s="68">
        <v>2601.76</v>
      </c>
      <c r="FK28" s="106">
        <f t="shared" si="27"/>
        <v>0.7457887636</v>
      </c>
      <c r="FL28" s="113"/>
      <c r="FM28" s="95">
        <v>26.0</v>
      </c>
      <c r="FN28" s="95" t="s">
        <v>13</v>
      </c>
      <c r="FO28" s="115">
        <v>3327.21696153846</v>
      </c>
      <c r="FP28" s="68">
        <v>1648.5</v>
      </c>
      <c r="FQ28" s="106">
        <f t="shared" si="28"/>
        <v>0.4954591237</v>
      </c>
      <c r="FS28" s="95">
        <v>26.0</v>
      </c>
      <c r="FT28" s="95" t="s">
        <v>18</v>
      </c>
      <c r="FU28" s="115">
        <v>4957.44530769231</v>
      </c>
      <c r="FV28" s="68">
        <v>2461.5</v>
      </c>
      <c r="FW28" s="106">
        <f t="shared" si="29"/>
        <v>0.4965259014</v>
      </c>
      <c r="FY28" s="95">
        <v>26.0</v>
      </c>
      <c r="FZ28" s="95" t="s">
        <v>9</v>
      </c>
      <c r="GA28" s="115">
        <v>2712.61778846154</v>
      </c>
      <c r="GB28" s="68">
        <v>2295.0</v>
      </c>
      <c r="GC28" s="106">
        <f t="shared" si="30"/>
        <v>0.8460462103</v>
      </c>
      <c r="GE28" s="16">
        <v>26.0</v>
      </c>
      <c r="GF28" s="16" t="s">
        <v>17</v>
      </c>
      <c r="GG28" s="41">
        <v>3011.91634615385</v>
      </c>
      <c r="GH28" s="20">
        <v>2878.92</v>
      </c>
      <c r="GI28" s="106">
        <f t="shared" si="31"/>
        <v>0.9558432802</v>
      </c>
      <c r="GK28" s="16">
        <v>26.0</v>
      </c>
      <c r="GL28" s="16" t="s">
        <v>20</v>
      </c>
      <c r="GM28" s="17">
        <v>3846.46377777778</v>
      </c>
      <c r="GN28" s="20">
        <v>2996.41</v>
      </c>
      <c r="GO28" s="106">
        <f t="shared" si="32"/>
        <v>0.7790038261</v>
      </c>
      <c r="GQ28" s="16">
        <v>26.0</v>
      </c>
      <c r="GR28" s="16" t="s">
        <v>11</v>
      </c>
      <c r="GS28" s="17">
        <v>3563.13087403846</v>
      </c>
      <c r="GT28" s="20">
        <v>2386.0</v>
      </c>
      <c r="GU28" s="106">
        <f t="shared" si="33"/>
        <v>0.6696358019</v>
      </c>
      <c r="GW28" s="16">
        <v>26.0</v>
      </c>
      <c r="GX28" s="16" t="s">
        <v>17</v>
      </c>
      <c r="GY28" s="17">
        <v>2824.96158333333</v>
      </c>
      <c r="GZ28" s="20">
        <v>1994.01</v>
      </c>
      <c r="HA28" s="106">
        <f t="shared" si="44"/>
        <v>0.7058538466</v>
      </c>
      <c r="HC28" s="16">
        <v>26.0</v>
      </c>
      <c r="HD28" s="16" t="s">
        <v>7</v>
      </c>
      <c r="HE28" s="17">
        <v>2356.85408333333</v>
      </c>
      <c r="HF28" s="18">
        <v>1805.0</v>
      </c>
      <c r="HG28" s="106">
        <f t="shared" si="35"/>
        <v>0.7658514003</v>
      </c>
      <c r="HI28" s="16">
        <v>26.0</v>
      </c>
      <c r="HJ28" s="16" t="s">
        <v>13</v>
      </c>
      <c r="HK28" s="17">
        <v>3353.449538461538</v>
      </c>
      <c r="HL28" s="18">
        <v>2439.5</v>
      </c>
      <c r="HM28" s="106">
        <f t="shared" si="36"/>
        <v>0.7274598803</v>
      </c>
      <c r="HO28" s="16">
        <v>26.0</v>
      </c>
      <c r="HP28" s="16" t="s">
        <v>13</v>
      </c>
      <c r="HQ28" s="17">
        <v>3049.4403076923077</v>
      </c>
      <c r="HR28" s="18">
        <v>1821.5</v>
      </c>
      <c r="HS28" s="106">
        <f t="shared" si="37"/>
        <v>0.5973227269</v>
      </c>
      <c r="HU28" s="16">
        <v>26.0</v>
      </c>
      <c r="HV28" s="16" t="s">
        <v>20</v>
      </c>
      <c r="HW28" s="17">
        <v>4690.855583333334</v>
      </c>
      <c r="HX28" s="18">
        <v>3206.0</v>
      </c>
      <c r="HY28" s="106">
        <f t="shared" si="38"/>
        <v>0.6834574084</v>
      </c>
      <c r="HZ28" s="113"/>
      <c r="IA28" s="16">
        <v>26.0</v>
      </c>
      <c r="IB28" s="16" t="s">
        <v>9</v>
      </c>
      <c r="IC28" s="17">
        <v>2649.563933333334</v>
      </c>
      <c r="ID28" s="18">
        <v>1590.5</v>
      </c>
      <c r="IE28" s="106">
        <f t="shared" si="39"/>
        <v>0.6002874586</v>
      </c>
    </row>
    <row r="29" ht="15.75" customHeight="1">
      <c r="A29" s="95">
        <v>27.0</v>
      </c>
      <c r="B29" s="95" t="s">
        <v>7</v>
      </c>
      <c r="C29" s="103">
        <v>1800.0</v>
      </c>
      <c r="D29" s="68">
        <v>2425.5</v>
      </c>
      <c r="E29" s="104">
        <f t="shared" si="1"/>
        <v>1.3475</v>
      </c>
      <c r="F29" s="90"/>
      <c r="G29" s="95">
        <v>27.0</v>
      </c>
      <c r="H29" s="95" t="s">
        <v>7</v>
      </c>
      <c r="I29" s="105">
        <v>3140.65</v>
      </c>
      <c r="J29" s="96">
        <v>2552.5</v>
      </c>
      <c r="K29" s="106">
        <f t="shared" si="2"/>
        <v>0.8127298489</v>
      </c>
      <c r="L29" s="90"/>
      <c r="M29" s="95">
        <v>27.0</v>
      </c>
      <c r="N29" s="95" t="s">
        <v>13</v>
      </c>
      <c r="O29" s="96">
        <v>2738.74755555556</v>
      </c>
      <c r="P29" s="96">
        <v>2403.5</v>
      </c>
      <c r="Q29" s="106">
        <f t="shared" si="3"/>
        <v>0.8775909248</v>
      </c>
      <c r="R29" s="90"/>
      <c r="S29" s="95">
        <v>27.0</v>
      </c>
      <c r="T29" s="95" t="s">
        <v>18</v>
      </c>
      <c r="U29" s="68">
        <v>4690.08846153846</v>
      </c>
      <c r="V29" s="68">
        <v>4254.5</v>
      </c>
      <c r="W29" s="106">
        <f t="shared" si="4"/>
        <v>0.9071257472</v>
      </c>
      <c r="X29" s="90"/>
      <c r="Y29" s="114">
        <v>27.0</v>
      </c>
      <c r="Z29" s="95" t="s">
        <v>9</v>
      </c>
      <c r="AA29" s="108">
        <v>3393.50875</v>
      </c>
      <c r="AB29" s="68">
        <v>3506.0</v>
      </c>
      <c r="AC29" s="106">
        <f t="shared" si="5"/>
        <v>1.033148949</v>
      </c>
      <c r="AD29" s="90"/>
      <c r="AE29" s="114">
        <v>27.0</v>
      </c>
      <c r="AF29" s="95" t="s">
        <v>13</v>
      </c>
      <c r="AG29" s="108">
        <v>2743.68354782609</v>
      </c>
      <c r="AH29" s="68">
        <v>4686.0</v>
      </c>
      <c r="AI29" s="106">
        <f t="shared" si="6"/>
        <v>1.707922914</v>
      </c>
      <c r="AJ29" s="90"/>
      <c r="AK29" s="114">
        <v>27.0</v>
      </c>
      <c r="AL29" s="95" t="s">
        <v>20</v>
      </c>
      <c r="AM29" s="68">
        <v>4138.3610625</v>
      </c>
      <c r="AN29" s="68">
        <v>4701.5</v>
      </c>
      <c r="AO29" s="106">
        <f t="shared" si="7"/>
        <v>1.136077768</v>
      </c>
      <c r="AP29" s="90"/>
      <c r="AQ29" s="95">
        <v>27.0</v>
      </c>
      <c r="AR29" s="95" t="s">
        <v>11</v>
      </c>
      <c r="AS29" s="68">
        <v>3715.95565384615</v>
      </c>
      <c r="AT29" s="68">
        <v>3391.0</v>
      </c>
      <c r="AU29" s="106">
        <f t="shared" si="8"/>
        <v>0.9125512562</v>
      </c>
      <c r="AV29" s="90"/>
      <c r="AW29" s="95">
        <v>27.0</v>
      </c>
      <c r="AX29" s="95" t="s">
        <v>17</v>
      </c>
      <c r="AY29" s="68">
        <v>3996.56007692308</v>
      </c>
      <c r="AZ29" s="68">
        <v>2452.0</v>
      </c>
      <c r="BA29" s="106">
        <f t="shared" si="9"/>
        <v>0.613527622</v>
      </c>
      <c r="BB29" s="90"/>
      <c r="BC29" s="95">
        <v>27.0</v>
      </c>
      <c r="BD29" s="95" t="s">
        <v>7</v>
      </c>
      <c r="BE29" s="68">
        <v>2913.27507692308</v>
      </c>
      <c r="BF29" s="68">
        <v>2362.5</v>
      </c>
      <c r="BG29" s="106">
        <f t="shared" si="10"/>
        <v>0.8109429895</v>
      </c>
      <c r="BH29" s="90"/>
      <c r="BI29" s="95">
        <v>27.0</v>
      </c>
      <c r="BJ29" s="95" t="s">
        <v>11</v>
      </c>
      <c r="BK29" s="68">
        <v>3839.49681818182</v>
      </c>
      <c r="BL29" s="68">
        <v>3852.5</v>
      </c>
      <c r="BM29" s="106">
        <f t="shared" si="42"/>
        <v>1.003386689</v>
      </c>
      <c r="BN29" s="90"/>
      <c r="BO29" s="95">
        <v>27.0</v>
      </c>
      <c r="BP29" s="95" t="s">
        <v>18</v>
      </c>
      <c r="BQ29" s="68">
        <v>5199.17766666667</v>
      </c>
      <c r="BR29" s="68">
        <v>7409.01</v>
      </c>
      <c r="BS29" s="106">
        <f t="shared" si="12"/>
        <v>1.425034972</v>
      </c>
      <c r="BT29" s="90"/>
      <c r="BU29" s="95">
        <v>27.0</v>
      </c>
      <c r="BV29" s="95" t="s">
        <v>9</v>
      </c>
      <c r="BW29" s="68">
        <v>3554.17122980769</v>
      </c>
      <c r="BX29" s="68">
        <v>6711.53</v>
      </c>
      <c r="BY29" s="106">
        <f t="shared" si="13"/>
        <v>1.888353027</v>
      </c>
      <c r="BZ29" s="90"/>
      <c r="CA29" s="95">
        <v>27.0</v>
      </c>
      <c r="CB29" s="95" t="s">
        <v>11</v>
      </c>
      <c r="CC29" s="68">
        <v>3949.32755769231</v>
      </c>
      <c r="CD29" s="68">
        <v>3606.51</v>
      </c>
      <c r="CE29" s="106">
        <f t="shared" si="14"/>
        <v>0.9131959675</v>
      </c>
      <c r="CF29" s="90"/>
      <c r="CG29" s="95">
        <v>27.0</v>
      </c>
      <c r="CH29" s="95" t="s">
        <v>18</v>
      </c>
      <c r="CI29" s="96">
        <v>6207.68088028846</v>
      </c>
      <c r="CJ29" s="68">
        <v>5224.52</v>
      </c>
      <c r="CK29" s="106">
        <f t="shared" si="15"/>
        <v>0.8416218715</v>
      </c>
      <c r="CL29" s="90"/>
      <c r="CM29" s="95">
        <v>27.0</v>
      </c>
      <c r="CN29" s="95" t="s">
        <v>7</v>
      </c>
      <c r="CO29" s="96">
        <v>3518.0440625</v>
      </c>
      <c r="CP29" s="77">
        <v>1731.01</v>
      </c>
      <c r="CQ29" s="106">
        <f t="shared" si="16"/>
        <v>0.4920376122</v>
      </c>
      <c r="CR29" s="90"/>
      <c r="CS29" s="95">
        <v>27.0</v>
      </c>
      <c r="CT29" s="95" t="s">
        <v>13</v>
      </c>
      <c r="CU29" s="96">
        <v>3452.2635</v>
      </c>
      <c r="CV29" s="68">
        <v>3403.54</v>
      </c>
      <c r="CW29" s="106">
        <f t="shared" si="17"/>
        <v>0.9858865061</v>
      </c>
      <c r="CX29" s="90"/>
      <c r="CY29" s="95">
        <v>27.0</v>
      </c>
      <c r="CZ29" s="95" t="s">
        <v>18</v>
      </c>
      <c r="DA29" s="96">
        <v>5263.61373958333</v>
      </c>
      <c r="DB29" s="68">
        <v>3770.53</v>
      </c>
      <c r="DC29" s="106">
        <f t="shared" si="18"/>
        <v>0.7163386575</v>
      </c>
      <c r="DD29" s="90"/>
      <c r="DE29" s="95">
        <v>27.0</v>
      </c>
      <c r="DF29" s="95" t="s">
        <v>9</v>
      </c>
      <c r="DG29" s="96">
        <v>3652.4061875</v>
      </c>
      <c r="DH29" s="68">
        <v>3321.55</v>
      </c>
      <c r="DI29" s="106">
        <f t="shared" si="41"/>
        <v>0.909414186</v>
      </c>
      <c r="DJ29" s="90"/>
      <c r="DK29" s="95">
        <v>27.0</v>
      </c>
      <c r="DL29" s="95" t="s">
        <v>17</v>
      </c>
      <c r="DM29" s="96">
        <v>3230.885088</v>
      </c>
      <c r="DN29" s="68">
        <v>2572.02</v>
      </c>
      <c r="DO29" s="106">
        <f t="shared" si="20"/>
        <v>0.7960728809</v>
      </c>
      <c r="DP29" s="90"/>
      <c r="DQ29" s="95">
        <v>27.0</v>
      </c>
      <c r="DR29" s="95" t="s">
        <v>20</v>
      </c>
      <c r="DS29" s="96">
        <v>3162.9469375</v>
      </c>
      <c r="DT29" s="68">
        <v>4389.5</v>
      </c>
      <c r="DU29" s="106">
        <f t="shared" si="21"/>
        <v>1.387788062</v>
      </c>
      <c r="DV29" s="90"/>
      <c r="DW29" s="95">
        <v>27.0</v>
      </c>
      <c r="DX29" s="95" t="s">
        <v>11</v>
      </c>
      <c r="DY29" s="96">
        <v>3406.579505</v>
      </c>
      <c r="DZ29" s="68">
        <v>3455.25</v>
      </c>
      <c r="EA29" s="106">
        <f t="shared" si="22"/>
        <v>1.014287204</v>
      </c>
      <c r="EB29" s="90"/>
      <c r="EC29" s="95">
        <v>27.0</v>
      </c>
      <c r="ED29" s="95" t="s">
        <v>17</v>
      </c>
      <c r="EE29" s="96">
        <v>3996.95769230769</v>
      </c>
      <c r="EF29" s="68">
        <v>1796.75</v>
      </c>
      <c r="EG29" s="106">
        <f t="shared" si="43"/>
        <v>0.4495294017</v>
      </c>
      <c r="EH29" s="113"/>
      <c r="EI29" s="95">
        <v>27.0</v>
      </c>
      <c r="EJ29" s="95" t="s">
        <v>7</v>
      </c>
      <c r="EK29" s="96">
        <v>3161.80644230769</v>
      </c>
      <c r="EL29" s="68">
        <v>3328.0</v>
      </c>
      <c r="EM29" s="106">
        <f t="shared" si="40"/>
        <v>1.05256285</v>
      </c>
      <c r="EN29" s="90"/>
      <c r="EO29" s="95">
        <v>27.0</v>
      </c>
      <c r="EP29" s="95" t="s">
        <v>13</v>
      </c>
      <c r="EQ29" s="96">
        <v>3504.97196296296</v>
      </c>
      <c r="ER29" s="68">
        <v>2676.76</v>
      </c>
      <c r="ES29" s="106">
        <f t="shared" si="24"/>
        <v>0.7637036839</v>
      </c>
      <c r="ET29" s="90"/>
      <c r="EU29" s="95">
        <v>27.0</v>
      </c>
      <c r="EV29" s="95" t="s">
        <v>13</v>
      </c>
      <c r="EW29" s="96">
        <v>3699.33934615385</v>
      </c>
      <c r="EX29" s="68">
        <v>3336.29</v>
      </c>
      <c r="EY29" s="106">
        <f t="shared" si="25"/>
        <v>0.9018610319</v>
      </c>
      <c r="FA29" s="95">
        <v>27.0</v>
      </c>
      <c r="FB29" s="95" t="s">
        <v>20</v>
      </c>
      <c r="FC29" s="96">
        <v>5046.12053846154</v>
      </c>
      <c r="FD29" s="68">
        <v>2492.02</v>
      </c>
      <c r="FE29" s="106">
        <f t="shared" si="26"/>
        <v>0.4938486865</v>
      </c>
      <c r="FG29" s="95">
        <v>27.0</v>
      </c>
      <c r="FH29" s="95" t="s">
        <v>9</v>
      </c>
      <c r="FI29" s="96">
        <v>3878.677</v>
      </c>
      <c r="FJ29" s="68">
        <v>2284.83</v>
      </c>
      <c r="FK29" s="106">
        <f t="shared" si="27"/>
        <v>0.5890745736</v>
      </c>
      <c r="FL29" s="113"/>
      <c r="FM29" s="95">
        <v>27.0</v>
      </c>
      <c r="FN29" s="95" t="s">
        <v>17</v>
      </c>
      <c r="FO29" s="96">
        <v>3504.46842307692</v>
      </c>
      <c r="FP29" s="68">
        <v>2261.53</v>
      </c>
      <c r="FQ29" s="106">
        <f t="shared" si="28"/>
        <v>0.6453275439</v>
      </c>
      <c r="FS29" s="95">
        <v>27.0</v>
      </c>
      <c r="FT29" s="95" t="s">
        <v>20</v>
      </c>
      <c r="FU29" s="96">
        <v>4348.39307692308</v>
      </c>
      <c r="FV29" s="68">
        <v>3170.15</v>
      </c>
      <c r="FW29" s="106">
        <f t="shared" si="29"/>
        <v>0.7290394277</v>
      </c>
      <c r="FY29" s="95">
        <v>27.0</v>
      </c>
      <c r="FZ29" s="95" t="s">
        <v>11</v>
      </c>
      <c r="GA29" s="96">
        <v>3303.29538461538</v>
      </c>
      <c r="GB29" s="68">
        <v>3937.5</v>
      </c>
      <c r="GC29" s="106">
        <f t="shared" si="30"/>
        <v>1.191991494</v>
      </c>
      <c r="GE29" s="16">
        <v>27.0</v>
      </c>
      <c r="GF29" s="16" t="s">
        <v>18</v>
      </c>
      <c r="GG29" s="17">
        <v>4334.40196296296</v>
      </c>
      <c r="GH29" s="20">
        <v>3228.5</v>
      </c>
      <c r="GI29" s="106">
        <f t="shared" si="31"/>
        <v>0.7448547753</v>
      </c>
      <c r="GK29" s="16">
        <v>27.0</v>
      </c>
      <c r="GL29" s="16" t="s">
        <v>7</v>
      </c>
      <c r="GM29" s="5">
        <v>2544.11846153846</v>
      </c>
      <c r="GN29" s="20">
        <v>1874.5</v>
      </c>
      <c r="GO29" s="106">
        <f t="shared" si="32"/>
        <v>0.736797452</v>
      </c>
      <c r="GQ29" s="16">
        <v>27.0</v>
      </c>
      <c r="GR29" s="16" t="s">
        <v>13</v>
      </c>
      <c r="GS29" s="5">
        <v>3624.13779903846</v>
      </c>
      <c r="GT29" s="20">
        <v>3025.52</v>
      </c>
      <c r="GU29" s="106">
        <f t="shared" si="33"/>
        <v>0.8348247687</v>
      </c>
      <c r="GW29" s="16">
        <v>27.0</v>
      </c>
      <c r="GX29" s="16" t="s">
        <v>18</v>
      </c>
      <c r="GY29" s="5">
        <v>3969.18954166667</v>
      </c>
      <c r="GZ29" s="20">
        <v>2806.51</v>
      </c>
      <c r="HA29" s="106">
        <f t="shared" si="44"/>
        <v>0.7070738171</v>
      </c>
      <c r="HC29" s="16">
        <v>27.0</v>
      </c>
      <c r="HD29" s="16" t="s">
        <v>9</v>
      </c>
      <c r="HE29" s="17">
        <v>2287.03039583333</v>
      </c>
      <c r="HF29" s="18">
        <v>2564.0</v>
      </c>
      <c r="HG29" s="106">
        <f t="shared" si="35"/>
        <v>1.12110447</v>
      </c>
      <c r="HI29" s="16">
        <v>27.0</v>
      </c>
      <c r="HJ29" s="16" t="s">
        <v>17</v>
      </c>
      <c r="HK29" s="17">
        <v>3092.8636666666666</v>
      </c>
      <c r="HL29" s="18">
        <v>2766.01</v>
      </c>
      <c r="HM29" s="106">
        <f t="shared" si="36"/>
        <v>0.8943200536</v>
      </c>
      <c r="HO29" s="16">
        <v>27.0</v>
      </c>
      <c r="HP29" s="16" t="s">
        <v>17</v>
      </c>
      <c r="HQ29" s="17">
        <v>3011.8659999999995</v>
      </c>
      <c r="HR29" s="18">
        <v>2128.0</v>
      </c>
      <c r="HS29" s="106">
        <f t="shared" si="37"/>
        <v>0.7065387371</v>
      </c>
      <c r="HU29" s="16">
        <v>27.0</v>
      </c>
      <c r="HV29" s="16" t="s">
        <v>7</v>
      </c>
      <c r="HW29" s="17">
        <v>2460.2421250000007</v>
      </c>
      <c r="HX29" s="18">
        <v>1975.0</v>
      </c>
      <c r="HY29" s="106">
        <f t="shared" si="38"/>
        <v>0.8027665163</v>
      </c>
      <c r="HZ29" s="113"/>
      <c r="IA29" s="16">
        <v>27.0</v>
      </c>
      <c r="IB29" s="16" t="s">
        <v>11</v>
      </c>
      <c r="IC29" s="17">
        <v>2953.7709090909098</v>
      </c>
      <c r="ID29" s="18">
        <v>3014.5</v>
      </c>
      <c r="IE29" s="106">
        <f t="shared" si="39"/>
        <v>1.020559851</v>
      </c>
    </row>
    <row r="30" ht="15.75" customHeight="1">
      <c r="A30" s="95">
        <v>28.0</v>
      </c>
      <c r="B30" s="95" t="s">
        <v>9</v>
      </c>
      <c r="C30" s="103">
        <v>2000.0</v>
      </c>
      <c r="D30" s="68">
        <v>4354.0</v>
      </c>
      <c r="E30" s="104">
        <f t="shared" si="1"/>
        <v>2.177</v>
      </c>
      <c r="F30" s="90"/>
      <c r="G30" s="95">
        <v>28.0</v>
      </c>
      <c r="H30" s="95" t="s">
        <v>9</v>
      </c>
      <c r="I30" s="105">
        <v>3785.785</v>
      </c>
      <c r="J30" s="96">
        <v>2440.5</v>
      </c>
      <c r="K30" s="106">
        <f t="shared" si="2"/>
        <v>0.6446483358</v>
      </c>
      <c r="L30" s="90"/>
      <c r="M30" s="95">
        <v>28.0</v>
      </c>
      <c r="N30" s="95" t="s">
        <v>17</v>
      </c>
      <c r="O30" s="96">
        <v>3468.6145</v>
      </c>
      <c r="P30" s="96">
        <v>3068.0</v>
      </c>
      <c r="Q30" s="106">
        <f t="shared" si="3"/>
        <v>0.8845030199</v>
      </c>
      <c r="R30" s="90"/>
      <c r="S30" s="95">
        <v>28.0</v>
      </c>
      <c r="T30" s="95" t="s">
        <v>20</v>
      </c>
      <c r="U30" s="68">
        <v>4046.23923076923</v>
      </c>
      <c r="V30" s="68">
        <v>2231.0</v>
      </c>
      <c r="W30" s="106">
        <f t="shared" si="4"/>
        <v>0.5513761972</v>
      </c>
      <c r="X30" s="90"/>
      <c r="Y30" s="114">
        <v>28.0</v>
      </c>
      <c r="Z30" s="95" t="s">
        <v>11</v>
      </c>
      <c r="AA30" s="108">
        <v>3016.24352941176</v>
      </c>
      <c r="AB30" s="68">
        <v>3397.0</v>
      </c>
      <c r="AC30" s="106">
        <f t="shared" si="5"/>
        <v>1.126235321</v>
      </c>
      <c r="AD30" s="90"/>
      <c r="AE30" s="114">
        <v>28.0</v>
      </c>
      <c r="AF30" s="95" t="s">
        <v>17</v>
      </c>
      <c r="AG30" s="108">
        <v>3548.44762608696</v>
      </c>
      <c r="AH30" s="68">
        <v>4838.01</v>
      </c>
      <c r="AI30" s="106">
        <f t="shared" si="6"/>
        <v>1.363415924</v>
      </c>
      <c r="AJ30" s="90"/>
      <c r="AK30" s="114">
        <v>28.0</v>
      </c>
      <c r="AL30" s="95" t="s">
        <v>7</v>
      </c>
      <c r="AM30" s="68">
        <v>2705.10176086957</v>
      </c>
      <c r="AN30" s="68">
        <v>3324.0</v>
      </c>
      <c r="AO30" s="106">
        <f t="shared" si="7"/>
        <v>1.228789263</v>
      </c>
      <c r="AP30" s="90"/>
      <c r="AQ30" s="95">
        <v>28.0</v>
      </c>
      <c r="AR30" s="95" t="s">
        <v>13</v>
      </c>
      <c r="AS30" s="68">
        <v>3620.97675</v>
      </c>
      <c r="AT30" s="68">
        <v>2520.05</v>
      </c>
      <c r="AU30" s="106">
        <f t="shared" si="8"/>
        <v>0.695958625</v>
      </c>
      <c r="AV30" s="90"/>
      <c r="AW30" s="95">
        <v>28.0</v>
      </c>
      <c r="AX30" s="95" t="s">
        <v>18</v>
      </c>
      <c r="AY30" s="68">
        <v>5060.51798571429</v>
      </c>
      <c r="AZ30" s="68">
        <v>4101.5</v>
      </c>
      <c r="BA30" s="106">
        <f t="shared" si="9"/>
        <v>0.8104901537</v>
      </c>
      <c r="BB30" s="90"/>
      <c r="BC30" s="95">
        <v>28.0</v>
      </c>
      <c r="BD30" s="95" t="s">
        <v>9</v>
      </c>
      <c r="BE30" s="68">
        <v>3379.77075</v>
      </c>
      <c r="BF30" s="68">
        <v>2935.53</v>
      </c>
      <c r="BG30" s="106">
        <f t="shared" si="10"/>
        <v>0.8685589104</v>
      </c>
      <c r="BH30" s="90"/>
      <c r="BI30" s="95">
        <v>28.0</v>
      </c>
      <c r="BJ30" s="95" t="s">
        <v>13</v>
      </c>
      <c r="BK30" s="68">
        <v>3758.82436363636</v>
      </c>
      <c r="BL30" s="68">
        <v>4043.0</v>
      </c>
      <c r="BM30" s="106">
        <f t="shared" si="42"/>
        <v>1.075602265</v>
      </c>
      <c r="BN30" s="90"/>
      <c r="BO30" s="95">
        <v>28.0</v>
      </c>
      <c r="BP30" s="95" t="s">
        <v>20</v>
      </c>
      <c r="BQ30" s="68">
        <v>5304.46266</v>
      </c>
      <c r="BR30" s="68">
        <v>8351.0</v>
      </c>
      <c r="BS30" s="106">
        <f t="shared" si="12"/>
        <v>1.57433477</v>
      </c>
      <c r="BT30" s="90"/>
      <c r="BU30" s="95">
        <v>28.0</v>
      </c>
      <c r="BV30" s="95" t="s">
        <v>11</v>
      </c>
      <c r="BW30" s="68">
        <v>3944.74966442308</v>
      </c>
      <c r="BX30" s="68">
        <v>7669.51</v>
      </c>
      <c r="BY30" s="106">
        <f t="shared" si="13"/>
        <v>1.944232373</v>
      </c>
      <c r="BZ30" s="90"/>
      <c r="CA30" s="95">
        <v>28.0</v>
      </c>
      <c r="CB30" s="95" t="s">
        <v>13</v>
      </c>
      <c r="CC30" s="68">
        <v>3966.21415384615</v>
      </c>
      <c r="CD30" s="68">
        <v>3487.53</v>
      </c>
      <c r="CE30" s="106">
        <f t="shared" si="14"/>
        <v>0.8793095543</v>
      </c>
      <c r="CF30" s="90"/>
      <c r="CG30" s="95">
        <v>28.0</v>
      </c>
      <c r="CH30" s="95" t="s">
        <v>20</v>
      </c>
      <c r="CI30" s="96">
        <v>6371.97246875</v>
      </c>
      <c r="CJ30" s="68">
        <v>4299.09</v>
      </c>
      <c r="CK30" s="106">
        <f t="shared" si="15"/>
        <v>0.6746874725</v>
      </c>
      <c r="CL30" s="90"/>
      <c r="CM30" s="95">
        <v>28.0</v>
      </c>
      <c r="CN30" s="95" t="s">
        <v>9</v>
      </c>
      <c r="CO30" s="96">
        <v>4420.4125625</v>
      </c>
      <c r="CP30" s="70">
        <v>3429.01</v>
      </c>
      <c r="CQ30" s="106">
        <f t="shared" si="16"/>
        <v>0.7757217118</v>
      </c>
      <c r="CR30" s="90"/>
      <c r="CS30" s="95">
        <v>28.0</v>
      </c>
      <c r="CT30" s="95" t="s">
        <v>17</v>
      </c>
      <c r="CU30" s="96">
        <v>3827.424</v>
      </c>
      <c r="CV30" s="68">
        <v>4879.5</v>
      </c>
      <c r="CW30" s="106">
        <f t="shared" si="17"/>
        <v>1.274878352</v>
      </c>
      <c r="CX30" s="90"/>
      <c r="CY30" s="95">
        <v>28.0</v>
      </c>
      <c r="CZ30" s="95" t="s">
        <v>20</v>
      </c>
      <c r="DA30" s="96">
        <v>4936.90694791667</v>
      </c>
      <c r="DB30" s="68">
        <v>2330.57</v>
      </c>
      <c r="DC30" s="106">
        <f t="shared" si="18"/>
        <v>0.4720708785</v>
      </c>
      <c r="DD30" s="90"/>
      <c r="DE30" s="95">
        <v>28.0</v>
      </c>
      <c r="DF30" s="95" t="s">
        <v>11</v>
      </c>
      <c r="DG30" s="96">
        <v>3405.940125</v>
      </c>
      <c r="DH30" s="68">
        <v>2664.13</v>
      </c>
      <c r="DI30" s="106">
        <f t="shared" si="41"/>
        <v>0.782201067</v>
      </c>
      <c r="DJ30" s="90"/>
      <c r="DK30" s="95">
        <v>28.0</v>
      </c>
      <c r="DL30" s="95" t="s">
        <v>18</v>
      </c>
      <c r="DM30" s="96">
        <v>4178.504736</v>
      </c>
      <c r="DN30" s="68">
        <v>4090.01</v>
      </c>
      <c r="DO30" s="106">
        <f t="shared" si="20"/>
        <v>0.9788214346</v>
      </c>
      <c r="DP30" s="90"/>
      <c r="DQ30" s="95">
        <v>28.0</v>
      </c>
      <c r="DR30" s="95" t="s">
        <v>7</v>
      </c>
      <c r="DS30" s="96">
        <v>2653.7599375</v>
      </c>
      <c r="DT30" s="68">
        <v>3520.01</v>
      </c>
      <c r="DU30" s="106">
        <f t="shared" si="21"/>
        <v>1.326423672</v>
      </c>
      <c r="DV30" s="90"/>
      <c r="DW30" s="95">
        <v>28.0</v>
      </c>
      <c r="DX30" s="95" t="s">
        <v>13</v>
      </c>
      <c r="DY30" s="96">
        <v>3326.5761375</v>
      </c>
      <c r="DZ30" s="68">
        <v>5585.51</v>
      </c>
      <c r="EA30" s="106">
        <f t="shared" si="22"/>
        <v>1.679056715</v>
      </c>
      <c r="EB30" s="90"/>
      <c r="EC30" s="95">
        <v>28.0</v>
      </c>
      <c r="ED30" s="95" t="s">
        <v>18</v>
      </c>
      <c r="EE30" s="96">
        <v>4853.73777777778</v>
      </c>
      <c r="EF30" s="68">
        <v>2694.0</v>
      </c>
      <c r="EG30" s="106">
        <f t="shared" si="43"/>
        <v>0.5550361646</v>
      </c>
      <c r="EH30" s="113"/>
      <c r="EI30" s="95">
        <v>28.0</v>
      </c>
      <c r="EJ30" s="95" t="s">
        <v>9</v>
      </c>
      <c r="EK30" s="96">
        <v>3526.95252</v>
      </c>
      <c r="EL30" s="67">
        <v>4182.0</v>
      </c>
      <c r="EM30" s="106">
        <f t="shared" si="40"/>
        <v>1.185726197</v>
      </c>
      <c r="EN30" s="90"/>
      <c r="EO30" s="119">
        <v>28.0</v>
      </c>
      <c r="EP30" s="119" t="s">
        <v>17</v>
      </c>
      <c r="EQ30" s="112">
        <v>3756.49266666667</v>
      </c>
      <c r="ER30" s="67">
        <v>3058.57</v>
      </c>
      <c r="ES30" s="106">
        <f t="shared" si="24"/>
        <v>0.8142089634</v>
      </c>
      <c r="ET30" s="90"/>
      <c r="EU30" s="95">
        <v>28.0</v>
      </c>
      <c r="EV30" s="95" t="s">
        <v>17</v>
      </c>
      <c r="EW30" s="96">
        <v>4094.86380769231</v>
      </c>
      <c r="EX30" s="67">
        <v>2654.51</v>
      </c>
      <c r="EY30" s="106">
        <f t="shared" si="25"/>
        <v>0.64825355</v>
      </c>
      <c r="FA30" s="95">
        <v>28.0</v>
      </c>
      <c r="FB30" s="95" t="s">
        <v>7</v>
      </c>
      <c r="FC30" s="96">
        <v>3488.60176923077</v>
      </c>
      <c r="FD30" s="68">
        <v>3103.76</v>
      </c>
      <c r="FE30" s="106">
        <f t="shared" si="26"/>
        <v>0.889685956</v>
      </c>
      <c r="FG30" s="95">
        <v>28.0</v>
      </c>
      <c r="FH30" s="95" t="s">
        <v>11</v>
      </c>
      <c r="FI30" s="96">
        <v>3929.07108</v>
      </c>
      <c r="FJ30" s="68">
        <v>2608.02</v>
      </c>
      <c r="FK30" s="106">
        <f t="shared" si="27"/>
        <v>0.6637752148</v>
      </c>
      <c r="FL30" s="113"/>
      <c r="FM30" s="95">
        <v>28.0</v>
      </c>
      <c r="FN30" s="95" t="s">
        <v>18</v>
      </c>
      <c r="FO30" s="96">
        <v>4887.0415</v>
      </c>
      <c r="FP30" s="68">
        <v>2964.55</v>
      </c>
      <c r="FQ30" s="106">
        <f t="shared" si="28"/>
        <v>0.6066144517</v>
      </c>
      <c r="FS30" s="95">
        <v>28.0</v>
      </c>
      <c r="FT30" s="95" t="s">
        <v>7</v>
      </c>
      <c r="FU30" s="96">
        <v>2816.69469230769</v>
      </c>
      <c r="FV30" s="68">
        <v>1445.76</v>
      </c>
      <c r="FW30" s="106">
        <f t="shared" si="29"/>
        <v>0.5132824668</v>
      </c>
      <c r="FY30" s="95">
        <v>28.0</v>
      </c>
      <c r="FZ30" s="95" t="s">
        <v>13</v>
      </c>
      <c r="GA30" s="96">
        <v>3318.94157692308</v>
      </c>
      <c r="GB30" s="68">
        <v>2547.0</v>
      </c>
      <c r="GC30" s="106">
        <f t="shared" si="30"/>
        <v>0.7674133277</v>
      </c>
      <c r="GE30" s="16">
        <v>28.0</v>
      </c>
      <c r="GF30" s="16" t="s">
        <v>20</v>
      </c>
      <c r="GG30" s="17">
        <v>3846.46377777778</v>
      </c>
      <c r="GH30" s="20">
        <v>3071.0</v>
      </c>
      <c r="GI30" s="106">
        <f t="shared" si="31"/>
        <v>0.7983956635</v>
      </c>
      <c r="GK30" s="16">
        <v>28.0</v>
      </c>
      <c r="GL30" s="16" t="s">
        <v>9</v>
      </c>
      <c r="GM30" s="17">
        <v>2506.32326923077</v>
      </c>
      <c r="GN30" s="20">
        <v>835.0</v>
      </c>
      <c r="GO30" s="106">
        <f t="shared" si="32"/>
        <v>0.3331573426</v>
      </c>
      <c r="GQ30" s="16">
        <v>28.0</v>
      </c>
      <c r="GR30" s="16" t="s">
        <v>17</v>
      </c>
      <c r="GS30" s="17">
        <v>3463.70379807693</v>
      </c>
      <c r="GT30" s="20">
        <v>3165.5</v>
      </c>
      <c r="GU30" s="106">
        <f t="shared" si="33"/>
        <v>0.9139060914</v>
      </c>
      <c r="GW30" s="16">
        <v>28.0</v>
      </c>
      <c r="GX30" s="16" t="s">
        <v>20</v>
      </c>
      <c r="GY30" s="17">
        <v>4064.60462</v>
      </c>
      <c r="GZ30" s="20">
        <v>3695.5</v>
      </c>
      <c r="HA30" s="106">
        <f t="shared" si="44"/>
        <v>0.9091905229</v>
      </c>
      <c r="HC30" s="16">
        <v>28.0</v>
      </c>
      <c r="HD30" s="16" t="s">
        <v>11</v>
      </c>
      <c r="HE30" s="41">
        <v>2757.4024375</v>
      </c>
      <c r="HF30" s="18">
        <v>4048.5</v>
      </c>
      <c r="HG30" s="106">
        <f t="shared" si="35"/>
        <v>1.468229644</v>
      </c>
      <c r="HI30" s="16">
        <v>28.0</v>
      </c>
      <c r="HJ30" s="16" t="s">
        <v>18</v>
      </c>
      <c r="HK30" s="41">
        <v>4778.571148148147</v>
      </c>
      <c r="HL30" s="18">
        <v>3975.5</v>
      </c>
      <c r="HM30" s="106">
        <f t="shared" si="36"/>
        <v>0.8319432476</v>
      </c>
      <c r="HO30" s="16">
        <v>28.0</v>
      </c>
      <c r="HP30" s="16" t="s">
        <v>18</v>
      </c>
      <c r="HQ30" s="41">
        <v>4793.871076923077</v>
      </c>
      <c r="HR30" s="18">
        <v>3662.0</v>
      </c>
      <c r="HS30" s="106">
        <f t="shared" si="37"/>
        <v>0.7638920491</v>
      </c>
      <c r="HU30" s="16">
        <v>28.0</v>
      </c>
      <c r="HV30" s="16" t="s">
        <v>9</v>
      </c>
      <c r="HW30" s="41">
        <v>2676.4526250000004</v>
      </c>
      <c r="HX30" s="18">
        <v>2608.52</v>
      </c>
      <c r="HY30" s="106">
        <f t="shared" si="38"/>
        <v>0.9746184093</v>
      </c>
      <c r="HZ30" s="113"/>
      <c r="IA30" s="16">
        <v>28.0</v>
      </c>
      <c r="IB30" s="16" t="s">
        <v>13</v>
      </c>
      <c r="IC30" s="41">
        <v>2785.570200000001</v>
      </c>
      <c r="ID30" s="18">
        <v>2225.0</v>
      </c>
      <c r="IE30" s="106">
        <f t="shared" si="39"/>
        <v>0.798759263</v>
      </c>
    </row>
    <row r="31" ht="15.75" customHeight="1">
      <c r="A31" s="94" t="s">
        <v>21</v>
      </c>
      <c r="B31" s="13"/>
      <c r="C31" s="103">
        <f t="shared" ref="C31:D31" si="45">SUM(C3:C30)</f>
        <v>87700</v>
      </c>
      <c r="D31" s="68">
        <f t="shared" si="45"/>
        <v>105362.68</v>
      </c>
      <c r="E31" s="104">
        <f t="shared" si="1"/>
        <v>1.20139886</v>
      </c>
      <c r="F31" s="90"/>
      <c r="G31" s="95">
        <v>29.0</v>
      </c>
      <c r="H31" s="95" t="s">
        <v>11</v>
      </c>
      <c r="I31" s="105">
        <v>3528.2075</v>
      </c>
      <c r="J31" s="96">
        <v>2898.31</v>
      </c>
      <c r="K31" s="106">
        <f t="shared" si="2"/>
        <v>0.8214681251</v>
      </c>
      <c r="L31" s="90"/>
      <c r="M31" s="95">
        <v>29.0</v>
      </c>
      <c r="N31" s="95" t="s">
        <v>18</v>
      </c>
      <c r="O31" s="96">
        <v>4968.2295</v>
      </c>
      <c r="P31" s="96">
        <v>3659.0</v>
      </c>
      <c r="Q31" s="106">
        <f t="shared" si="3"/>
        <v>0.7364796654</v>
      </c>
      <c r="R31" s="90"/>
      <c r="S31" s="95">
        <v>29.0</v>
      </c>
      <c r="T31" s="95" t="s">
        <v>7</v>
      </c>
      <c r="U31" s="68">
        <v>2494.38333333333</v>
      </c>
      <c r="V31" s="68">
        <v>2854.5</v>
      </c>
      <c r="W31" s="106">
        <f t="shared" si="4"/>
        <v>1.14437102</v>
      </c>
      <c r="X31" s="90"/>
      <c r="Y31" s="114">
        <v>29.0</v>
      </c>
      <c r="Z31" s="95" t="s">
        <v>13</v>
      </c>
      <c r="AA31" s="108">
        <v>2559.51111111111</v>
      </c>
      <c r="AB31" s="68">
        <v>2585.51</v>
      </c>
      <c r="AC31" s="106">
        <f t="shared" si="5"/>
        <v>1.010157756</v>
      </c>
      <c r="AD31" s="90"/>
      <c r="AE31" s="114">
        <v>29.0</v>
      </c>
      <c r="AF31" s="95" t="s">
        <v>18</v>
      </c>
      <c r="AG31" s="108">
        <v>4238.41114090909</v>
      </c>
      <c r="AH31" s="68">
        <v>8039.52</v>
      </c>
      <c r="AI31" s="106">
        <f t="shared" si="6"/>
        <v>1.896824006</v>
      </c>
      <c r="AJ31" s="90"/>
      <c r="AK31" s="114">
        <v>29.0</v>
      </c>
      <c r="AL31" s="95" t="s">
        <v>9</v>
      </c>
      <c r="AM31" s="68">
        <v>3417.11331818182</v>
      </c>
      <c r="AN31" s="68">
        <v>2423.5</v>
      </c>
      <c r="AO31" s="106">
        <f t="shared" si="7"/>
        <v>0.7092243582</v>
      </c>
      <c r="AP31" s="90"/>
      <c r="AQ31" s="95">
        <v>29.0</v>
      </c>
      <c r="AR31" s="95" t="s">
        <v>17</v>
      </c>
      <c r="AS31" s="68">
        <v>3514.63915384615</v>
      </c>
      <c r="AT31" s="68">
        <v>7849.5</v>
      </c>
      <c r="AU31" s="106">
        <f t="shared" si="8"/>
        <v>2.233372946</v>
      </c>
      <c r="AV31" s="90"/>
      <c r="AW31" s="95">
        <v>29.0</v>
      </c>
      <c r="AX31" s="95" t="s">
        <v>20</v>
      </c>
      <c r="AY31" s="68">
        <v>4746.31186153846</v>
      </c>
      <c r="AZ31" s="68">
        <v>5724.0</v>
      </c>
      <c r="BA31" s="106">
        <f t="shared" si="9"/>
        <v>1.205989022</v>
      </c>
      <c r="BB31" s="90"/>
      <c r="BC31" s="95">
        <v>29.0</v>
      </c>
      <c r="BD31" s="95" t="s">
        <v>11</v>
      </c>
      <c r="BE31" s="68">
        <v>3500.343</v>
      </c>
      <c r="BF31" s="68">
        <v>2625.0</v>
      </c>
      <c r="BG31" s="106">
        <f t="shared" si="10"/>
        <v>0.7499265072</v>
      </c>
      <c r="BH31" s="90"/>
      <c r="BI31" s="95">
        <v>29.0</v>
      </c>
      <c r="BJ31" s="95" t="s">
        <v>17</v>
      </c>
      <c r="BK31" s="68">
        <v>4128.831</v>
      </c>
      <c r="BL31" s="68">
        <v>2591.5</v>
      </c>
      <c r="BM31" s="106">
        <f t="shared" si="42"/>
        <v>0.6276594997</v>
      </c>
      <c r="BN31" s="90"/>
      <c r="BO31" s="95">
        <v>29.0</v>
      </c>
      <c r="BP31" s="95" t="s">
        <v>7</v>
      </c>
      <c r="BQ31" s="68">
        <v>3068.69284615385</v>
      </c>
      <c r="BR31" s="68">
        <v>2831.53</v>
      </c>
      <c r="BS31" s="106">
        <f t="shared" si="12"/>
        <v>0.9227153521</v>
      </c>
      <c r="BT31" s="90"/>
      <c r="BU31" s="95">
        <v>29.0</v>
      </c>
      <c r="BV31" s="95" t="s">
        <v>13</v>
      </c>
      <c r="BW31" s="68">
        <v>3978.47259519231</v>
      </c>
      <c r="BX31" s="68">
        <v>4429.56</v>
      </c>
      <c r="BY31" s="106">
        <f t="shared" si="13"/>
        <v>1.113382057</v>
      </c>
      <c r="BZ31" s="90"/>
      <c r="CA31" s="95">
        <v>29.0</v>
      </c>
      <c r="CB31" s="95" t="s">
        <v>17</v>
      </c>
      <c r="CC31" s="68">
        <v>4398.80697115385</v>
      </c>
      <c r="CD31" s="68">
        <v>5229.0</v>
      </c>
      <c r="CE31" s="106">
        <f t="shared" si="14"/>
        <v>1.188731407</v>
      </c>
      <c r="CF31" s="90"/>
      <c r="CG31" s="95">
        <v>29.0</v>
      </c>
      <c r="CH31" s="95" t="s">
        <v>7</v>
      </c>
      <c r="CI31" s="96">
        <v>3421.84686778846</v>
      </c>
      <c r="CJ31" s="68">
        <v>2297.56</v>
      </c>
      <c r="CK31" s="106">
        <f t="shared" si="15"/>
        <v>0.6714385794</v>
      </c>
      <c r="CL31" s="90"/>
      <c r="CM31" s="95">
        <v>29.0</v>
      </c>
      <c r="CN31" s="95" t="s">
        <v>11</v>
      </c>
      <c r="CO31" s="96">
        <v>4042.78086666667</v>
      </c>
      <c r="CP31" s="70">
        <v>2695.66</v>
      </c>
      <c r="CQ31" s="106">
        <f t="shared" si="16"/>
        <v>0.6667836049</v>
      </c>
      <c r="CR31" s="90"/>
      <c r="CS31" s="95">
        <v>29.0</v>
      </c>
      <c r="CT31" s="95" t="s">
        <v>18</v>
      </c>
      <c r="CU31" s="96">
        <v>5622.48052631579</v>
      </c>
      <c r="CV31" s="68">
        <v>5251.02</v>
      </c>
      <c r="CW31" s="106">
        <f t="shared" si="17"/>
        <v>0.9339329813</v>
      </c>
      <c r="CX31" s="90"/>
      <c r="CY31" s="95">
        <v>29.0</v>
      </c>
      <c r="CZ31" s="95" t="s">
        <v>7</v>
      </c>
      <c r="DA31" s="96">
        <v>2939.27120833333</v>
      </c>
      <c r="DB31" s="68">
        <v>2989.59</v>
      </c>
      <c r="DC31" s="106">
        <f t="shared" si="18"/>
        <v>1.017119479</v>
      </c>
      <c r="DD31" s="90"/>
      <c r="DE31" s="95">
        <v>29.0</v>
      </c>
      <c r="DF31" s="95" t="s">
        <v>13</v>
      </c>
      <c r="DG31" s="96">
        <v>3410.6576875</v>
      </c>
      <c r="DH31" s="68">
        <v>3207.61</v>
      </c>
      <c r="DI31" s="106">
        <f t="shared" si="41"/>
        <v>0.9404667058</v>
      </c>
      <c r="DJ31" s="90"/>
      <c r="DK31" s="95">
        <v>29.0</v>
      </c>
      <c r="DL31" s="95" t="s">
        <v>20</v>
      </c>
      <c r="DM31" s="96">
        <v>3817.06353333333</v>
      </c>
      <c r="DN31" s="68">
        <v>2706.52</v>
      </c>
      <c r="DO31" s="106">
        <f t="shared" si="20"/>
        <v>0.7090581481</v>
      </c>
      <c r="DP31" s="90"/>
      <c r="DQ31" s="95">
        <v>29.0</v>
      </c>
      <c r="DR31" s="95" t="s">
        <v>9</v>
      </c>
      <c r="DS31" s="96">
        <v>3195.7760625</v>
      </c>
      <c r="DT31" s="68">
        <v>2468.53</v>
      </c>
      <c r="DU31" s="106">
        <f t="shared" si="21"/>
        <v>0.7724352244</v>
      </c>
      <c r="DV31" s="90"/>
      <c r="DW31" s="95">
        <v>29.0</v>
      </c>
      <c r="DX31" s="95" t="s">
        <v>17</v>
      </c>
      <c r="DY31" s="112">
        <v>3392.4293424</v>
      </c>
      <c r="DZ31" s="68">
        <v>2607.0</v>
      </c>
      <c r="EA31" s="106">
        <f t="shared" si="22"/>
        <v>0.7684758434</v>
      </c>
      <c r="EB31" s="90"/>
      <c r="EC31" s="95">
        <v>29.0</v>
      </c>
      <c r="ED31" s="95" t="s">
        <v>20</v>
      </c>
      <c r="EE31" s="112">
        <v>4361.21492307692</v>
      </c>
      <c r="EF31" s="68">
        <v>3085.75</v>
      </c>
      <c r="EG31" s="106">
        <f t="shared" si="43"/>
        <v>0.7075436672</v>
      </c>
      <c r="EH31" s="113"/>
      <c r="EI31" s="95">
        <v>29.0</v>
      </c>
      <c r="EJ31" s="95" t="s">
        <v>11</v>
      </c>
      <c r="EK31" s="112">
        <v>3307.11473076923</v>
      </c>
      <c r="EL31" s="68">
        <v>4014.01</v>
      </c>
      <c r="EM31" s="106">
        <f t="shared" si="40"/>
        <v>1.213749847</v>
      </c>
      <c r="EN31" s="90"/>
      <c r="EO31" s="94" t="s">
        <v>21</v>
      </c>
      <c r="EP31" s="13"/>
      <c r="EQ31" s="68">
        <f t="shared" ref="EQ31:ER31" si="46">SUM(EQ3:EQ30)</f>
        <v>108039.8493</v>
      </c>
      <c r="ER31" s="68">
        <f t="shared" si="46"/>
        <v>120838.83</v>
      </c>
      <c r="ES31" s="106">
        <f t="shared" si="24"/>
        <v>1.11846537</v>
      </c>
      <c r="ET31" s="90"/>
      <c r="EU31" s="95">
        <v>29.0</v>
      </c>
      <c r="EV31" s="95" t="s">
        <v>18</v>
      </c>
      <c r="EW31" s="112">
        <v>5238.86836</v>
      </c>
      <c r="EX31" s="68">
        <v>3820.25</v>
      </c>
      <c r="EY31" s="106">
        <f t="shared" si="25"/>
        <v>0.7292128256</v>
      </c>
      <c r="FA31" s="95">
        <v>29.0</v>
      </c>
      <c r="FB31" s="95" t="s">
        <v>9</v>
      </c>
      <c r="FC31" s="112">
        <v>3878.677</v>
      </c>
      <c r="FD31" s="68">
        <v>2110.78</v>
      </c>
      <c r="FE31" s="106">
        <f t="shared" si="26"/>
        <v>0.5442010252</v>
      </c>
      <c r="FG31" s="95">
        <v>29.0</v>
      </c>
      <c r="FH31" s="95" t="s">
        <v>13</v>
      </c>
      <c r="FI31" s="112">
        <v>3926.07684615385</v>
      </c>
      <c r="FJ31" s="68">
        <v>1925.53</v>
      </c>
      <c r="FK31" s="106">
        <f t="shared" si="27"/>
        <v>0.490446335</v>
      </c>
      <c r="FL31" s="113"/>
      <c r="FM31" s="95">
        <v>29.0</v>
      </c>
      <c r="FN31" s="95" t="s">
        <v>20</v>
      </c>
      <c r="FO31" s="112">
        <v>4213.64815384615</v>
      </c>
      <c r="FP31" s="68">
        <v>3844.15</v>
      </c>
      <c r="FQ31" s="106">
        <f t="shared" si="28"/>
        <v>0.9123092056</v>
      </c>
      <c r="FS31" s="95">
        <v>29.0</v>
      </c>
      <c r="FT31" s="95" t="s">
        <v>9</v>
      </c>
      <c r="FU31" s="112">
        <v>2925.96392</v>
      </c>
      <c r="FV31" s="68">
        <v>2105.26</v>
      </c>
      <c r="FW31" s="106">
        <f t="shared" si="29"/>
        <v>0.7195098974</v>
      </c>
      <c r="FY31" s="95">
        <v>29.0</v>
      </c>
      <c r="FZ31" s="95" t="s">
        <v>17</v>
      </c>
      <c r="GA31" s="112">
        <v>3374.18556</v>
      </c>
      <c r="GB31" s="68">
        <v>3126.91</v>
      </c>
      <c r="GC31" s="106">
        <f t="shared" si="30"/>
        <v>0.9267154827</v>
      </c>
      <c r="GE31" s="16">
        <v>29.0</v>
      </c>
      <c r="GF31" s="16" t="s">
        <v>7</v>
      </c>
      <c r="GG31" s="5">
        <v>2544.11846153846</v>
      </c>
      <c r="GH31" s="20">
        <v>2091.01</v>
      </c>
      <c r="GI31" s="106">
        <f t="shared" si="31"/>
        <v>0.8218996213</v>
      </c>
      <c r="GK31" s="16">
        <v>29.0</v>
      </c>
      <c r="GL31" s="16" t="s">
        <v>11</v>
      </c>
      <c r="GM31" s="17">
        <v>3098.37467307692</v>
      </c>
      <c r="GN31" s="20">
        <v>2232.03</v>
      </c>
      <c r="GO31" s="106">
        <f t="shared" si="32"/>
        <v>0.7203873758</v>
      </c>
      <c r="GQ31" s="16">
        <v>29.0</v>
      </c>
      <c r="GR31" s="16" t="s">
        <v>18</v>
      </c>
      <c r="GS31" s="17">
        <v>4984.5622574074</v>
      </c>
      <c r="GT31" s="20">
        <v>2383.5</v>
      </c>
      <c r="GU31" s="106">
        <f t="shared" si="33"/>
        <v>0.4781763928</v>
      </c>
      <c r="GW31" s="16">
        <v>29.0</v>
      </c>
      <c r="GX31" s="16" t="s">
        <v>7</v>
      </c>
      <c r="GY31" s="17">
        <v>2356.85408333333</v>
      </c>
      <c r="GZ31" s="20">
        <v>3029.0</v>
      </c>
      <c r="HA31" s="106">
        <f t="shared" si="44"/>
        <v>1.285187752</v>
      </c>
      <c r="HC31" s="16">
        <v>29.0</v>
      </c>
      <c r="HD31" s="16" t="s">
        <v>13</v>
      </c>
      <c r="HE31" s="17">
        <v>3129.20941666667</v>
      </c>
      <c r="HF31" s="18">
        <v>3109.0</v>
      </c>
      <c r="HG31" s="106">
        <f t="shared" si="35"/>
        <v>0.9935416861</v>
      </c>
      <c r="HI31" s="12" t="s">
        <v>21</v>
      </c>
      <c r="HJ31" s="13"/>
      <c r="HK31" s="52">
        <f t="shared" ref="HK31:HL31" si="47">SUM(HK3:HK30)</f>
        <v>97606.32149</v>
      </c>
      <c r="HL31" s="52">
        <f t="shared" si="47"/>
        <v>86783.33</v>
      </c>
      <c r="HM31" s="106">
        <f t="shared" si="36"/>
        <v>0.8891158756</v>
      </c>
      <c r="HO31" s="16">
        <v>29.0</v>
      </c>
      <c r="HP31" s="16" t="s">
        <v>20</v>
      </c>
      <c r="HQ31" s="17">
        <v>4694.977760000001</v>
      </c>
      <c r="HR31" s="18">
        <v>4400.5</v>
      </c>
      <c r="HS31" s="106">
        <f t="shared" si="37"/>
        <v>0.9372781353</v>
      </c>
      <c r="HU31" s="16">
        <v>29.0</v>
      </c>
      <c r="HV31" s="16" t="s">
        <v>11</v>
      </c>
      <c r="HW31" s="17">
        <v>2951.8025000000002</v>
      </c>
      <c r="HX31" s="18">
        <v>3424.5</v>
      </c>
      <c r="HY31" s="106">
        <f t="shared" si="38"/>
        <v>1.160138593</v>
      </c>
      <c r="HZ31" s="113"/>
      <c r="IA31" s="16">
        <v>29.0</v>
      </c>
      <c r="IB31" s="16" t="s">
        <v>17</v>
      </c>
      <c r="IC31" s="17">
        <v>2874.878330434783</v>
      </c>
      <c r="ID31" s="18">
        <v>3029.5</v>
      </c>
      <c r="IE31" s="106">
        <f t="shared" si="39"/>
        <v>1.053783726</v>
      </c>
    </row>
    <row r="32" ht="15.75" customHeight="1">
      <c r="A32" s="90"/>
      <c r="B32" s="90"/>
      <c r="C32" s="90"/>
      <c r="D32" s="90"/>
      <c r="E32" s="90"/>
      <c r="F32" s="90"/>
      <c r="G32" s="95">
        <v>30.0</v>
      </c>
      <c r="H32" s="95" t="s">
        <v>13</v>
      </c>
      <c r="I32" s="105">
        <v>2599.55</v>
      </c>
      <c r="J32" s="96">
        <v>3012.0</v>
      </c>
      <c r="K32" s="106">
        <f t="shared" si="2"/>
        <v>1.158662076</v>
      </c>
      <c r="L32" s="90"/>
      <c r="M32" s="95">
        <v>30.0</v>
      </c>
      <c r="N32" s="95" t="s">
        <v>20</v>
      </c>
      <c r="O32" s="96">
        <v>4495.4793</v>
      </c>
      <c r="P32" s="96">
        <v>2721.0</v>
      </c>
      <c r="Q32" s="106">
        <f t="shared" si="3"/>
        <v>0.6052747257</v>
      </c>
      <c r="R32" s="90"/>
      <c r="S32" s="95">
        <v>30.0</v>
      </c>
      <c r="T32" s="95" t="s">
        <v>9</v>
      </c>
      <c r="U32" s="68">
        <v>3175.47</v>
      </c>
      <c r="V32" s="68">
        <v>3672.0</v>
      </c>
      <c r="W32" s="106">
        <f t="shared" si="4"/>
        <v>1.156364255</v>
      </c>
      <c r="X32" s="90"/>
      <c r="Y32" s="114">
        <v>30.0</v>
      </c>
      <c r="Z32" s="95" t="s">
        <v>17</v>
      </c>
      <c r="AA32" s="108">
        <v>3615.61944444444</v>
      </c>
      <c r="AB32" s="68">
        <v>2997.01</v>
      </c>
      <c r="AC32" s="106">
        <f t="shared" si="5"/>
        <v>0.828906373</v>
      </c>
      <c r="AD32" s="90"/>
      <c r="AE32" s="114">
        <v>30.0</v>
      </c>
      <c r="AF32" s="95" t="s">
        <v>20</v>
      </c>
      <c r="AG32" s="108">
        <v>3814.78206190476</v>
      </c>
      <c r="AH32" s="68">
        <v>7545.03</v>
      </c>
      <c r="AI32" s="106">
        <f t="shared" si="6"/>
        <v>1.977840379</v>
      </c>
      <c r="AJ32" s="90"/>
      <c r="AK32" s="114">
        <v>30.0</v>
      </c>
      <c r="AL32" s="95" t="s">
        <v>11</v>
      </c>
      <c r="AM32" s="68">
        <v>3259.27532608696</v>
      </c>
      <c r="AN32" s="68">
        <v>3032.01</v>
      </c>
      <c r="AO32" s="106">
        <f t="shared" si="7"/>
        <v>0.9302712096</v>
      </c>
      <c r="AP32" s="90"/>
      <c r="AQ32" s="95">
        <v>30.0</v>
      </c>
      <c r="AR32" s="95" t="s">
        <v>18</v>
      </c>
      <c r="AS32" s="68">
        <v>4983.30807692308</v>
      </c>
      <c r="AT32" s="68">
        <v>6272.5</v>
      </c>
      <c r="AU32" s="106">
        <f t="shared" si="8"/>
        <v>1.258702031</v>
      </c>
      <c r="AV32" s="90"/>
      <c r="AW32" s="95">
        <v>30.0</v>
      </c>
      <c r="AX32" s="95" t="s">
        <v>7</v>
      </c>
      <c r="AY32" s="68">
        <v>2984.17084615385</v>
      </c>
      <c r="AZ32" s="68">
        <v>2202.57</v>
      </c>
      <c r="BA32" s="106">
        <f t="shared" si="9"/>
        <v>0.7380844173</v>
      </c>
      <c r="BB32" s="90"/>
      <c r="BC32" s="95">
        <v>30.0</v>
      </c>
      <c r="BD32" s="95" t="s">
        <v>13</v>
      </c>
      <c r="BE32" s="68">
        <v>3575.83073076923</v>
      </c>
      <c r="BF32" s="68">
        <v>3455.0</v>
      </c>
      <c r="BG32" s="106">
        <f t="shared" si="10"/>
        <v>0.9662090463</v>
      </c>
      <c r="BH32" s="90"/>
      <c r="BI32" s="95">
        <v>30.0</v>
      </c>
      <c r="BJ32" s="95" t="s">
        <v>18</v>
      </c>
      <c r="BK32" s="68">
        <v>5319.04179545455</v>
      </c>
      <c r="BL32" s="68">
        <v>4350.0</v>
      </c>
      <c r="BM32" s="106">
        <f t="shared" si="42"/>
        <v>0.8178164728</v>
      </c>
      <c r="BN32" s="90"/>
      <c r="BO32" s="95">
        <v>30.0</v>
      </c>
      <c r="BP32" s="95" t="s">
        <v>9</v>
      </c>
      <c r="BQ32" s="68">
        <v>3384.92498076923</v>
      </c>
      <c r="BR32" s="68">
        <v>3881.01</v>
      </c>
      <c r="BS32" s="106">
        <f t="shared" si="12"/>
        <v>1.146557168</v>
      </c>
      <c r="BT32" s="90"/>
      <c r="BU32" s="94" t="s">
        <v>21</v>
      </c>
      <c r="BV32" s="13"/>
      <c r="BW32" s="103">
        <f t="shared" ref="BW32:BX32" si="48">SUM(BW1:BW31)</f>
        <v>123817.7024</v>
      </c>
      <c r="BX32" s="68">
        <f t="shared" si="48"/>
        <v>151729.36</v>
      </c>
      <c r="BY32" s="106">
        <f t="shared" si="13"/>
        <v>1.225425421</v>
      </c>
      <c r="BZ32" s="90"/>
      <c r="CA32" s="95">
        <v>30.0</v>
      </c>
      <c r="CB32" s="95" t="s">
        <v>18</v>
      </c>
      <c r="CC32" s="68">
        <v>5912.07702884615</v>
      </c>
      <c r="CD32" s="68">
        <v>4470.03</v>
      </c>
      <c r="CE32" s="106">
        <f t="shared" si="14"/>
        <v>0.7560845331</v>
      </c>
      <c r="CF32" s="90"/>
      <c r="CG32" s="95">
        <v>30.0</v>
      </c>
      <c r="CH32" s="95" t="s">
        <v>9</v>
      </c>
      <c r="CI32" s="96">
        <v>3787.98645144231</v>
      </c>
      <c r="CJ32" s="68">
        <v>3683.05</v>
      </c>
      <c r="CK32" s="106">
        <f t="shared" si="15"/>
        <v>0.9722975642</v>
      </c>
      <c r="CL32" s="90"/>
      <c r="CM32" s="95">
        <v>30.0</v>
      </c>
      <c r="CN32" s="95" t="s">
        <v>13</v>
      </c>
      <c r="CO32" s="96">
        <v>4144.624</v>
      </c>
      <c r="CP32" s="77">
        <v>2140.55</v>
      </c>
      <c r="CQ32" s="106">
        <f t="shared" si="16"/>
        <v>0.5164642197</v>
      </c>
      <c r="CR32" s="90"/>
      <c r="CS32" s="95">
        <v>30.0</v>
      </c>
      <c r="CT32" s="95" t="s">
        <v>20</v>
      </c>
      <c r="CU32" s="96">
        <v>5211.90105263158</v>
      </c>
      <c r="CV32" s="68">
        <v>5516.01</v>
      </c>
      <c r="CW32" s="106">
        <f t="shared" si="17"/>
        <v>1.058348949</v>
      </c>
      <c r="CX32" s="90"/>
      <c r="CY32" s="95">
        <v>30.0</v>
      </c>
      <c r="CZ32" s="95" t="s">
        <v>9</v>
      </c>
      <c r="DA32" s="96">
        <v>3688.52485416667</v>
      </c>
      <c r="DB32" s="68">
        <v>3831.03</v>
      </c>
      <c r="DC32" s="106">
        <f t="shared" si="18"/>
        <v>1.038634726</v>
      </c>
      <c r="DD32" s="90"/>
      <c r="DE32" s="95">
        <v>30.0</v>
      </c>
      <c r="DF32" s="95" t="s">
        <v>17</v>
      </c>
      <c r="DG32" s="96">
        <v>3693.521125</v>
      </c>
      <c r="DH32" s="68">
        <v>2801.6</v>
      </c>
      <c r="DI32" s="106">
        <f t="shared" si="41"/>
        <v>0.758517389</v>
      </c>
      <c r="DJ32" s="90"/>
      <c r="DK32" s="95">
        <v>30.0</v>
      </c>
      <c r="DL32" s="95" t="s">
        <v>7</v>
      </c>
      <c r="DM32" s="96">
        <v>2758.34121739131</v>
      </c>
      <c r="DN32" s="68">
        <v>3228.05</v>
      </c>
      <c r="DO32" s="106">
        <f t="shared" si="20"/>
        <v>1.170286685</v>
      </c>
      <c r="DP32" s="90"/>
      <c r="DQ32" s="95">
        <v>30.0</v>
      </c>
      <c r="DR32" s="95" t="s">
        <v>11</v>
      </c>
      <c r="DS32" s="96">
        <v>3018.05525</v>
      </c>
      <c r="DT32" s="68">
        <v>2949.0</v>
      </c>
      <c r="DU32" s="106">
        <f t="shared" si="21"/>
        <v>0.977119289</v>
      </c>
      <c r="DV32" s="90"/>
      <c r="DW32" s="95">
        <v>30.0</v>
      </c>
      <c r="DX32" s="95" t="s">
        <v>18</v>
      </c>
      <c r="DY32" s="96">
        <v>4387.4299728</v>
      </c>
      <c r="DZ32" s="68">
        <v>3276.02</v>
      </c>
      <c r="EA32" s="106">
        <f t="shared" si="22"/>
        <v>0.7466831426</v>
      </c>
      <c r="EB32" s="90"/>
      <c r="EC32" s="95">
        <v>30.0</v>
      </c>
      <c r="ED32" s="95" t="s">
        <v>7</v>
      </c>
      <c r="EE32" s="96">
        <v>3478.47696</v>
      </c>
      <c r="EF32" s="68">
        <v>2174.5</v>
      </c>
      <c r="EG32" s="106">
        <f t="shared" si="43"/>
        <v>0.6251299132</v>
      </c>
      <c r="EH32" s="113"/>
      <c r="EI32" s="95">
        <v>30.0</v>
      </c>
      <c r="EJ32" s="95" t="s">
        <v>13</v>
      </c>
      <c r="EK32" s="96">
        <v>3270.15311538462</v>
      </c>
      <c r="EL32" s="68">
        <v>3410.67</v>
      </c>
      <c r="EM32" s="106">
        <f t="shared" si="40"/>
        <v>1.042969512</v>
      </c>
      <c r="EN32" s="90"/>
      <c r="EO32" s="90"/>
      <c r="EP32" s="90"/>
      <c r="EQ32" s="90"/>
      <c r="ER32" s="90"/>
      <c r="ES32" s="90"/>
      <c r="ET32" s="90"/>
      <c r="EU32" s="95">
        <v>30.0</v>
      </c>
      <c r="EV32" s="95" t="s">
        <v>20</v>
      </c>
      <c r="EW32" s="96">
        <v>4690.301</v>
      </c>
      <c r="EX32" s="68">
        <v>3108.0</v>
      </c>
      <c r="EY32" s="106">
        <f t="shared" si="25"/>
        <v>0.6626440393</v>
      </c>
      <c r="FA32" s="95">
        <v>30.0</v>
      </c>
      <c r="FB32" s="95" t="s">
        <v>11</v>
      </c>
      <c r="FC32" s="96">
        <v>3929.07108</v>
      </c>
      <c r="FD32" s="68">
        <v>3014.75</v>
      </c>
      <c r="FE32" s="106">
        <f t="shared" si="26"/>
        <v>0.7672933217</v>
      </c>
      <c r="FG32" s="95">
        <v>30.0</v>
      </c>
      <c r="FH32" s="95" t="s">
        <v>17</v>
      </c>
      <c r="FI32" s="96">
        <v>4211.02930769231</v>
      </c>
      <c r="FJ32" s="68">
        <v>2221.78</v>
      </c>
      <c r="FK32" s="106">
        <f t="shared" si="27"/>
        <v>0.5276097214</v>
      </c>
      <c r="FL32" s="113"/>
      <c r="FM32" s="95">
        <v>30.0</v>
      </c>
      <c r="FN32" s="95" t="s">
        <v>7</v>
      </c>
      <c r="FO32" s="96">
        <v>3046.40219230769</v>
      </c>
      <c r="FP32" s="68">
        <v>1652.16</v>
      </c>
      <c r="FQ32" s="106">
        <f t="shared" si="28"/>
        <v>0.5423315425</v>
      </c>
      <c r="FS32" s="95">
        <v>30.0</v>
      </c>
      <c r="FT32" s="95" t="s">
        <v>11</v>
      </c>
      <c r="FU32" s="96">
        <v>3453.12792</v>
      </c>
      <c r="FV32" s="68">
        <v>2285.01</v>
      </c>
      <c r="FW32" s="106">
        <f t="shared" si="29"/>
        <v>0.6617217934</v>
      </c>
      <c r="FY32" s="95">
        <v>30.0</v>
      </c>
      <c r="FZ32" s="95" t="s">
        <v>18</v>
      </c>
      <c r="GA32" s="96">
        <v>4768.50242307692</v>
      </c>
      <c r="GB32" s="68">
        <v>3471.5</v>
      </c>
      <c r="GC32" s="106">
        <f t="shared" si="30"/>
        <v>0.7280063408</v>
      </c>
      <c r="GE32" s="16">
        <v>30.0</v>
      </c>
      <c r="GF32" s="16" t="s">
        <v>9</v>
      </c>
      <c r="GG32" s="17">
        <v>2506.32326923077</v>
      </c>
      <c r="GH32" s="20">
        <v>2125.52</v>
      </c>
      <c r="GI32" s="106">
        <f t="shared" si="31"/>
        <v>0.8480629878</v>
      </c>
      <c r="GK32" s="16">
        <v>30.0</v>
      </c>
      <c r="GL32" s="16" t="s">
        <v>13</v>
      </c>
      <c r="GM32" s="17">
        <v>3151.42417307692</v>
      </c>
      <c r="GN32" s="20">
        <v>1986.0</v>
      </c>
      <c r="GO32" s="106">
        <f t="shared" si="32"/>
        <v>0.6301912694</v>
      </c>
      <c r="GQ32" s="16">
        <v>30.0</v>
      </c>
      <c r="GR32" s="16" t="s">
        <v>20</v>
      </c>
      <c r="GS32" s="17">
        <v>4423.43334444445</v>
      </c>
      <c r="GT32" s="20">
        <v>4227.5</v>
      </c>
      <c r="GU32" s="106">
        <f t="shared" si="33"/>
        <v>0.9557055958</v>
      </c>
      <c r="GW32" s="16">
        <v>30.0</v>
      </c>
      <c r="GX32" s="16" t="s">
        <v>9</v>
      </c>
      <c r="GY32" s="17">
        <v>2287.03039583333</v>
      </c>
      <c r="GZ32" s="20">
        <v>2334.51</v>
      </c>
      <c r="HA32" s="106">
        <f t="shared" si="44"/>
        <v>1.020760373</v>
      </c>
      <c r="HC32" s="16">
        <v>30.0</v>
      </c>
      <c r="HD32" s="16" t="s">
        <v>17</v>
      </c>
      <c r="HE32" s="17">
        <v>2824.96158333333</v>
      </c>
      <c r="HF32" s="18">
        <v>2112.0</v>
      </c>
      <c r="HG32" s="106">
        <f t="shared" si="35"/>
        <v>0.7476207862</v>
      </c>
      <c r="HO32" s="16">
        <v>30.0</v>
      </c>
      <c r="HP32" s="16" t="s">
        <v>7</v>
      </c>
      <c r="HQ32" s="17">
        <v>2600.963115384616</v>
      </c>
      <c r="HR32" s="18">
        <v>2178.0</v>
      </c>
      <c r="HS32" s="106">
        <f t="shared" si="37"/>
        <v>0.8373821171</v>
      </c>
      <c r="HU32" s="16">
        <v>30.0</v>
      </c>
      <c r="HV32" s="16" t="s">
        <v>13</v>
      </c>
      <c r="HW32" s="17">
        <v>2871.198916666668</v>
      </c>
      <c r="HX32" s="18">
        <v>2596.5</v>
      </c>
      <c r="HY32" s="106">
        <f t="shared" si="38"/>
        <v>0.9043260587</v>
      </c>
      <c r="HZ32" s="113"/>
      <c r="IA32" s="16">
        <v>30.0</v>
      </c>
      <c r="IB32" s="16" t="s">
        <v>18</v>
      </c>
      <c r="IC32" s="17">
        <v>4633.349466666666</v>
      </c>
      <c r="ID32" s="18">
        <v>4465.0</v>
      </c>
      <c r="IE32" s="106">
        <f t="shared" si="39"/>
        <v>0.9636657093</v>
      </c>
    </row>
    <row r="33" ht="15.75" customHeight="1">
      <c r="A33" s="90"/>
      <c r="B33" s="90"/>
      <c r="C33" s="90"/>
      <c r="D33" s="90"/>
      <c r="E33" s="90"/>
      <c r="F33" s="90"/>
      <c r="G33" s="95">
        <v>31.0</v>
      </c>
      <c r="H33" s="95" t="s">
        <v>17</v>
      </c>
      <c r="I33" s="105">
        <v>3555.4125</v>
      </c>
      <c r="J33" s="96">
        <v>7191.5</v>
      </c>
      <c r="K33" s="106">
        <f t="shared" si="2"/>
        <v>2.022690757</v>
      </c>
      <c r="L33" s="90"/>
      <c r="M33" s="94" t="s">
        <v>21</v>
      </c>
      <c r="N33" s="13"/>
      <c r="O33" s="105">
        <f t="shared" ref="O33:P33" si="49">SUM(O3:O32)</f>
        <v>110965.2573</v>
      </c>
      <c r="P33" s="96">
        <f t="shared" si="49"/>
        <v>99572.5</v>
      </c>
      <c r="Q33" s="106">
        <f t="shared" si="3"/>
        <v>0.8973304116</v>
      </c>
      <c r="R33" s="90"/>
      <c r="S33" s="95">
        <v>31.0</v>
      </c>
      <c r="T33" s="95" t="s">
        <v>11</v>
      </c>
      <c r="U33" s="68">
        <v>3056.81846153846</v>
      </c>
      <c r="V33" s="68">
        <v>2701.5</v>
      </c>
      <c r="W33" s="106">
        <f t="shared" si="4"/>
        <v>0.8837620009</v>
      </c>
      <c r="X33" s="90"/>
      <c r="Y33" s="94" t="s">
        <v>21</v>
      </c>
      <c r="Z33" s="13"/>
      <c r="AA33" s="103">
        <f t="shared" ref="AA33:AB33" si="50">SUM(AA3:AA32)</f>
        <v>97731.47242</v>
      </c>
      <c r="AB33" s="68">
        <f t="shared" si="50"/>
        <v>93219.08</v>
      </c>
      <c r="AC33" s="106">
        <f t="shared" si="5"/>
        <v>0.9538286664</v>
      </c>
      <c r="AD33" s="90"/>
      <c r="AE33" s="116">
        <v>31.0</v>
      </c>
      <c r="AF33" s="118" t="s">
        <v>7</v>
      </c>
      <c r="AG33" s="117">
        <v>2577.63165</v>
      </c>
      <c r="AH33" s="80">
        <v>2890.0</v>
      </c>
      <c r="AI33" s="106">
        <f t="shared" si="6"/>
        <v>1.121184247</v>
      </c>
      <c r="AJ33" s="90"/>
      <c r="AK33" s="116">
        <v>31.0</v>
      </c>
      <c r="AL33" s="95" t="s">
        <v>13</v>
      </c>
      <c r="AM33" s="68">
        <v>2961.45192</v>
      </c>
      <c r="AN33" s="68">
        <v>4048.52</v>
      </c>
      <c r="AO33" s="106">
        <f t="shared" si="7"/>
        <v>1.367072676</v>
      </c>
      <c r="AP33" s="90"/>
      <c r="AQ33" s="120" t="s">
        <v>21</v>
      </c>
      <c r="AR33" s="121"/>
      <c r="AS33" s="103">
        <f t="shared" ref="AS33:AT33" si="51">SUM(AS3:AS32)</f>
        <v>117310.2584</v>
      </c>
      <c r="AT33" s="68">
        <f t="shared" si="51"/>
        <v>110107.27</v>
      </c>
      <c r="AU33" s="106">
        <f t="shared" si="8"/>
        <v>0.9385988192</v>
      </c>
      <c r="AV33" s="90"/>
      <c r="AW33" s="95">
        <v>31.0</v>
      </c>
      <c r="AX33" s="95" t="s">
        <v>9</v>
      </c>
      <c r="AY33" s="68">
        <v>3688.79469230769</v>
      </c>
      <c r="AZ33" s="78">
        <v>2904.5</v>
      </c>
      <c r="BA33" s="106">
        <f t="shared" si="9"/>
        <v>0.7873845639</v>
      </c>
      <c r="BB33" s="90"/>
      <c r="BC33" s="95"/>
      <c r="BD33" s="95"/>
      <c r="BE33" s="68"/>
      <c r="BF33" s="78"/>
      <c r="BG33" s="106"/>
      <c r="BH33" s="90"/>
      <c r="BI33" s="95">
        <v>31.0</v>
      </c>
      <c r="BJ33" s="95" t="s">
        <v>20</v>
      </c>
      <c r="BK33" s="68">
        <v>0.0</v>
      </c>
      <c r="BL33" s="78">
        <v>0.0</v>
      </c>
      <c r="BM33" s="106"/>
      <c r="BN33" s="90"/>
      <c r="BO33" s="95">
        <v>31.0</v>
      </c>
      <c r="BP33" s="95" t="s">
        <v>11</v>
      </c>
      <c r="BQ33" s="68">
        <v>3756.90444230769</v>
      </c>
      <c r="BR33" s="78">
        <v>3380.0</v>
      </c>
      <c r="BS33" s="106">
        <f t="shared" si="12"/>
        <v>0.8996768621</v>
      </c>
      <c r="BT33" s="90"/>
      <c r="BU33" s="90"/>
      <c r="BV33" s="90"/>
      <c r="BW33" s="90"/>
      <c r="BX33" s="90"/>
      <c r="BY33" s="90"/>
      <c r="BZ33" s="90"/>
      <c r="CA33" s="95">
        <v>31.0</v>
      </c>
      <c r="CB33" s="95" t="s">
        <v>20</v>
      </c>
      <c r="CC33" s="68">
        <v>6068.54520833333</v>
      </c>
      <c r="CD33" s="78">
        <v>3468.12</v>
      </c>
      <c r="CE33" s="106">
        <f t="shared" si="14"/>
        <v>0.5714911698</v>
      </c>
      <c r="CF33" s="90"/>
      <c r="CG33" s="94" t="s">
        <v>21</v>
      </c>
      <c r="CH33" s="13"/>
      <c r="CI33" s="103" t="str">
        <f t="shared" ref="CI33:CJ33" si="52">SUM(CI3:CI33)</f>
        <v>#REF!</v>
      </c>
      <c r="CJ33" s="68" t="str">
        <f t="shared" si="52"/>
        <v>#REF!</v>
      </c>
      <c r="CK33" s="106" t="str">
        <f t="shared" si="15"/>
        <v>#REF!</v>
      </c>
      <c r="CL33" s="90"/>
      <c r="CM33" s="95">
        <v>31.0</v>
      </c>
      <c r="CN33" s="95" t="s">
        <v>17</v>
      </c>
      <c r="CO33" s="96">
        <v>4759.3194</v>
      </c>
      <c r="CP33" s="70">
        <v>2462.5</v>
      </c>
      <c r="CQ33" s="106">
        <f t="shared" si="16"/>
        <v>0.5174059131</v>
      </c>
      <c r="CR33" s="90"/>
      <c r="CS33" s="94" t="s">
        <v>21</v>
      </c>
      <c r="CT33" s="13"/>
      <c r="CU33" s="103" t="str">
        <f t="shared" ref="CU33:CV33" si="53">SUM(CU3:CU33)</f>
        <v>#REF!</v>
      </c>
      <c r="CV33" s="68" t="str">
        <f t="shared" si="53"/>
        <v>#REF!</v>
      </c>
      <c r="CW33" s="106" t="str">
        <f t="shared" si="17"/>
        <v>#REF!</v>
      </c>
      <c r="CX33" s="90"/>
      <c r="CY33" s="95">
        <v>31.0</v>
      </c>
      <c r="CZ33" s="95" t="s">
        <v>11</v>
      </c>
      <c r="DA33" s="96">
        <v>3391.54861458333</v>
      </c>
      <c r="DB33" s="68">
        <v>2610.6</v>
      </c>
      <c r="DC33" s="106">
        <f t="shared" si="18"/>
        <v>0.7697368656</v>
      </c>
      <c r="DD33" s="90"/>
      <c r="DE33" s="95">
        <v>31.0</v>
      </c>
      <c r="DF33" s="95" t="s">
        <v>18</v>
      </c>
      <c r="DG33" s="96">
        <v>4876.4235625</v>
      </c>
      <c r="DH33" s="68">
        <v>2807.51</v>
      </c>
      <c r="DI33" s="106">
        <f t="shared" si="41"/>
        <v>0.5757313662</v>
      </c>
      <c r="DJ33" s="90"/>
      <c r="DK33" s="94" t="s">
        <v>21</v>
      </c>
      <c r="DL33" s="13"/>
      <c r="DM33" s="103" t="str">
        <f t="shared" ref="DM33:DN33" si="54">SUM(DM3:DM33)</f>
        <v>#REF!</v>
      </c>
      <c r="DN33" s="68" t="str">
        <f t="shared" si="54"/>
        <v>#REF!</v>
      </c>
      <c r="DO33" s="106" t="str">
        <f t="shared" si="20"/>
        <v>#REF!</v>
      </c>
      <c r="DP33" s="90"/>
      <c r="DQ33" s="95">
        <v>31.0</v>
      </c>
      <c r="DR33" s="95" t="s">
        <v>13</v>
      </c>
      <c r="DS33" s="96">
        <v>2876.6968125</v>
      </c>
      <c r="DT33" s="67">
        <v>3705.03</v>
      </c>
      <c r="DU33" s="106">
        <f t="shared" si="21"/>
        <v>1.287945947</v>
      </c>
      <c r="DV33" s="90"/>
      <c r="DW33" s="122" t="s">
        <v>21</v>
      </c>
      <c r="DX33" s="13"/>
      <c r="DY33" s="123" t="str">
        <f t="shared" ref="DY33:DZ33" si="55">SUM(DY3:DY33)</f>
        <v>#REF!</v>
      </c>
      <c r="DZ33" s="81" t="str">
        <f t="shared" si="55"/>
        <v>#REF!</v>
      </c>
      <c r="EA33" s="106" t="str">
        <f t="shared" si="22"/>
        <v>#REF!</v>
      </c>
      <c r="EB33" s="90"/>
      <c r="EC33" s="95"/>
      <c r="ED33" s="95" t="s">
        <v>9</v>
      </c>
      <c r="EE33" s="96"/>
      <c r="EF33" s="68">
        <v>0.0</v>
      </c>
      <c r="EG33" s="106"/>
      <c r="EH33" s="113"/>
      <c r="EI33" s="95">
        <v>31.0</v>
      </c>
      <c r="EJ33" s="95" t="s">
        <v>17</v>
      </c>
      <c r="EK33" s="96">
        <v>3395.17378846154</v>
      </c>
      <c r="EL33" s="68">
        <v>4003.76</v>
      </c>
      <c r="EM33" s="106">
        <f t="shared" si="40"/>
        <v>1.179250386</v>
      </c>
      <c r="EN33" s="90"/>
      <c r="EO33" s="90"/>
      <c r="EP33" s="90"/>
      <c r="EQ33" s="90"/>
      <c r="ER33" s="90"/>
      <c r="ES33" s="90"/>
      <c r="ET33" s="90"/>
      <c r="EU33" s="95">
        <v>31.0</v>
      </c>
      <c r="EV33" s="95" t="s">
        <v>7</v>
      </c>
      <c r="EW33" s="96">
        <v>3506.36634615385</v>
      </c>
      <c r="EX33" s="81">
        <v>2419.5</v>
      </c>
      <c r="EY33" s="106">
        <f t="shared" si="25"/>
        <v>0.690030579</v>
      </c>
      <c r="FA33" s="122" t="s">
        <v>21</v>
      </c>
      <c r="FB33" s="13"/>
      <c r="FC33" s="123">
        <f t="shared" ref="FC33:FD33" si="56">SUM(FC3:FC32)</f>
        <v>127575.3864</v>
      </c>
      <c r="FD33" s="81">
        <f t="shared" si="56"/>
        <v>76405.63</v>
      </c>
      <c r="FE33" s="106">
        <f t="shared" si="26"/>
        <v>0.5989057306</v>
      </c>
      <c r="FG33" s="95">
        <v>31.0</v>
      </c>
      <c r="FH33" s="95" t="s">
        <v>18</v>
      </c>
      <c r="FI33" s="96">
        <v>5462.33303846154</v>
      </c>
      <c r="FJ33" s="68">
        <v>4849.76</v>
      </c>
      <c r="FK33" s="106">
        <f t="shared" si="27"/>
        <v>0.8878550549</v>
      </c>
      <c r="FL33" s="113"/>
      <c r="FM33" s="122" t="s">
        <v>21</v>
      </c>
      <c r="FN33" s="13"/>
      <c r="FO33" s="123">
        <f t="shared" ref="FO33:FP33" si="57">SUM(FO3:FO32)</f>
        <v>109785.1703</v>
      </c>
      <c r="FP33" s="81">
        <f t="shared" si="57"/>
        <v>74120.96</v>
      </c>
      <c r="FQ33" s="106">
        <f t="shared" si="28"/>
        <v>0.6751454662</v>
      </c>
      <c r="FS33" s="95">
        <v>31.0</v>
      </c>
      <c r="FT33" s="95" t="s">
        <v>13</v>
      </c>
      <c r="FU33" s="96">
        <v>3309.52769230769</v>
      </c>
      <c r="FV33" s="68">
        <v>2123.8</v>
      </c>
      <c r="FW33" s="106">
        <f t="shared" si="29"/>
        <v>0.6417229881</v>
      </c>
      <c r="FY33" s="95">
        <v>31.0</v>
      </c>
      <c r="FZ33" s="95" t="s">
        <v>20</v>
      </c>
      <c r="GA33" s="96">
        <v>4265.00853846154</v>
      </c>
      <c r="GB33" s="68">
        <v>4099.5</v>
      </c>
      <c r="GC33" s="106">
        <f t="shared" si="30"/>
        <v>0.9611938553</v>
      </c>
      <c r="GE33" s="12" t="s">
        <v>21</v>
      </c>
      <c r="GF33" s="13"/>
      <c r="GG33" s="52">
        <f t="shared" ref="GG33:GH33" si="58">SUM(GG3:GG32)</f>
        <v>95022.53239</v>
      </c>
      <c r="GH33" s="53">
        <f t="shared" si="58"/>
        <v>71818.42</v>
      </c>
      <c r="GI33" s="106">
        <f t="shared" si="31"/>
        <v>0.7558041045</v>
      </c>
      <c r="GK33" s="16">
        <v>31.0</v>
      </c>
      <c r="GL33" s="16" t="s">
        <v>17</v>
      </c>
      <c r="GM33" s="41">
        <v>3011.91634615385</v>
      </c>
      <c r="GN33" s="20">
        <v>1035.0</v>
      </c>
      <c r="GO33" s="106">
        <f t="shared" si="32"/>
        <v>0.343635042</v>
      </c>
      <c r="GQ33" s="12" t="s">
        <v>21</v>
      </c>
      <c r="GR33" s="13"/>
      <c r="GS33" s="52" t="str">
        <f t="shared" ref="GS33:GT33" si="59">SUM(GS3:GS33)</f>
        <v>#REF!</v>
      </c>
      <c r="GT33" s="53" t="str">
        <f t="shared" si="59"/>
        <v>#REF!</v>
      </c>
      <c r="GU33" s="106" t="str">
        <f t="shared" si="33"/>
        <v>#REF!</v>
      </c>
      <c r="GW33" s="16">
        <v>31.0</v>
      </c>
      <c r="GX33" s="16" t="s">
        <v>11</v>
      </c>
      <c r="GY33" s="41">
        <v>0.0</v>
      </c>
      <c r="GZ33" s="20">
        <v>0.0</v>
      </c>
      <c r="HA33" s="106"/>
      <c r="HC33" s="16">
        <v>31.0</v>
      </c>
      <c r="HD33" s="16" t="s">
        <v>18</v>
      </c>
      <c r="HE33" s="5">
        <v>3969.18954166667</v>
      </c>
      <c r="HF33" s="18">
        <v>4380.5</v>
      </c>
      <c r="HG33" s="106">
        <f t="shared" si="35"/>
        <v>1.103625804</v>
      </c>
      <c r="HO33" s="16">
        <v>31.0</v>
      </c>
      <c r="HP33" s="16" t="s">
        <v>9</v>
      </c>
      <c r="HQ33" s="5">
        <v>2691.103461538462</v>
      </c>
      <c r="HR33" s="18">
        <v>2128.0</v>
      </c>
      <c r="HS33" s="106">
        <f t="shared" si="37"/>
        <v>0.7907536928</v>
      </c>
      <c r="HU33" s="12" t="s">
        <v>21</v>
      </c>
      <c r="HV33" s="13"/>
      <c r="HW33" s="52">
        <f t="shared" ref="HW33:HX33" si="60">SUM(HW2:HW32)</f>
        <v>99042.26925</v>
      </c>
      <c r="HX33" s="53">
        <f t="shared" si="60"/>
        <v>81627.6</v>
      </c>
      <c r="HY33" s="106">
        <f t="shared" si="38"/>
        <v>0.824169323</v>
      </c>
      <c r="HZ33" s="113"/>
      <c r="IA33" s="16">
        <v>31.0</v>
      </c>
      <c r="IB33" s="16" t="s">
        <v>20</v>
      </c>
      <c r="IC33" s="5">
        <v>4467.714066666667</v>
      </c>
      <c r="ID33" s="18">
        <v>3762.0</v>
      </c>
      <c r="IE33" s="106">
        <f t="shared" si="39"/>
        <v>0.8420413536</v>
      </c>
    </row>
    <row r="34" ht="15.75" customHeight="1">
      <c r="A34" s="90"/>
      <c r="B34" s="90"/>
      <c r="C34" s="90"/>
      <c r="D34" s="90"/>
      <c r="E34" s="90"/>
      <c r="F34" s="90"/>
      <c r="G34" s="94" t="s">
        <v>21</v>
      </c>
      <c r="H34" s="13"/>
      <c r="I34" s="105">
        <f t="shared" ref="I34:J34" si="61">SUM(I3:I33)</f>
        <v>115045.85</v>
      </c>
      <c r="J34" s="96">
        <f t="shared" si="61"/>
        <v>103027.81</v>
      </c>
      <c r="K34" s="106">
        <f t="shared" si="2"/>
        <v>0.8955369533</v>
      </c>
      <c r="L34" s="90"/>
      <c r="M34" s="90"/>
      <c r="N34" s="90"/>
      <c r="O34" s="90"/>
      <c r="P34" s="90"/>
      <c r="Q34" s="90"/>
      <c r="R34" s="90"/>
      <c r="S34" s="94" t="s">
        <v>21</v>
      </c>
      <c r="T34" s="13"/>
      <c r="U34" s="103">
        <f t="shared" ref="U34:V34" si="62">SUM(U3:U33)</f>
        <v>105229.0851</v>
      </c>
      <c r="V34" s="68">
        <f t="shared" si="62"/>
        <v>85432.5</v>
      </c>
      <c r="W34" s="106">
        <f t="shared" si="4"/>
        <v>0.8118715457</v>
      </c>
      <c r="X34" s="90"/>
      <c r="Y34" s="90"/>
      <c r="Z34" s="90"/>
      <c r="AA34" s="90"/>
      <c r="AB34" s="90"/>
      <c r="AC34" s="90"/>
      <c r="AD34" s="90"/>
      <c r="AE34" s="94" t="s">
        <v>21</v>
      </c>
      <c r="AF34" s="13"/>
      <c r="AG34" s="103">
        <f t="shared" ref="AG34:AH34" si="63">SUM(AG3:AG33)</f>
        <v>104019.7456</v>
      </c>
      <c r="AH34" s="68">
        <f t="shared" si="63"/>
        <v>128924.2</v>
      </c>
      <c r="AI34" s="106">
        <f t="shared" si="6"/>
        <v>1.239420451</v>
      </c>
      <c r="AJ34" s="90"/>
      <c r="AK34" s="120" t="s">
        <v>21</v>
      </c>
      <c r="AL34" s="121"/>
      <c r="AM34" s="103">
        <f t="shared" ref="AM34:AN34" si="64">SUM(AM3:AM33)</f>
        <v>107505.3813</v>
      </c>
      <c r="AN34" s="68">
        <f t="shared" si="64"/>
        <v>118105.28</v>
      </c>
      <c r="AO34" s="106">
        <f t="shared" si="7"/>
        <v>1.098598773</v>
      </c>
      <c r="AP34" s="90"/>
      <c r="AQ34" s="90"/>
      <c r="AR34" s="90"/>
      <c r="AS34" s="90"/>
      <c r="AT34" s="90"/>
      <c r="AU34" s="90"/>
      <c r="AV34" s="90"/>
      <c r="AW34" s="94" t="s">
        <v>21</v>
      </c>
      <c r="AX34" s="13"/>
      <c r="AY34" s="103">
        <f t="shared" ref="AY34:AZ34" si="65">SUM(AY3:AY33)</f>
        <v>121948.1903</v>
      </c>
      <c r="AZ34" s="68">
        <f t="shared" si="65"/>
        <v>125260.71</v>
      </c>
      <c r="BA34" s="106">
        <f t="shared" si="9"/>
        <v>1.027163336</v>
      </c>
      <c r="BB34" s="90"/>
      <c r="BC34" s="94" t="s">
        <v>21</v>
      </c>
      <c r="BD34" s="13"/>
      <c r="BE34" s="103">
        <f t="shared" ref="BE34:BF34" si="66">SUM(BE3:BE33)</f>
        <v>120235.2975</v>
      </c>
      <c r="BF34" s="68">
        <f t="shared" si="66"/>
        <v>119127.72</v>
      </c>
      <c r="BG34" s="106">
        <f>BF34/BE34</f>
        <v>0.99078825</v>
      </c>
      <c r="BH34" s="90"/>
      <c r="BI34" s="94" t="s">
        <v>21</v>
      </c>
      <c r="BJ34" s="13"/>
      <c r="BK34" s="103">
        <f t="shared" ref="BK34:BL34" si="67">SUM(BK3:BK33)</f>
        <v>119728.5075</v>
      </c>
      <c r="BL34" s="68">
        <f t="shared" si="67"/>
        <v>104909.69</v>
      </c>
      <c r="BM34" s="106">
        <f>BL34/BK34</f>
        <v>0.8762298319</v>
      </c>
      <c r="BN34" s="90"/>
      <c r="BO34" s="94" t="s">
        <v>21</v>
      </c>
      <c r="BP34" s="13"/>
      <c r="BQ34" s="103">
        <f t="shared" ref="BQ34:BR34" si="68">SUM(BQ3:BQ33)</f>
        <v>124343.122</v>
      </c>
      <c r="BR34" s="68">
        <f t="shared" si="68"/>
        <v>131247.91</v>
      </c>
      <c r="BS34" s="106">
        <f t="shared" si="12"/>
        <v>1.055530116</v>
      </c>
      <c r="BT34" s="90"/>
      <c r="BU34" s="90"/>
      <c r="BV34" s="90"/>
      <c r="BW34" s="90"/>
      <c r="BX34" s="90"/>
      <c r="BY34" s="90"/>
      <c r="BZ34" s="90"/>
      <c r="CA34" s="94" t="s">
        <v>21</v>
      </c>
      <c r="CB34" s="13"/>
      <c r="CC34" s="103">
        <f t="shared" ref="CC34:CD34" si="69">SUM(CC3:CC33)</f>
        <v>141025.3446</v>
      </c>
      <c r="CD34" s="68">
        <f t="shared" si="69"/>
        <v>148517.4</v>
      </c>
      <c r="CE34" s="106">
        <f t="shared" si="14"/>
        <v>1.053125596</v>
      </c>
      <c r="CF34" s="90"/>
      <c r="CG34" s="90"/>
      <c r="CH34" s="90"/>
      <c r="CI34" s="90"/>
      <c r="CJ34" s="90"/>
      <c r="CK34" s="90"/>
      <c r="CL34" s="90"/>
      <c r="CM34" s="94" t="s">
        <v>21</v>
      </c>
      <c r="CN34" s="13"/>
      <c r="CO34" s="103">
        <f t="shared" ref="CO34:CP34" si="70">SUM(CO3:CO33)</f>
        <v>149796.4868</v>
      </c>
      <c r="CP34" s="68">
        <f t="shared" si="70"/>
        <v>77419.42</v>
      </c>
      <c r="CQ34" s="106">
        <f t="shared" si="16"/>
        <v>0.5168306792</v>
      </c>
      <c r="CR34" s="90"/>
      <c r="CS34" s="90"/>
      <c r="CT34" s="90"/>
      <c r="CU34" s="90"/>
      <c r="CV34" s="90"/>
      <c r="CW34" s="90"/>
      <c r="CX34" s="90"/>
      <c r="CY34" s="94" t="s">
        <v>21</v>
      </c>
      <c r="CZ34" s="13"/>
      <c r="DA34" s="103">
        <f t="shared" ref="DA34:DB34" si="71">SUM(DA3:DA33)</f>
        <v>119787.6009</v>
      </c>
      <c r="DB34" s="68">
        <f t="shared" si="71"/>
        <v>92996.1</v>
      </c>
      <c r="DC34" s="106">
        <f t="shared" si="18"/>
        <v>0.7763416189</v>
      </c>
      <c r="DD34" s="90"/>
      <c r="DE34" s="94" t="s">
        <v>21</v>
      </c>
      <c r="DF34" s="13"/>
      <c r="DG34" s="103">
        <f t="shared" ref="DG34:DH34" si="72">SUM(DG3:DG33)</f>
        <v>114832.3514</v>
      </c>
      <c r="DH34" s="68">
        <f t="shared" si="72"/>
        <v>82651.69</v>
      </c>
      <c r="DI34" s="106">
        <f t="shared" si="41"/>
        <v>0.7197596236</v>
      </c>
      <c r="DJ34" s="90"/>
      <c r="DK34" s="90"/>
      <c r="DL34" s="90"/>
      <c r="DM34" s="90"/>
      <c r="DN34" s="90"/>
      <c r="DO34" s="90"/>
      <c r="DP34" s="90"/>
      <c r="DQ34" s="94" t="s">
        <v>21</v>
      </c>
      <c r="DR34" s="13"/>
      <c r="DS34" s="103">
        <f>SUM(DS3:DS33)</f>
        <v>94512.46613</v>
      </c>
      <c r="DT34" s="68">
        <f>SUM(DT3:DT32)</f>
        <v>113871.08</v>
      </c>
      <c r="DU34" s="106">
        <f t="shared" si="21"/>
        <v>1.204826037</v>
      </c>
      <c r="DV34" s="90"/>
      <c r="DW34" s="90"/>
      <c r="DX34" s="90"/>
      <c r="DY34" s="90"/>
      <c r="DZ34" s="90"/>
      <c r="EA34" s="90"/>
      <c r="EB34" s="90"/>
      <c r="EC34" s="122" t="s">
        <v>21</v>
      </c>
      <c r="ED34" s="13"/>
      <c r="EE34" s="123">
        <f t="shared" ref="EE34:EF34" si="73">SUM(EE3:EE33)</f>
        <v>116516.3824</v>
      </c>
      <c r="EF34" s="81">
        <f t="shared" si="73"/>
        <v>80120.6</v>
      </c>
      <c r="EG34" s="106">
        <f>EF34/EE34</f>
        <v>0.6876337762</v>
      </c>
      <c r="EH34" s="113"/>
      <c r="EI34" s="122" t="s">
        <v>21</v>
      </c>
      <c r="EJ34" s="13"/>
      <c r="EK34" s="123">
        <f t="shared" ref="EK34:EL34" si="74">SUM(EK3:EK33)</f>
        <v>105090.0722</v>
      </c>
      <c r="EL34" s="81">
        <f t="shared" si="74"/>
        <v>118751.68</v>
      </c>
      <c r="EM34" s="106">
        <f t="shared" si="40"/>
        <v>1.129999033</v>
      </c>
      <c r="EN34" s="90"/>
      <c r="EO34" s="90"/>
      <c r="EP34" s="90"/>
      <c r="EQ34" s="90"/>
      <c r="ER34" s="90"/>
      <c r="ES34" s="90"/>
      <c r="ET34" s="90"/>
      <c r="EU34" s="122" t="s">
        <v>21</v>
      </c>
      <c r="EV34" s="13"/>
      <c r="EW34" s="123">
        <f t="shared" ref="EW34:EX34" si="75">SUM(EW3:EW33)</f>
        <v>129407.443</v>
      </c>
      <c r="EX34" s="81">
        <f t="shared" si="75"/>
        <v>111252.51</v>
      </c>
      <c r="EY34" s="106">
        <f t="shared" si="25"/>
        <v>0.859707196</v>
      </c>
      <c r="FG34" s="122" t="s">
        <v>21</v>
      </c>
      <c r="FH34" s="13"/>
      <c r="FI34" s="123">
        <f t="shared" ref="FI34:FJ34" si="76">SUM(FI3:FI33)</f>
        <v>133367.0775</v>
      </c>
      <c r="FJ34" s="81">
        <f t="shared" si="76"/>
        <v>89507.4</v>
      </c>
      <c r="FK34" s="106">
        <f t="shared" si="27"/>
        <v>0.6711356481</v>
      </c>
      <c r="FL34" s="113"/>
      <c r="FS34" s="122" t="s">
        <v>21</v>
      </c>
      <c r="FT34" s="13"/>
      <c r="FU34" s="123">
        <f t="shared" ref="FU34:FV34" si="77">SUM(FU3:FU33)</f>
        <v>110664.5892</v>
      </c>
      <c r="FV34" s="81">
        <f t="shared" si="77"/>
        <v>78307.77</v>
      </c>
      <c r="FW34" s="106">
        <f t="shared" si="29"/>
        <v>0.7076136149</v>
      </c>
      <c r="FY34" s="122" t="s">
        <v>21</v>
      </c>
      <c r="FZ34" s="13"/>
      <c r="GA34" s="123">
        <f t="shared" ref="GA34:GB34" si="78">SUM(GA3:GA33)</f>
        <v>110311.1197</v>
      </c>
      <c r="GB34" s="81">
        <f t="shared" si="78"/>
        <v>86057.43</v>
      </c>
      <c r="GC34" s="106">
        <f t="shared" si="30"/>
        <v>0.780133773</v>
      </c>
      <c r="GK34" s="12" t="s">
        <v>21</v>
      </c>
      <c r="GL34" s="13"/>
      <c r="GM34" s="52">
        <f t="shared" ref="GM34:GN34" si="79">SUM(GM3:GM33)</f>
        <v>99233.80585</v>
      </c>
      <c r="GN34" s="53">
        <f t="shared" si="79"/>
        <v>114187.53</v>
      </c>
      <c r="GO34" s="106">
        <f t="shared" si="32"/>
        <v>1.150691834</v>
      </c>
      <c r="GW34" s="12" t="s">
        <v>21</v>
      </c>
      <c r="GX34" s="13"/>
      <c r="GY34" s="52">
        <f t="shared" ref="GY34:GZ34" si="80">SUM(GY3:GY33)</f>
        <v>87443.49035</v>
      </c>
      <c r="GZ34" s="53">
        <f t="shared" si="80"/>
        <v>78078.14</v>
      </c>
      <c r="HA34" s="106">
        <f>GZ34/GY34</f>
        <v>0.8928982556</v>
      </c>
      <c r="HC34" s="12" t="s">
        <v>21</v>
      </c>
      <c r="HD34" s="13"/>
      <c r="HE34" s="52">
        <f t="shared" ref="HE34:HF34" si="81">SUM(HE3:HE33)</f>
        <v>95480.36886</v>
      </c>
      <c r="HF34" s="53">
        <f t="shared" si="81"/>
        <v>119219.13</v>
      </c>
      <c r="HG34" s="106">
        <f t="shared" si="35"/>
        <v>1.248624523</v>
      </c>
      <c r="HO34" s="12" t="s">
        <v>21</v>
      </c>
      <c r="HP34" s="13"/>
      <c r="HQ34" s="52">
        <f t="shared" ref="HQ34:HR34" si="82">SUM(HQ3:HQ33)</f>
        <v>105356.8212</v>
      </c>
      <c r="HR34" s="53">
        <f t="shared" si="82"/>
        <v>80248.51</v>
      </c>
      <c r="HS34" s="106">
        <f t="shared" si="37"/>
        <v>0.7616830981</v>
      </c>
      <c r="IA34" s="12" t="s">
        <v>21</v>
      </c>
      <c r="IB34" s="13"/>
      <c r="IC34" s="52">
        <f t="shared" ref="IC34:ID34" si="83">SUM(IC3:IC33)</f>
        <v>103295.8132</v>
      </c>
      <c r="ID34" s="53">
        <f t="shared" si="83"/>
        <v>99306.09</v>
      </c>
      <c r="IE34" s="106">
        <f t="shared" si="39"/>
        <v>0.9613757509</v>
      </c>
    </row>
    <row r="35" ht="15.75" customHeight="1">
      <c r="A35" s="90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0"/>
      <c r="BF35" s="90"/>
      <c r="BG35" s="90"/>
      <c r="BH35" s="90"/>
      <c r="BI35" s="90"/>
      <c r="BJ35" s="90"/>
      <c r="BK35" s="90"/>
      <c r="BL35" s="90"/>
      <c r="BM35" s="90"/>
      <c r="BN35" s="90"/>
      <c r="BO35" s="90"/>
      <c r="BP35" s="90"/>
      <c r="BQ35" s="90"/>
      <c r="BR35" s="90"/>
      <c r="BS35" s="90"/>
      <c r="BT35" s="90"/>
      <c r="BU35" s="90"/>
      <c r="BV35" s="90"/>
      <c r="BW35" s="90"/>
      <c r="BX35" s="90"/>
      <c r="BY35" s="90"/>
      <c r="BZ35" s="90"/>
      <c r="CA35" s="90"/>
      <c r="CB35" s="90"/>
      <c r="CC35" s="90"/>
      <c r="CD35" s="90"/>
      <c r="CE35" s="90"/>
      <c r="CF35" s="90"/>
      <c r="CG35" s="90"/>
      <c r="CH35" s="90"/>
      <c r="CI35" s="90"/>
      <c r="CJ35" s="90"/>
      <c r="CK35" s="90"/>
      <c r="CL35" s="90"/>
      <c r="CM35" s="90"/>
      <c r="CN35" s="90"/>
      <c r="CO35" s="90"/>
      <c r="CP35" s="90"/>
      <c r="CQ35" s="90"/>
      <c r="CR35" s="90"/>
      <c r="CS35" s="90"/>
      <c r="CT35" s="90"/>
      <c r="CU35" s="90"/>
      <c r="CV35" s="90"/>
      <c r="CW35" s="90"/>
      <c r="CX35" s="90"/>
      <c r="CY35" s="90"/>
      <c r="CZ35" s="90"/>
      <c r="DA35" s="90"/>
      <c r="DB35" s="90"/>
      <c r="DC35" s="90"/>
      <c r="DD35" s="90"/>
      <c r="DE35" s="90"/>
      <c r="DF35" s="90"/>
      <c r="DG35" s="90"/>
      <c r="DH35" s="90"/>
      <c r="DI35" s="90"/>
      <c r="DJ35" s="90"/>
      <c r="DK35" s="90"/>
      <c r="DL35" s="90"/>
      <c r="DM35" s="90"/>
      <c r="DN35" s="90"/>
      <c r="DO35" s="90"/>
      <c r="DP35" s="90"/>
      <c r="DQ35" s="90"/>
      <c r="DR35" s="90"/>
      <c r="DS35" s="90"/>
      <c r="DT35" s="90"/>
      <c r="DU35" s="90"/>
      <c r="DV35" s="90"/>
      <c r="DW35" s="90"/>
      <c r="DX35" s="90"/>
      <c r="DY35" s="90"/>
      <c r="DZ35" s="90"/>
      <c r="EA35" s="90"/>
      <c r="EB35" s="90"/>
      <c r="EC35" s="90"/>
      <c r="ED35" s="90"/>
      <c r="EE35" s="90"/>
      <c r="EF35" s="90"/>
      <c r="EG35" s="90"/>
      <c r="EH35" s="90"/>
      <c r="EI35" s="90"/>
      <c r="EJ35" s="90"/>
      <c r="EK35" s="90"/>
      <c r="EL35" s="90"/>
      <c r="EM35" s="90"/>
      <c r="EN35" s="90"/>
      <c r="EO35" s="90"/>
      <c r="EP35" s="90"/>
      <c r="EQ35" s="90"/>
      <c r="ER35" s="90"/>
      <c r="ES35" s="90"/>
      <c r="ET35" s="90"/>
      <c r="EU35" s="90"/>
      <c r="EV35" s="90"/>
      <c r="EW35" s="90"/>
      <c r="EX35" s="90"/>
      <c r="EY35" s="90"/>
    </row>
    <row r="36" ht="15.75" customHeight="1">
      <c r="A36" s="90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0"/>
      <c r="AT36" s="90"/>
      <c r="AU36" s="90"/>
      <c r="AV36" s="90"/>
      <c r="AW36" s="90"/>
      <c r="AX36" s="90"/>
      <c r="AY36" s="90"/>
      <c r="AZ36" s="90"/>
      <c r="BA36" s="90"/>
      <c r="BB36" s="90"/>
      <c r="BC36" s="90"/>
      <c r="BD36" s="90"/>
      <c r="BE36" s="90"/>
      <c r="BF36" s="90"/>
      <c r="BG36" s="90"/>
      <c r="BH36" s="90"/>
      <c r="BI36" s="90"/>
      <c r="BJ36" s="90"/>
      <c r="BK36" s="90"/>
      <c r="BL36" s="90"/>
      <c r="BM36" s="90"/>
      <c r="BN36" s="90"/>
      <c r="BO36" s="90"/>
      <c r="BP36" s="90"/>
      <c r="BQ36" s="90"/>
      <c r="BR36" s="90"/>
      <c r="BS36" s="90"/>
      <c r="BT36" s="90"/>
      <c r="BU36" s="90"/>
      <c r="BV36" s="90"/>
      <c r="BW36" s="90"/>
      <c r="BX36" s="90"/>
      <c r="BY36" s="90"/>
      <c r="BZ36" s="90"/>
      <c r="CA36" s="90"/>
      <c r="CB36" s="90"/>
      <c r="CC36" s="90"/>
      <c r="CD36" s="90"/>
      <c r="CE36" s="90"/>
      <c r="CF36" s="90"/>
      <c r="CG36" s="90"/>
      <c r="CH36" s="90"/>
      <c r="CI36" s="90"/>
      <c r="CJ36" s="90"/>
      <c r="CK36" s="90"/>
      <c r="CL36" s="90"/>
      <c r="CM36" s="90"/>
      <c r="CN36" s="90"/>
      <c r="CO36" s="90"/>
      <c r="CP36" s="90"/>
      <c r="CQ36" s="90"/>
      <c r="CR36" s="90"/>
      <c r="CS36" s="90"/>
      <c r="CT36" s="90"/>
      <c r="CU36" s="90"/>
      <c r="CV36" s="90"/>
      <c r="CW36" s="90"/>
      <c r="CX36" s="90"/>
      <c r="CY36" s="90"/>
      <c r="CZ36" s="90"/>
      <c r="DA36" s="90"/>
      <c r="DB36" s="90"/>
      <c r="DC36" s="90"/>
      <c r="DD36" s="90"/>
      <c r="DE36" s="90"/>
      <c r="DF36" s="90"/>
      <c r="DG36" s="90"/>
      <c r="DH36" s="90"/>
      <c r="DI36" s="90"/>
      <c r="DJ36" s="90"/>
      <c r="DK36" s="90"/>
      <c r="DL36" s="90"/>
      <c r="DM36" s="90"/>
      <c r="DN36" s="90"/>
      <c r="DO36" s="90"/>
      <c r="DP36" s="90"/>
      <c r="DQ36" s="90"/>
      <c r="DR36" s="90"/>
      <c r="DS36" s="90"/>
      <c r="DT36" s="90"/>
      <c r="DU36" s="90"/>
      <c r="DV36" s="90"/>
      <c r="DW36" s="90"/>
      <c r="DX36" s="90"/>
      <c r="DY36" s="90"/>
      <c r="DZ36" s="90"/>
      <c r="EA36" s="90"/>
      <c r="EB36" s="90"/>
      <c r="EC36" s="90"/>
      <c r="ED36" s="90"/>
      <c r="EE36" s="90"/>
      <c r="EF36" s="90"/>
      <c r="EG36" s="90"/>
      <c r="EH36" s="90"/>
      <c r="EI36" s="90"/>
      <c r="EJ36" s="90"/>
      <c r="EK36" s="90"/>
      <c r="EL36" s="90"/>
      <c r="EM36" s="90"/>
      <c r="EN36" s="90"/>
      <c r="EO36" s="90"/>
      <c r="EP36" s="90"/>
      <c r="EQ36" s="90"/>
      <c r="ER36" s="90"/>
      <c r="ES36" s="90"/>
      <c r="ET36" s="90"/>
      <c r="EU36" s="90"/>
      <c r="EV36" s="90"/>
      <c r="EW36" s="90"/>
      <c r="EX36" s="90"/>
      <c r="EY36" s="90"/>
    </row>
    <row r="37" ht="15.75" customHeight="1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Y37" s="90"/>
      <c r="AZ37" s="90"/>
      <c r="BA37" s="90"/>
      <c r="BB37" s="90"/>
      <c r="BC37" s="90"/>
      <c r="BD37" s="90"/>
      <c r="BE37" s="90"/>
      <c r="BF37" s="90"/>
      <c r="BG37" s="90"/>
      <c r="BH37" s="90"/>
      <c r="BI37" s="90"/>
      <c r="BJ37" s="90"/>
      <c r="BK37" s="90"/>
      <c r="BL37" s="90"/>
      <c r="BM37" s="90"/>
      <c r="BN37" s="90"/>
      <c r="BO37" s="90"/>
      <c r="BP37" s="90"/>
      <c r="BQ37" s="90"/>
      <c r="BR37" s="90"/>
      <c r="BS37" s="90"/>
      <c r="BT37" s="90"/>
      <c r="BU37" s="90"/>
      <c r="BV37" s="90"/>
      <c r="BW37" s="90"/>
      <c r="BX37" s="90"/>
      <c r="BY37" s="90"/>
      <c r="BZ37" s="90"/>
      <c r="CA37" s="90"/>
      <c r="CB37" s="90"/>
      <c r="CC37" s="90"/>
      <c r="CD37" s="90"/>
      <c r="CE37" s="90"/>
      <c r="CF37" s="90"/>
      <c r="CG37" s="90"/>
      <c r="CH37" s="90"/>
      <c r="CI37" s="90"/>
      <c r="CJ37" s="90"/>
      <c r="CK37" s="90"/>
      <c r="CL37" s="90"/>
      <c r="CM37" s="90"/>
      <c r="CN37" s="90"/>
      <c r="CO37" s="90"/>
      <c r="CP37" s="90"/>
      <c r="CQ37" s="90"/>
      <c r="CR37" s="90"/>
      <c r="CS37" s="90"/>
      <c r="CT37" s="90"/>
      <c r="CU37" s="90"/>
      <c r="CV37" s="90"/>
      <c r="CW37" s="90"/>
      <c r="CX37" s="90"/>
      <c r="CY37" s="90"/>
      <c r="CZ37" s="90"/>
      <c r="DA37" s="90"/>
      <c r="DB37" s="90"/>
      <c r="DC37" s="90"/>
      <c r="DD37" s="90"/>
      <c r="DE37" s="90"/>
      <c r="DF37" s="90"/>
      <c r="DG37" s="90"/>
      <c r="DH37" s="90"/>
      <c r="DI37" s="90"/>
      <c r="DJ37" s="90"/>
      <c r="DK37" s="90"/>
      <c r="DL37" s="90"/>
      <c r="DM37" s="90"/>
      <c r="DN37" s="90"/>
      <c r="DO37" s="90"/>
      <c r="DP37" s="90"/>
      <c r="DQ37" s="90"/>
      <c r="DR37" s="90"/>
      <c r="DS37" s="90"/>
      <c r="DT37" s="90"/>
      <c r="DU37" s="90"/>
      <c r="DV37" s="90"/>
      <c r="DW37" s="90"/>
      <c r="DX37" s="90"/>
      <c r="DY37" s="90"/>
      <c r="DZ37" s="90"/>
      <c r="EA37" s="90"/>
      <c r="EB37" s="90"/>
      <c r="EC37" s="90"/>
      <c r="ED37" s="90"/>
      <c r="EE37" s="90"/>
      <c r="EF37" s="90"/>
      <c r="EG37" s="90"/>
      <c r="EH37" s="90"/>
      <c r="EI37" s="90"/>
      <c r="EJ37" s="90"/>
      <c r="EK37" s="90"/>
      <c r="EL37" s="90"/>
      <c r="EM37" s="90"/>
      <c r="EN37" s="90"/>
      <c r="EO37" s="90"/>
      <c r="EP37" s="90"/>
      <c r="EQ37" s="90"/>
      <c r="ER37" s="90"/>
      <c r="ES37" s="90"/>
      <c r="ET37" s="90"/>
      <c r="EU37" s="90"/>
      <c r="EV37" s="90"/>
      <c r="EW37" s="90"/>
      <c r="EX37" s="90"/>
      <c r="EY37" s="90"/>
    </row>
    <row r="38" ht="15.75" customHeight="1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  <c r="AY38" s="90"/>
      <c r="AZ38" s="90"/>
      <c r="BA38" s="90"/>
      <c r="BB38" s="90"/>
      <c r="BC38" s="90"/>
      <c r="BD38" s="90"/>
      <c r="BE38" s="90"/>
      <c r="BF38" s="90"/>
      <c r="BG38" s="90"/>
      <c r="BH38" s="90"/>
      <c r="BI38" s="90"/>
      <c r="BJ38" s="90"/>
      <c r="BK38" s="90"/>
      <c r="BL38" s="90"/>
      <c r="BM38" s="90"/>
      <c r="BN38" s="90"/>
      <c r="BO38" s="90"/>
      <c r="BP38" s="90"/>
      <c r="BQ38" s="90"/>
      <c r="BR38" s="90"/>
      <c r="BS38" s="90"/>
      <c r="BT38" s="90"/>
      <c r="BU38" s="90"/>
      <c r="BV38" s="90"/>
      <c r="BW38" s="90"/>
      <c r="BX38" s="90"/>
      <c r="BY38" s="90"/>
      <c r="BZ38" s="90"/>
      <c r="CA38" s="90"/>
      <c r="CB38" s="90"/>
      <c r="CC38" s="90"/>
      <c r="CD38" s="90"/>
      <c r="CE38" s="90"/>
      <c r="CF38" s="90"/>
      <c r="CG38" s="90"/>
      <c r="CH38" s="90"/>
      <c r="CI38" s="90"/>
      <c r="CJ38" s="90"/>
      <c r="CK38" s="90"/>
      <c r="CL38" s="90"/>
      <c r="CM38" s="90"/>
      <c r="CN38" s="90"/>
      <c r="CO38" s="90"/>
      <c r="CP38" s="90"/>
      <c r="CQ38" s="90"/>
      <c r="CR38" s="90"/>
      <c r="CS38" s="90"/>
      <c r="CT38" s="90"/>
      <c r="CU38" s="90"/>
      <c r="CV38" s="90"/>
      <c r="CW38" s="90"/>
      <c r="CX38" s="90"/>
      <c r="CY38" s="90"/>
      <c r="CZ38" s="90"/>
      <c r="DA38" s="90"/>
      <c r="DB38" s="90"/>
      <c r="DC38" s="90"/>
      <c r="DD38" s="90"/>
      <c r="DE38" s="90"/>
      <c r="DF38" s="90"/>
      <c r="DG38" s="90"/>
      <c r="DH38" s="90"/>
      <c r="DI38" s="90"/>
      <c r="DJ38" s="90"/>
      <c r="DK38" s="90"/>
      <c r="DL38" s="90"/>
      <c r="DM38" s="90"/>
      <c r="DN38" s="90"/>
      <c r="DO38" s="90"/>
      <c r="DP38" s="90"/>
      <c r="DQ38" s="90"/>
      <c r="DR38" s="90"/>
      <c r="DS38" s="90"/>
      <c r="DT38" s="90"/>
      <c r="DU38" s="90"/>
      <c r="DV38" s="90"/>
      <c r="DW38" s="90"/>
      <c r="DX38" s="90"/>
      <c r="DY38" s="90"/>
      <c r="DZ38" s="90"/>
      <c r="EA38" s="90"/>
      <c r="EB38" s="90"/>
      <c r="EC38" s="90"/>
      <c r="ED38" s="90"/>
      <c r="EE38" s="90"/>
      <c r="EF38" s="90"/>
      <c r="EG38" s="90"/>
      <c r="EH38" s="90"/>
      <c r="EI38" s="90"/>
      <c r="EJ38" s="90"/>
      <c r="EK38" s="90"/>
      <c r="EL38" s="90"/>
      <c r="EM38" s="90"/>
      <c r="EN38" s="90"/>
      <c r="EO38" s="90"/>
      <c r="EP38" s="90"/>
      <c r="EQ38" s="90"/>
      <c r="ER38" s="90"/>
      <c r="ES38" s="90"/>
      <c r="ET38" s="90"/>
      <c r="EU38" s="90"/>
      <c r="EV38" s="90"/>
      <c r="EW38" s="90"/>
      <c r="EX38" s="90"/>
      <c r="EY38" s="90"/>
    </row>
    <row r="39" ht="15.75" customHeight="1">
      <c r="A39" s="90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Y39" s="90"/>
      <c r="AZ39" s="90"/>
      <c r="BA39" s="90"/>
      <c r="BB39" s="90"/>
      <c r="BC39" s="90"/>
      <c r="BD39" s="90"/>
      <c r="BE39" s="90"/>
      <c r="BF39" s="90"/>
      <c r="BG39" s="90"/>
      <c r="BH39" s="90"/>
      <c r="BI39" s="90"/>
      <c r="BJ39" s="90"/>
      <c r="BK39" s="90"/>
      <c r="BL39" s="90"/>
      <c r="BM39" s="90"/>
      <c r="BN39" s="90"/>
      <c r="BO39" s="90"/>
      <c r="BP39" s="90"/>
      <c r="BQ39" s="90"/>
      <c r="BR39" s="90"/>
      <c r="BS39" s="90"/>
      <c r="BT39" s="90"/>
      <c r="BU39" s="90"/>
      <c r="BV39" s="90"/>
      <c r="BW39" s="90"/>
      <c r="BX39" s="90"/>
      <c r="BY39" s="90"/>
      <c r="BZ39" s="90"/>
      <c r="CA39" s="90"/>
      <c r="CB39" s="90"/>
      <c r="CC39" s="90"/>
      <c r="CD39" s="90"/>
      <c r="CE39" s="90"/>
      <c r="CF39" s="90"/>
      <c r="CG39" s="90"/>
      <c r="CH39" s="90"/>
      <c r="CI39" s="90"/>
      <c r="CJ39" s="90"/>
      <c r="CK39" s="90"/>
      <c r="CL39" s="90"/>
      <c r="CM39" s="90"/>
      <c r="CN39" s="90"/>
      <c r="CO39" s="90"/>
      <c r="CP39" s="90"/>
      <c r="CQ39" s="90"/>
      <c r="CR39" s="90"/>
      <c r="CS39" s="90"/>
      <c r="CT39" s="90"/>
      <c r="CU39" s="90"/>
      <c r="CV39" s="90"/>
      <c r="CW39" s="90"/>
      <c r="CX39" s="90"/>
      <c r="CY39" s="90"/>
      <c r="CZ39" s="90"/>
      <c r="DA39" s="90"/>
      <c r="DB39" s="90"/>
      <c r="DC39" s="90"/>
      <c r="DD39" s="90"/>
      <c r="DE39" s="90"/>
      <c r="DF39" s="90"/>
      <c r="DG39" s="90"/>
      <c r="DH39" s="90"/>
      <c r="DI39" s="90"/>
      <c r="DJ39" s="90"/>
      <c r="DK39" s="90"/>
      <c r="DL39" s="90"/>
      <c r="DM39" s="90"/>
      <c r="DN39" s="90"/>
      <c r="DO39" s="90"/>
      <c r="DP39" s="90"/>
      <c r="DQ39" s="90"/>
      <c r="DR39" s="90"/>
      <c r="DS39" s="90"/>
      <c r="DT39" s="90"/>
      <c r="DU39" s="90"/>
      <c r="DV39" s="90"/>
      <c r="DW39" s="90"/>
      <c r="DX39" s="90"/>
      <c r="DY39" s="90"/>
      <c r="DZ39" s="90"/>
      <c r="EA39" s="90"/>
      <c r="EB39" s="90"/>
      <c r="EC39" s="90"/>
      <c r="ED39" s="90"/>
      <c r="EE39" s="90"/>
      <c r="EF39" s="90"/>
      <c r="EG39" s="90"/>
      <c r="EH39" s="90"/>
      <c r="EI39" s="90"/>
      <c r="EJ39" s="90"/>
      <c r="EK39" s="90"/>
      <c r="EL39" s="90"/>
      <c r="EM39" s="90"/>
      <c r="EN39" s="90"/>
      <c r="EO39" s="90"/>
      <c r="EP39" s="90"/>
      <c r="EQ39" s="90"/>
      <c r="ER39" s="90"/>
      <c r="ES39" s="90"/>
      <c r="ET39" s="90"/>
      <c r="EU39" s="90"/>
      <c r="EV39" s="90"/>
      <c r="EW39" s="90"/>
      <c r="EX39" s="90"/>
      <c r="EY39" s="90"/>
    </row>
    <row r="40" ht="15.75" customHeight="1">
      <c r="A40" s="90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0"/>
      <c r="BG40" s="90"/>
      <c r="BH40" s="90"/>
      <c r="BI40" s="90"/>
      <c r="BJ40" s="90"/>
      <c r="BK40" s="90"/>
      <c r="BL40" s="90"/>
      <c r="BM40" s="90"/>
      <c r="BN40" s="90"/>
      <c r="BO40" s="90"/>
      <c r="BP40" s="90"/>
      <c r="BQ40" s="90"/>
      <c r="BR40" s="90"/>
      <c r="BS40" s="90"/>
      <c r="BT40" s="90"/>
      <c r="BU40" s="90"/>
      <c r="BV40" s="90"/>
      <c r="BW40" s="90"/>
      <c r="BX40" s="90"/>
      <c r="BY40" s="90"/>
      <c r="BZ40" s="90"/>
      <c r="CA40" s="90"/>
      <c r="CB40" s="90"/>
      <c r="CC40" s="90"/>
      <c r="CD40" s="90"/>
      <c r="CE40" s="90"/>
      <c r="CF40" s="90"/>
      <c r="CG40" s="90"/>
      <c r="CH40" s="90"/>
      <c r="CI40" s="90"/>
      <c r="CJ40" s="90"/>
      <c r="CK40" s="90"/>
      <c r="CL40" s="90"/>
      <c r="CM40" s="90"/>
      <c r="CN40" s="90"/>
      <c r="CO40" s="90"/>
      <c r="CP40" s="90"/>
      <c r="CQ40" s="90"/>
      <c r="CR40" s="90"/>
      <c r="CS40" s="90"/>
      <c r="CT40" s="90"/>
      <c r="CU40" s="90"/>
      <c r="CV40" s="90"/>
      <c r="CW40" s="90"/>
      <c r="CX40" s="90"/>
      <c r="CY40" s="90"/>
      <c r="CZ40" s="90"/>
      <c r="DA40" s="90"/>
      <c r="DB40" s="90"/>
      <c r="DC40" s="90"/>
      <c r="DD40" s="90"/>
      <c r="DE40" s="90"/>
      <c r="DF40" s="90"/>
      <c r="DG40" s="90"/>
      <c r="DH40" s="90"/>
      <c r="DI40" s="90"/>
      <c r="DJ40" s="90"/>
      <c r="DK40" s="90"/>
      <c r="DL40" s="90"/>
      <c r="DM40" s="90"/>
      <c r="DN40" s="90"/>
      <c r="DO40" s="90"/>
      <c r="DP40" s="90"/>
      <c r="DQ40" s="90"/>
      <c r="DR40" s="90"/>
      <c r="DS40" s="90"/>
      <c r="DT40" s="90"/>
      <c r="DU40" s="90"/>
      <c r="DV40" s="90"/>
      <c r="DW40" s="90"/>
      <c r="DX40" s="90"/>
      <c r="DY40" s="90"/>
      <c r="DZ40" s="90"/>
      <c r="EA40" s="90"/>
      <c r="EB40" s="90"/>
      <c r="EC40" s="90"/>
      <c r="ED40" s="90"/>
      <c r="EE40" s="90"/>
      <c r="EF40" s="90"/>
      <c r="EG40" s="90"/>
      <c r="EH40" s="90"/>
      <c r="EI40" s="90"/>
      <c r="EJ40" s="90"/>
      <c r="EK40" s="90"/>
      <c r="EL40" s="90"/>
      <c r="EM40" s="90"/>
      <c r="EN40" s="90"/>
      <c r="EO40" s="90"/>
      <c r="EP40" s="90"/>
      <c r="EQ40" s="90"/>
      <c r="ER40" s="90"/>
      <c r="ES40" s="90"/>
      <c r="ET40" s="90"/>
      <c r="EU40" s="90"/>
      <c r="EV40" s="90"/>
      <c r="EW40" s="90"/>
      <c r="EX40" s="90"/>
      <c r="EY40" s="90"/>
    </row>
    <row r="41" ht="15.75" customHeight="1">
      <c r="A41" s="90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BG41" s="90"/>
      <c r="BH41" s="90"/>
      <c r="BI41" s="90"/>
      <c r="BJ41" s="90"/>
      <c r="BK41" s="90"/>
      <c r="BL41" s="90"/>
      <c r="BM41" s="90"/>
      <c r="BN41" s="90"/>
      <c r="BO41" s="90"/>
      <c r="BP41" s="90"/>
      <c r="BQ41" s="90"/>
      <c r="BR41" s="90"/>
      <c r="BS41" s="90"/>
      <c r="BT41" s="90"/>
      <c r="BU41" s="90"/>
      <c r="BV41" s="90"/>
      <c r="BW41" s="90"/>
      <c r="BX41" s="90"/>
      <c r="BY41" s="90"/>
      <c r="BZ41" s="90"/>
      <c r="CA41" s="90"/>
      <c r="CB41" s="90"/>
      <c r="CC41" s="90"/>
      <c r="CD41" s="90"/>
      <c r="CE41" s="90"/>
      <c r="CF41" s="90"/>
      <c r="CG41" s="90"/>
      <c r="CH41" s="90"/>
      <c r="CI41" s="90"/>
      <c r="CJ41" s="90"/>
      <c r="CK41" s="90"/>
      <c r="CL41" s="90"/>
      <c r="CM41" s="90"/>
      <c r="CN41" s="90"/>
      <c r="CO41" s="90"/>
      <c r="CP41" s="90"/>
      <c r="CQ41" s="90"/>
      <c r="CR41" s="90"/>
      <c r="CS41" s="90"/>
      <c r="CT41" s="90"/>
      <c r="CU41" s="90"/>
      <c r="CV41" s="90"/>
      <c r="CW41" s="90"/>
      <c r="CX41" s="90"/>
      <c r="CY41" s="90"/>
      <c r="CZ41" s="90"/>
      <c r="DA41" s="90"/>
      <c r="DB41" s="90"/>
      <c r="DC41" s="90"/>
      <c r="DD41" s="90"/>
      <c r="DE41" s="90"/>
      <c r="DF41" s="90"/>
      <c r="DG41" s="90"/>
      <c r="DH41" s="90"/>
      <c r="DI41" s="90"/>
      <c r="DJ41" s="90"/>
      <c r="DK41" s="90"/>
      <c r="DL41" s="90"/>
      <c r="DM41" s="90"/>
      <c r="DN41" s="90"/>
      <c r="DO41" s="90"/>
      <c r="DP41" s="90"/>
      <c r="DQ41" s="90"/>
      <c r="DR41" s="90"/>
      <c r="DS41" s="90"/>
      <c r="DT41" s="90"/>
      <c r="DU41" s="90"/>
      <c r="DV41" s="90"/>
      <c r="DW41" s="90"/>
      <c r="DX41" s="90"/>
      <c r="DY41" s="90"/>
      <c r="DZ41" s="90"/>
      <c r="EA41" s="90"/>
      <c r="EB41" s="90"/>
      <c r="EC41" s="90"/>
      <c r="ED41" s="90"/>
      <c r="EE41" s="90"/>
      <c r="EF41" s="90"/>
      <c r="EG41" s="90"/>
      <c r="EH41" s="90"/>
      <c r="EI41" s="90"/>
      <c r="EJ41" s="90"/>
      <c r="EK41" s="90"/>
      <c r="EL41" s="90"/>
      <c r="EM41" s="90"/>
      <c r="EN41" s="90"/>
      <c r="EO41" s="90"/>
      <c r="EP41" s="90"/>
      <c r="EQ41" s="90"/>
      <c r="ER41" s="90"/>
      <c r="ES41" s="90"/>
      <c r="ET41" s="90"/>
      <c r="EU41" s="90"/>
      <c r="EV41" s="90"/>
      <c r="EW41" s="90"/>
      <c r="EX41" s="90"/>
      <c r="EY41" s="90"/>
    </row>
    <row r="42" ht="15.75" customHeight="1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0"/>
      <c r="AU42" s="90"/>
      <c r="AV42" s="90"/>
      <c r="AW42" s="90"/>
      <c r="AX42" s="90"/>
      <c r="AY42" s="90"/>
      <c r="AZ42" s="90"/>
      <c r="BA42" s="90"/>
      <c r="BB42" s="90"/>
      <c r="BC42" s="90"/>
      <c r="BD42" s="90"/>
      <c r="BE42" s="90"/>
      <c r="BF42" s="90"/>
      <c r="BG42" s="90"/>
      <c r="BH42" s="90"/>
      <c r="BI42" s="90"/>
      <c r="BJ42" s="90"/>
      <c r="BK42" s="90"/>
      <c r="BL42" s="90"/>
      <c r="BM42" s="90"/>
      <c r="BN42" s="90"/>
      <c r="BO42" s="90"/>
      <c r="BP42" s="90"/>
      <c r="BQ42" s="90"/>
      <c r="BR42" s="90"/>
      <c r="BS42" s="90"/>
      <c r="BT42" s="90"/>
      <c r="BU42" s="90"/>
      <c r="BV42" s="90"/>
      <c r="BW42" s="90"/>
      <c r="BX42" s="90"/>
      <c r="BY42" s="90"/>
      <c r="BZ42" s="90"/>
      <c r="CA42" s="90"/>
      <c r="CB42" s="90"/>
      <c r="CC42" s="90"/>
      <c r="CD42" s="90"/>
      <c r="CE42" s="90"/>
      <c r="CF42" s="90"/>
      <c r="CG42" s="90"/>
      <c r="CH42" s="90"/>
      <c r="CI42" s="90"/>
      <c r="CJ42" s="90"/>
      <c r="CK42" s="90"/>
      <c r="CL42" s="90"/>
      <c r="CM42" s="90"/>
      <c r="CN42" s="90"/>
      <c r="CO42" s="90"/>
      <c r="CP42" s="90"/>
      <c r="CQ42" s="90"/>
      <c r="CR42" s="90"/>
      <c r="CS42" s="90"/>
      <c r="CT42" s="90"/>
      <c r="CU42" s="90"/>
      <c r="CV42" s="90"/>
      <c r="CW42" s="90"/>
      <c r="CX42" s="90"/>
      <c r="CY42" s="90"/>
      <c r="CZ42" s="90"/>
      <c r="DA42" s="90"/>
      <c r="DB42" s="90"/>
      <c r="DC42" s="90"/>
      <c r="DD42" s="90"/>
      <c r="DE42" s="90"/>
      <c r="DF42" s="90"/>
      <c r="DG42" s="90"/>
      <c r="DH42" s="90"/>
      <c r="DI42" s="90"/>
      <c r="DJ42" s="90"/>
      <c r="DK42" s="90"/>
      <c r="DL42" s="90"/>
      <c r="DM42" s="90"/>
      <c r="DN42" s="90"/>
      <c r="DO42" s="90"/>
      <c r="DP42" s="90"/>
      <c r="DQ42" s="90"/>
      <c r="DR42" s="90"/>
      <c r="DS42" s="90"/>
      <c r="DT42" s="90"/>
      <c r="DU42" s="90"/>
      <c r="DV42" s="90"/>
      <c r="DW42" s="90"/>
      <c r="DX42" s="90"/>
      <c r="DY42" s="90"/>
      <c r="DZ42" s="90"/>
      <c r="EA42" s="90"/>
      <c r="EB42" s="90"/>
      <c r="EC42" s="90"/>
      <c r="ED42" s="90"/>
      <c r="EE42" s="90"/>
      <c r="EF42" s="90"/>
      <c r="EG42" s="90"/>
      <c r="EH42" s="90"/>
      <c r="EI42" s="90"/>
      <c r="EJ42" s="90"/>
      <c r="EK42" s="90"/>
      <c r="EL42" s="90"/>
      <c r="EM42" s="90"/>
      <c r="EN42" s="90"/>
      <c r="EO42" s="90"/>
      <c r="EP42" s="90"/>
      <c r="EQ42" s="90"/>
      <c r="ER42" s="90"/>
      <c r="ES42" s="90"/>
      <c r="ET42" s="90"/>
      <c r="EU42" s="90"/>
      <c r="EV42" s="90"/>
      <c r="EW42" s="90"/>
      <c r="EX42" s="90"/>
      <c r="EY42" s="90"/>
    </row>
    <row r="43" ht="15.75" customHeight="1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0"/>
      <c r="AU43" s="90"/>
      <c r="AV43" s="90"/>
      <c r="AW43" s="90"/>
      <c r="AX43" s="90"/>
      <c r="AY43" s="90"/>
      <c r="AZ43" s="90"/>
      <c r="BA43" s="90"/>
      <c r="BB43" s="90"/>
      <c r="BC43" s="90"/>
      <c r="BD43" s="90"/>
      <c r="BE43" s="90"/>
      <c r="BF43" s="90"/>
      <c r="BG43" s="90"/>
      <c r="BH43" s="90"/>
      <c r="BI43" s="90"/>
      <c r="BJ43" s="90"/>
      <c r="BK43" s="90"/>
      <c r="BL43" s="90"/>
      <c r="BM43" s="90"/>
      <c r="BN43" s="90"/>
      <c r="BO43" s="90"/>
      <c r="BP43" s="90"/>
      <c r="BQ43" s="90"/>
      <c r="BR43" s="90"/>
      <c r="BS43" s="90"/>
      <c r="BT43" s="90"/>
      <c r="BU43" s="90"/>
      <c r="BV43" s="90"/>
      <c r="BW43" s="90"/>
      <c r="BX43" s="90"/>
      <c r="BY43" s="90"/>
      <c r="BZ43" s="90"/>
      <c r="CA43" s="90"/>
      <c r="CB43" s="90"/>
      <c r="CC43" s="90"/>
      <c r="CD43" s="90"/>
      <c r="CE43" s="90"/>
      <c r="CF43" s="90"/>
      <c r="CG43" s="90"/>
      <c r="CH43" s="90"/>
      <c r="CI43" s="90"/>
      <c r="CJ43" s="90"/>
      <c r="CK43" s="90"/>
      <c r="CL43" s="90"/>
      <c r="CM43" s="90"/>
      <c r="CN43" s="90"/>
      <c r="CO43" s="90"/>
      <c r="CP43" s="90"/>
      <c r="CQ43" s="90"/>
      <c r="CR43" s="90"/>
      <c r="CS43" s="90"/>
      <c r="CT43" s="90"/>
      <c r="CU43" s="90"/>
      <c r="CV43" s="90"/>
      <c r="CW43" s="90"/>
      <c r="CX43" s="90"/>
      <c r="CY43" s="90"/>
      <c r="CZ43" s="90"/>
      <c r="DA43" s="90"/>
      <c r="DB43" s="90"/>
      <c r="DC43" s="90"/>
      <c r="DD43" s="90"/>
      <c r="DE43" s="90"/>
      <c r="DF43" s="90"/>
      <c r="DG43" s="90"/>
      <c r="DH43" s="90"/>
      <c r="DI43" s="90"/>
      <c r="DJ43" s="90"/>
      <c r="DK43" s="90"/>
      <c r="DL43" s="90"/>
      <c r="DM43" s="90"/>
      <c r="DN43" s="90"/>
      <c r="DO43" s="90"/>
      <c r="DP43" s="90"/>
      <c r="DQ43" s="90"/>
      <c r="DR43" s="90"/>
      <c r="DS43" s="90"/>
      <c r="DT43" s="90"/>
      <c r="DU43" s="90"/>
      <c r="DV43" s="90"/>
      <c r="DW43" s="90"/>
      <c r="DX43" s="90"/>
      <c r="DY43" s="90"/>
      <c r="DZ43" s="90"/>
      <c r="EA43" s="90"/>
      <c r="EB43" s="90"/>
      <c r="EC43" s="90"/>
      <c r="ED43" s="90"/>
      <c r="EE43" s="90"/>
      <c r="EF43" s="90"/>
      <c r="EG43" s="90"/>
      <c r="EH43" s="90"/>
      <c r="EI43" s="90"/>
      <c r="EJ43" s="90"/>
      <c r="EK43" s="90"/>
      <c r="EL43" s="90"/>
      <c r="EM43" s="90"/>
      <c r="EN43" s="90"/>
      <c r="EO43" s="90"/>
      <c r="EP43" s="90"/>
      <c r="EQ43" s="90"/>
      <c r="ER43" s="90"/>
      <c r="ES43" s="90"/>
      <c r="ET43" s="90"/>
      <c r="EU43" s="90"/>
      <c r="EV43" s="90"/>
      <c r="EW43" s="90"/>
      <c r="EX43" s="90"/>
      <c r="EY43" s="90"/>
    </row>
    <row r="44" ht="15.75" customHeight="1">
      <c r="A44" s="90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0"/>
      <c r="AU44" s="90"/>
      <c r="AV44" s="90"/>
      <c r="AW44" s="90"/>
      <c r="AX44" s="90"/>
      <c r="AY44" s="90"/>
      <c r="AZ44" s="90"/>
      <c r="BA44" s="90"/>
      <c r="BB44" s="90"/>
      <c r="BC44" s="90"/>
      <c r="BD44" s="90"/>
      <c r="BE44" s="90"/>
      <c r="BF44" s="90"/>
      <c r="BG44" s="90"/>
      <c r="BH44" s="90"/>
      <c r="BI44" s="90"/>
      <c r="BJ44" s="90"/>
      <c r="BK44" s="90"/>
      <c r="BL44" s="90"/>
      <c r="BM44" s="90"/>
      <c r="BN44" s="90"/>
      <c r="BO44" s="90"/>
      <c r="BP44" s="90"/>
      <c r="BQ44" s="90"/>
      <c r="BR44" s="90"/>
      <c r="BS44" s="90"/>
      <c r="BT44" s="90"/>
      <c r="BU44" s="90"/>
      <c r="BV44" s="90"/>
      <c r="BW44" s="90"/>
      <c r="BX44" s="90"/>
      <c r="BY44" s="90"/>
      <c r="BZ44" s="90"/>
      <c r="CA44" s="90"/>
      <c r="CB44" s="90"/>
      <c r="CC44" s="90"/>
      <c r="CD44" s="90"/>
      <c r="CE44" s="90"/>
      <c r="CF44" s="90"/>
      <c r="CG44" s="90"/>
      <c r="CH44" s="90"/>
      <c r="CI44" s="90"/>
      <c r="CJ44" s="90"/>
      <c r="CK44" s="90"/>
      <c r="CL44" s="90"/>
      <c r="CM44" s="90"/>
      <c r="CN44" s="90"/>
      <c r="CO44" s="90"/>
      <c r="CP44" s="90"/>
      <c r="CQ44" s="90"/>
      <c r="CR44" s="90"/>
      <c r="CS44" s="90"/>
      <c r="CT44" s="90"/>
      <c r="CU44" s="90"/>
      <c r="CV44" s="90"/>
      <c r="CW44" s="90"/>
      <c r="CX44" s="90"/>
      <c r="CY44" s="90"/>
      <c r="CZ44" s="90"/>
      <c r="DA44" s="90"/>
      <c r="DB44" s="90"/>
      <c r="DC44" s="90"/>
      <c r="DD44" s="90"/>
      <c r="DE44" s="90"/>
      <c r="DF44" s="90"/>
      <c r="DG44" s="90"/>
      <c r="DH44" s="90"/>
      <c r="DI44" s="90"/>
      <c r="DJ44" s="90"/>
      <c r="DK44" s="90"/>
      <c r="DL44" s="90"/>
      <c r="DM44" s="90"/>
      <c r="DN44" s="90"/>
      <c r="DO44" s="90"/>
      <c r="DP44" s="90"/>
      <c r="DQ44" s="90"/>
      <c r="DR44" s="90"/>
      <c r="DS44" s="90"/>
      <c r="DT44" s="90"/>
      <c r="DU44" s="90"/>
      <c r="DV44" s="90"/>
      <c r="DW44" s="90"/>
      <c r="DX44" s="90"/>
      <c r="DY44" s="90"/>
      <c r="DZ44" s="90"/>
      <c r="EA44" s="90"/>
      <c r="EB44" s="90"/>
      <c r="EC44" s="90"/>
      <c r="ED44" s="90"/>
      <c r="EE44" s="90"/>
      <c r="EF44" s="90"/>
      <c r="EG44" s="90"/>
      <c r="EH44" s="90"/>
      <c r="EI44" s="90"/>
      <c r="EJ44" s="90"/>
      <c r="EK44" s="90"/>
      <c r="EL44" s="90"/>
      <c r="EM44" s="90"/>
      <c r="EN44" s="90"/>
      <c r="EO44" s="90"/>
      <c r="EP44" s="90"/>
      <c r="EQ44" s="90"/>
      <c r="ER44" s="90"/>
      <c r="ES44" s="90"/>
      <c r="ET44" s="90"/>
      <c r="EU44" s="90"/>
      <c r="EV44" s="90"/>
      <c r="EW44" s="90"/>
      <c r="EX44" s="90"/>
      <c r="EY44" s="90"/>
    </row>
    <row r="45" ht="15.75" customHeight="1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  <c r="AT45" s="90"/>
      <c r="AU45" s="90"/>
      <c r="AV45" s="90"/>
      <c r="AW45" s="90"/>
      <c r="AX45" s="90"/>
      <c r="AY45" s="90"/>
      <c r="AZ45" s="90"/>
      <c r="BA45" s="90"/>
      <c r="BB45" s="90"/>
      <c r="BC45" s="90"/>
      <c r="BD45" s="90"/>
      <c r="BE45" s="90"/>
      <c r="BF45" s="90"/>
      <c r="BG45" s="90"/>
      <c r="BH45" s="90"/>
      <c r="BI45" s="90"/>
      <c r="BJ45" s="90"/>
      <c r="BK45" s="90"/>
      <c r="BL45" s="90"/>
      <c r="BM45" s="90"/>
      <c r="BN45" s="90"/>
      <c r="BO45" s="90"/>
      <c r="BP45" s="90"/>
      <c r="BQ45" s="90"/>
      <c r="BR45" s="90"/>
      <c r="BS45" s="90"/>
      <c r="BT45" s="90"/>
      <c r="BU45" s="90"/>
      <c r="BV45" s="90"/>
      <c r="BW45" s="90"/>
      <c r="BX45" s="90"/>
      <c r="BY45" s="90"/>
      <c r="BZ45" s="90"/>
      <c r="CA45" s="90"/>
      <c r="CB45" s="90"/>
      <c r="CC45" s="90"/>
      <c r="CD45" s="90"/>
      <c r="CE45" s="90"/>
      <c r="CF45" s="90"/>
      <c r="CG45" s="90"/>
      <c r="CH45" s="90"/>
      <c r="CI45" s="90"/>
      <c r="CJ45" s="90"/>
      <c r="CK45" s="90"/>
      <c r="CL45" s="90"/>
      <c r="CM45" s="90"/>
      <c r="CN45" s="90"/>
      <c r="CO45" s="90"/>
      <c r="CP45" s="90"/>
      <c r="CQ45" s="90"/>
      <c r="CR45" s="90"/>
      <c r="CS45" s="90"/>
      <c r="CT45" s="90"/>
      <c r="CU45" s="90"/>
      <c r="CV45" s="90"/>
      <c r="CW45" s="90"/>
      <c r="CX45" s="90"/>
      <c r="CY45" s="90"/>
      <c r="CZ45" s="90"/>
      <c r="DA45" s="90"/>
      <c r="DB45" s="90"/>
      <c r="DC45" s="90"/>
      <c r="DD45" s="90"/>
      <c r="DE45" s="90"/>
      <c r="DF45" s="90"/>
      <c r="DG45" s="90"/>
      <c r="DH45" s="90"/>
      <c r="DI45" s="90"/>
      <c r="DJ45" s="90"/>
      <c r="DK45" s="90"/>
      <c r="DL45" s="90"/>
      <c r="DM45" s="90"/>
      <c r="DN45" s="90"/>
      <c r="DO45" s="90"/>
      <c r="DP45" s="90"/>
      <c r="DQ45" s="90"/>
      <c r="DR45" s="90"/>
      <c r="DS45" s="90"/>
      <c r="DT45" s="90"/>
      <c r="DU45" s="90"/>
      <c r="DV45" s="90"/>
      <c r="DW45" s="90"/>
      <c r="DX45" s="90"/>
      <c r="DY45" s="90"/>
      <c r="DZ45" s="90"/>
      <c r="EA45" s="90"/>
      <c r="EB45" s="90"/>
      <c r="EC45" s="90"/>
      <c r="ED45" s="90"/>
      <c r="EE45" s="90"/>
      <c r="EF45" s="90"/>
      <c r="EG45" s="90"/>
      <c r="EH45" s="90"/>
      <c r="EI45" s="90"/>
      <c r="EJ45" s="90"/>
      <c r="EK45" s="90"/>
      <c r="EL45" s="90"/>
      <c r="EM45" s="90"/>
      <c r="EN45" s="90"/>
      <c r="EO45" s="90"/>
      <c r="EP45" s="90"/>
      <c r="EQ45" s="90"/>
      <c r="ER45" s="90"/>
      <c r="ES45" s="90"/>
      <c r="ET45" s="90"/>
      <c r="EU45" s="90"/>
      <c r="EV45" s="90"/>
      <c r="EW45" s="90"/>
      <c r="EX45" s="90"/>
      <c r="EY45" s="90"/>
    </row>
    <row r="46" ht="15.75" customHeight="1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  <c r="AR46" s="90"/>
      <c r="AS46" s="90"/>
      <c r="AT46" s="90"/>
      <c r="AU46" s="90"/>
      <c r="AV46" s="90"/>
      <c r="AW46" s="90"/>
      <c r="AX46" s="90"/>
      <c r="AY46" s="90"/>
      <c r="AZ46" s="90"/>
      <c r="BA46" s="90"/>
      <c r="BB46" s="90"/>
      <c r="BC46" s="90"/>
      <c r="BD46" s="90"/>
      <c r="BE46" s="90"/>
      <c r="BF46" s="90"/>
      <c r="BG46" s="90"/>
      <c r="BH46" s="90"/>
      <c r="BI46" s="90"/>
      <c r="BJ46" s="90"/>
      <c r="BK46" s="90"/>
      <c r="BL46" s="90"/>
      <c r="BM46" s="90"/>
      <c r="BN46" s="90"/>
      <c r="BO46" s="90"/>
      <c r="BP46" s="90"/>
      <c r="BQ46" s="90"/>
      <c r="BR46" s="90"/>
      <c r="BS46" s="90"/>
      <c r="BT46" s="90"/>
      <c r="BU46" s="90"/>
      <c r="BV46" s="90"/>
      <c r="BW46" s="90"/>
      <c r="BX46" s="90"/>
      <c r="BY46" s="90"/>
      <c r="BZ46" s="90"/>
      <c r="CA46" s="90"/>
      <c r="CB46" s="90"/>
      <c r="CC46" s="90"/>
      <c r="CD46" s="90"/>
      <c r="CE46" s="90"/>
      <c r="CF46" s="90"/>
      <c r="CG46" s="90"/>
      <c r="CH46" s="90"/>
      <c r="CI46" s="90"/>
      <c r="CJ46" s="90"/>
      <c r="CK46" s="90"/>
      <c r="CL46" s="90"/>
      <c r="CM46" s="90"/>
      <c r="CN46" s="90"/>
      <c r="CO46" s="90"/>
      <c r="CP46" s="90"/>
      <c r="CQ46" s="90"/>
      <c r="CR46" s="90"/>
      <c r="CS46" s="90"/>
      <c r="CT46" s="90"/>
      <c r="CU46" s="90"/>
      <c r="CV46" s="90"/>
      <c r="CW46" s="90"/>
      <c r="CX46" s="90"/>
      <c r="CY46" s="90"/>
      <c r="CZ46" s="90"/>
      <c r="DA46" s="90"/>
      <c r="DB46" s="90"/>
      <c r="DC46" s="90"/>
      <c r="DD46" s="90"/>
      <c r="DE46" s="90"/>
      <c r="DF46" s="90"/>
      <c r="DG46" s="90"/>
      <c r="DH46" s="90"/>
      <c r="DI46" s="90"/>
      <c r="DJ46" s="90"/>
      <c r="DK46" s="90"/>
      <c r="DL46" s="90"/>
      <c r="DM46" s="90"/>
      <c r="DN46" s="90"/>
      <c r="DO46" s="90"/>
      <c r="DP46" s="90"/>
      <c r="DQ46" s="90"/>
      <c r="DR46" s="90"/>
      <c r="DS46" s="90"/>
      <c r="DT46" s="90"/>
      <c r="DU46" s="90"/>
      <c r="DV46" s="90"/>
      <c r="DW46" s="90"/>
      <c r="DX46" s="90"/>
      <c r="DY46" s="90"/>
      <c r="DZ46" s="90"/>
      <c r="EA46" s="90"/>
      <c r="EB46" s="90"/>
      <c r="EC46" s="90"/>
      <c r="ED46" s="90"/>
      <c r="EE46" s="90"/>
      <c r="EF46" s="90"/>
      <c r="EG46" s="90"/>
      <c r="EH46" s="90"/>
      <c r="EI46" s="90"/>
      <c r="EJ46" s="90"/>
      <c r="EK46" s="90"/>
      <c r="EL46" s="90"/>
      <c r="EM46" s="90"/>
      <c r="EN46" s="90"/>
      <c r="EO46" s="90"/>
      <c r="EP46" s="90"/>
      <c r="EQ46" s="90"/>
      <c r="ER46" s="90"/>
      <c r="ES46" s="90"/>
      <c r="ET46" s="90"/>
      <c r="EU46" s="90"/>
      <c r="EV46" s="90"/>
      <c r="EW46" s="90"/>
      <c r="EX46" s="90"/>
      <c r="EY46" s="90"/>
    </row>
    <row r="47" ht="15.75" customHeight="1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0"/>
      <c r="AU47" s="90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0"/>
      <c r="BG47" s="90"/>
      <c r="BH47" s="90"/>
      <c r="BI47" s="90"/>
      <c r="BJ47" s="90"/>
      <c r="BK47" s="90"/>
      <c r="BL47" s="90"/>
      <c r="BM47" s="90"/>
      <c r="BN47" s="90"/>
      <c r="BO47" s="90"/>
      <c r="BP47" s="90"/>
      <c r="BQ47" s="90"/>
      <c r="BR47" s="90"/>
      <c r="BS47" s="90"/>
      <c r="BT47" s="90"/>
      <c r="BU47" s="90"/>
      <c r="BV47" s="90"/>
      <c r="BW47" s="90"/>
      <c r="BX47" s="90"/>
      <c r="BY47" s="90"/>
      <c r="BZ47" s="90"/>
      <c r="CA47" s="90"/>
      <c r="CB47" s="90"/>
      <c r="CC47" s="90"/>
      <c r="CD47" s="90"/>
      <c r="CE47" s="90"/>
      <c r="CF47" s="90"/>
      <c r="CG47" s="90"/>
      <c r="CH47" s="90"/>
      <c r="CI47" s="90"/>
      <c r="CJ47" s="90"/>
      <c r="CK47" s="90"/>
      <c r="CL47" s="90"/>
      <c r="CM47" s="90"/>
      <c r="CN47" s="90"/>
      <c r="CO47" s="90"/>
      <c r="CP47" s="90"/>
      <c r="CQ47" s="90"/>
      <c r="CR47" s="90"/>
      <c r="CS47" s="90"/>
      <c r="CT47" s="90"/>
      <c r="CU47" s="90"/>
      <c r="CV47" s="90"/>
      <c r="CW47" s="90"/>
      <c r="CX47" s="90"/>
      <c r="CY47" s="90"/>
      <c r="CZ47" s="90"/>
      <c r="DA47" s="90"/>
      <c r="DB47" s="90"/>
      <c r="DC47" s="90"/>
      <c r="DD47" s="90"/>
      <c r="DE47" s="90"/>
      <c r="DF47" s="90"/>
      <c r="DG47" s="90"/>
      <c r="DH47" s="90"/>
      <c r="DI47" s="90"/>
      <c r="DJ47" s="90"/>
      <c r="DK47" s="90"/>
      <c r="DL47" s="90"/>
      <c r="DM47" s="90"/>
      <c r="DN47" s="90"/>
      <c r="DO47" s="90"/>
      <c r="DP47" s="90"/>
      <c r="DQ47" s="90"/>
      <c r="DR47" s="90"/>
      <c r="DS47" s="90"/>
      <c r="DT47" s="90"/>
      <c r="DU47" s="90"/>
      <c r="DV47" s="90"/>
      <c r="DW47" s="90"/>
      <c r="DX47" s="90"/>
      <c r="DY47" s="90"/>
      <c r="DZ47" s="90"/>
      <c r="EA47" s="90"/>
      <c r="EB47" s="90"/>
      <c r="EC47" s="90"/>
      <c r="ED47" s="90"/>
      <c r="EE47" s="90"/>
      <c r="EF47" s="90"/>
      <c r="EG47" s="90"/>
      <c r="EH47" s="90"/>
      <c r="EI47" s="90"/>
      <c r="EJ47" s="90"/>
      <c r="EK47" s="90"/>
      <c r="EL47" s="90"/>
      <c r="EM47" s="90"/>
      <c r="EN47" s="90"/>
      <c r="EO47" s="90"/>
      <c r="EP47" s="90"/>
      <c r="EQ47" s="90"/>
      <c r="ER47" s="90"/>
      <c r="ES47" s="90"/>
      <c r="ET47" s="90"/>
      <c r="EU47" s="90"/>
      <c r="EV47" s="90"/>
      <c r="EW47" s="90"/>
      <c r="EX47" s="90"/>
      <c r="EY47" s="90"/>
    </row>
    <row r="48" ht="15.75" customHeight="1">
      <c r="A48" s="90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0"/>
      <c r="AS48" s="90"/>
      <c r="AT48" s="90"/>
      <c r="AU48" s="90"/>
      <c r="AV48" s="90"/>
      <c r="AW48" s="90"/>
      <c r="AX48" s="90"/>
      <c r="AY48" s="90"/>
      <c r="AZ48" s="90"/>
      <c r="BA48" s="90"/>
      <c r="BB48" s="90"/>
      <c r="BC48" s="90"/>
      <c r="BD48" s="90"/>
      <c r="BE48" s="90"/>
      <c r="BF48" s="90"/>
      <c r="BG48" s="90"/>
      <c r="BH48" s="90"/>
      <c r="BI48" s="90"/>
      <c r="BJ48" s="90"/>
      <c r="BK48" s="90"/>
      <c r="BL48" s="90"/>
      <c r="BM48" s="90"/>
      <c r="BN48" s="90"/>
      <c r="BO48" s="90"/>
      <c r="BP48" s="90"/>
      <c r="BQ48" s="90"/>
      <c r="BR48" s="90"/>
      <c r="BS48" s="90"/>
      <c r="BT48" s="90"/>
      <c r="BU48" s="90"/>
      <c r="BV48" s="90"/>
      <c r="BW48" s="90"/>
      <c r="BX48" s="90"/>
      <c r="BY48" s="90"/>
      <c r="BZ48" s="90"/>
      <c r="CA48" s="90"/>
      <c r="CB48" s="90"/>
      <c r="CC48" s="90"/>
      <c r="CD48" s="90"/>
      <c r="CE48" s="90"/>
      <c r="CF48" s="90"/>
      <c r="CG48" s="90"/>
      <c r="CH48" s="90"/>
      <c r="CI48" s="90"/>
      <c r="CJ48" s="90"/>
      <c r="CK48" s="90"/>
      <c r="CL48" s="90"/>
      <c r="CM48" s="90"/>
      <c r="CN48" s="90"/>
      <c r="CO48" s="90"/>
      <c r="CP48" s="90"/>
      <c r="CQ48" s="90"/>
      <c r="CR48" s="90"/>
      <c r="CS48" s="90"/>
      <c r="CT48" s="90"/>
      <c r="CU48" s="90"/>
      <c r="CV48" s="90"/>
      <c r="CW48" s="90"/>
      <c r="CX48" s="90"/>
      <c r="CY48" s="90"/>
      <c r="CZ48" s="90"/>
      <c r="DA48" s="90"/>
      <c r="DB48" s="90"/>
      <c r="DC48" s="90"/>
      <c r="DD48" s="90"/>
      <c r="DE48" s="90"/>
      <c r="DF48" s="90"/>
      <c r="DG48" s="90"/>
      <c r="DH48" s="90"/>
      <c r="DI48" s="90"/>
      <c r="DJ48" s="90"/>
      <c r="DK48" s="90"/>
      <c r="DL48" s="90"/>
      <c r="DM48" s="90"/>
      <c r="DN48" s="90"/>
      <c r="DO48" s="90"/>
      <c r="DP48" s="90"/>
      <c r="DQ48" s="90"/>
      <c r="DR48" s="90"/>
      <c r="DS48" s="90"/>
      <c r="DT48" s="90"/>
      <c r="DU48" s="90"/>
      <c r="DV48" s="90"/>
      <c r="DW48" s="90"/>
      <c r="DX48" s="90"/>
      <c r="DY48" s="90"/>
      <c r="DZ48" s="90"/>
      <c r="EA48" s="90"/>
      <c r="EB48" s="90"/>
      <c r="EC48" s="90"/>
      <c r="ED48" s="90"/>
      <c r="EE48" s="90"/>
      <c r="EF48" s="90"/>
      <c r="EG48" s="90"/>
      <c r="EH48" s="90"/>
      <c r="EI48" s="90"/>
      <c r="EJ48" s="90"/>
      <c r="EK48" s="90"/>
      <c r="EL48" s="90"/>
      <c r="EM48" s="90"/>
      <c r="EN48" s="90"/>
      <c r="EO48" s="90"/>
      <c r="EP48" s="90"/>
      <c r="EQ48" s="90"/>
      <c r="ER48" s="90"/>
      <c r="ES48" s="90"/>
      <c r="ET48" s="90"/>
      <c r="EU48" s="90"/>
      <c r="EV48" s="90"/>
      <c r="EW48" s="90"/>
      <c r="EX48" s="90"/>
      <c r="EY48" s="90"/>
    </row>
    <row r="49" ht="15.75" customHeight="1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0"/>
      <c r="AQ49" s="90"/>
      <c r="AR49" s="90"/>
      <c r="AS49" s="90"/>
      <c r="AT49" s="90"/>
      <c r="AU49" s="90"/>
      <c r="AV49" s="90"/>
      <c r="AW49" s="90"/>
      <c r="AX49" s="90"/>
      <c r="AY49" s="90"/>
      <c r="AZ49" s="90"/>
      <c r="BA49" s="90"/>
      <c r="BB49" s="90"/>
      <c r="BC49" s="90"/>
      <c r="BD49" s="90"/>
      <c r="BE49" s="90"/>
      <c r="BF49" s="90"/>
      <c r="BG49" s="90"/>
      <c r="BH49" s="90"/>
      <c r="BI49" s="90"/>
      <c r="BJ49" s="90"/>
      <c r="BK49" s="90"/>
      <c r="BL49" s="90"/>
      <c r="BM49" s="90"/>
      <c r="BN49" s="90"/>
      <c r="BO49" s="90"/>
      <c r="BP49" s="90"/>
      <c r="BQ49" s="90"/>
      <c r="BR49" s="90"/>
      <c r="BS49" s="90"/>
      <c r="BT49" s="90"/>
      <c r="BU49" s="90"/>
      <c r="BV49" s="90"/>
      <c r="BW49" s="90"/>
      <c r="BX49" s="90"/>
      <c r="BY49" s="90"/>
      <c r="BZ49" s="90"/>
      <c r="CA49" s="90"/>
      <c r="CB49" s="90"/>
      <c r="CC49" s="90"/>
      <c r="CD49" s="90"/>
      <c r="CE49" s="90"/>
      <c r="CF49" s="90"/>
      <c r="CG49" s="90"/>
      <c r="CH49" s="90"/>
      <c r="CI49" s="90"/>
      <c r="CJ49" s="90"/>
      <c r="CK49" s="90"/>
      <c r="CL49" s="90"/>
      <c r="CM49" s="90"/>
      <c r="CN49" s="90"/>
      <c r="CO49" s="90"/>
      <c r="CP49" s="90"/>
      <c r="CQ49" s="90"/>
      <c r="CR49" s="90"/>
      <c r="CS49" s="90"/>
      <c r="CT49" s="90"/>
      <c r="CU49" s="90"/>
      <c r="CV49" s="90"/>
      <c r="CW49" s="90"/>
      <c r="CX49" s="90"/>
      <c r="CY49" s="90"/>
      <c r="CZ49" s="90"/>
      <c r="DA49" s="90"/>
      <c r="DB49" s="90"/>
      <c r="DC49" s="90"/>
      <c r="DD49" s="90"/>
      <c r="DE49" s="90"/>
      <c r="DF49" s="90"/>
      <c r="DG49" s="90"/>
      <c r="DH49" s="90"/>
      <c r="DI49" s="90"/>
      <c r="DJ49" s="90"/>
      <c r="DK49" s="90"/>
      <c r="DL49" s="90"/>
      <c r="DM49" s="90"/>
      <c r="DN49" s="90"/>
      <c r="DO49" s="90"/>
      <c r="DP49" s="90"/>
      <c r="DQ49" s="90"/>
      <c r="DR49" s="90"/>
      <c r="DS49" s="90"/>
      <c r="DT49" s="90"/>
      <c r="DU49" s="90"/>
      <c r="DV49" s="90"/>
      <c r="DW49" s="90"/>
      <c r="DX49" s="90"/>
      <c r="DY49" s="90"/>
      <c r="DZ49" s="90"/>
      <c r="EA49" s="90"/>
      <c r="EB49" s="90"/>
      <c r="EC49" s="90"/>
      <c r="ED49" s="90"/>
      <c r="EE49" s="90"/>
      <c r="EF49" s="90"/>
      <c r="EG49" s="90"/>
      <c r="EH49" s="90"/>
      <c r="EI49" s="90"/>
      <c r="EJ49" s="90"/>
      <c r="EK49" s="90"/>
      <c r="EL49" s="90"/>
      <c r="EM49" s="90"/>
      <c r="EN49" s="90"/>
      <c r="EO49" s="90"/>
      <c r="EP49" s="90"/>
      <c r="EQ49" s="90"/>
      <c r="ER49" s="90"/>
      <c r="ES49" s="90"/>
      <c r="ET49" s="90"/>
      <c r="EU49" s="90"/>
      <c r="EV49" s="90"/>
      <c r="EW49" s="90"/>
      <c r="EX49" s="90"/>
      <c r="EY49" s="90"/>
    </row>
    <row r="50" ht="15.75" customHeight="1">
      <c r="A50" s="90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  <c r="AT50" s="90"/>
      <c r="AU50" s="90"/>
      <c r="AV50" s="90"/>
      <c r="AW50" s="90"/>
      <c r="AX50" s="90"/>
      <c r="AY50" s="90"/>
      <c r="AZ50" s="90"/>
      <c r="BA50" s="90"/>
      <c r="BB50" s="90"/>
      <c r="BC50" s="90"/>
      <c r="BD50" s="90"/>
      <c r="BE50" s="90"/>
      <c r="BF50" s="90"/>
      <c r="BG50" s="90"/>
      <c r="BH50" s="90"/>
      <c r="BI50" s="90"/>
      <c r="BJ50" s="90"/>
      <c r="BK50" s="90"/>
      <c r="BL50" s="90"/>
      <c r="BM50" s="90"/>
      <c r="BN50" s="90"/>
      <c r="BO50" s="90"/>
      <c r="BP50" s="90"/>
      <c r="BQ50" s="90"/>
      <c r="BR50" s="90"/>
      <c r="BS50" s="90"/>
      <c r="BT50" s="90"/>
      <c r="BU50" s="90"/>
      <c r="BV50" s="90"/>
      <c r="BW50" s="90"/>
      <c r="BX50" s="90"/>
      <c r="BY50" s="90"/>
      <c r="BZ50" s="90"/>
      <c r="CA50" s="90"/>
      <c r="CB50" s="90"/>
      <c r="CC50" s="90"/>
      <c r="CD50" s="90"/>
      <c r="CE50" s="90"/>
      <c r="CF50" s="90"/>
      <c r="CG50" s="90"/>
      <c r="CH50" s="90"/>
      <c r="CI50" s="90"/>
      <c r="CJ50" s="90"/>
      <c r="CK50" s="90"/>
      <c r="CL50" s="90"/>
      <c r="CM50" s="90"/>
      <c r="CN50" s="90"/>
      <c r="CO50" s="90"/>
      <c r="CP50" s="90"/>
      <c r="CQ50" s="90"/>
      <c r="CR50" s="90"/>
      <c r="CS50" s="90"/>
      <c r="CT50" s="90"/>
      <c r="CU50" s="90"/>
      <c r="CV50" s="90"/>
      <c r="CW50" s="90"/>
      <c r="CX50" s="90"/>
      <c r="CY50" s="90"/>
      <c r="CZ50" s="90"/>
      <c r="DA50" s="90"/>
      <c r="DB50" s="90"/>
      <c r="DC50" s="90"/>
      <c r="DD50" s="90"/>
      <c r="DE50" s="90"/>
      <c r="DF50" s="90"/>
      <c r="DG50" s="90"/>
      <c r="DH50" s="90"/>
      <c r="DI50" s="90"/>
      <c r="DJ50" s="90"/>
      <c r="DK50" s="90"/>
      <c r="DL50" s="90"/>
      <c r="DM50" s="90"/>
      <c r="DN50" s="90"/>
      <c r="DO50" s="90"/>
      <c r="DP50" s="90"/>
      <c r="DQ50" s="90"/>
      <c r="DR50" s="90"/>
      <c r="DS50" s="90"/>
      <c r="DT50" s="90"/>
      <c r="DU50" s="90"/>
      <c r="DV50" s="90"/>
      <c r="DW50" s="90"/>
      <c r="DX50" s="90"/>
      <c r="DY50" s="90"/>
      <c r="DZ50" s="90"/>
      <c r="EA50" s="90"/>
      <c r="EB50" s="90"/>
      <c r="EC50" s="90"/>
      <c r="ED50" s="90"/>
      <c r="EE50" s="90"/>
      <c r="EF50" s="90"/>
      <c r="EG50" s="90"/>
      <c r="EH50" s="90"/>
      <c r="EI50" s="90"/>
      <c r="EJ50" s="90"/>
      <c r="EK50" s="90"/>
      <c r="EL50" s="90"/>
      <c r="EM50" s="90"/>
      <c r="EN50" s="90"/>
      <c r="EO50" s="90"/>
      <c r="EP50" s="90"/>
      <c r="EQ50" s="90"/>
      <c r="ER50" s="90"/>
      <c r="ES50" s="90"/>
      <c r="ET50" s="90"/>
      <c r="EU50" s="90"/>
      <c r="EV50" s="90"/>
      <c r="EW50" s="90"/>
      <c r="EX50" s="90"/>
      <c r="EY50" s="90"/>
    </row>
    <row r="51" ht="15.75" customHeight="1">
      <c r="A51" s="90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0"/>
      <c r="AU51" s="90"/>
      <c r="AV51" s="90"/>
      <c r="AW51" s="90"/>
      <c r="AX51" s="90"/>
      <c r="AY51" s="90"/>
      <c r="AZ51" s="90"/>
      <c r="BA51" s="90"/>
      <c r="BB51" s="90"/>
      <c r="BC51" s="90"/>
      <c r="BD51" s="90"/>
      <c r="BE51" s="90"/>
      <c r="BF51" s="90"/>
      <c r="BG51" s="90"/>
      <c r="BH51" s="90"/>
      <c r="BI51" s="90"/>
      <c r="BJ51" s="90"/>
      <c r="BK51" s="90"/>
      <c r="BL51" s="90"/>
      <c r="BM51" s="90"/>
      <c r="BN51" s="90"/>
      <c r="BO51" s="90"/>
      <c r="BP51" s="90"/>
      <c r="BQ51" s="90"/>
      <c r="BR51" s="90"/>
      <c r="BS51" s="90"/>
      <c r="BT51" s="90"/>
      <c r="BU51" s="90"/>
      <c r="BV51" s="90"/>
      <c r="BW51" s="90"/>
      <c r="BX51" s="90"/>
      <c r="BY51" s="90"/>
      <c r="BZ51" s="90"/>
      <c r="CA51" s="90"/>
      <c r="CB51" s="90"/>
      <c r="CC51" s="90"/>
      <c r="CD51" s="90"/>
      <c r="CE51" s="90"/>
      <c r="CF51" s="90"/>
      <c r="CG51" s="90"/>
      <c r="CH51" s="90"/>
      <c r="CI51" s="90"/>
      <c r="CJ51" s="90"/>
      <c r="CK51" s="90"/>
      <c r="CL51" s="90"/>
      <c r="CM51" s="90"/>
      <c r="CN51" s="90"/>
      <c r="CO51" s="90"/>
      <c r="CP51" s="90"/>
      <c r="CQ51" s="90"/>
      <c r="CR51" s="90"/>
      <c r="CS51" s="90"/>
      <c r="CT51" s="90"/>
      <c r="CU51" s="90"/>
      <c r="CV51" s="90"/>
      <c r="CW51" s="90"/>
      <c r="CX51" s="90"/>
      <c r="CY51" s="90"/>
      <c r="CZ51" s="90"/>
      <c r="DA51" s="90"/>
      <c r="DB51" s="90"/>
      <c r="DC51" s="90"/>
      <c r="DD51" s="90"/>
      <c r="DE51" s="90"/>
      <c r="DF51" s="90"/>
      <c r="DG51" s="90"/>
      <c r="DH51" s="90"/>
      <c r="DI51" s="90"/>
      <c r="DJ51" s="90"/>
      <c r="DK51" s="90"/>
      <c r="DL51" s="90"/>
      <c r="DM51" s="90"/>
      <c r="DN51" s="90"/>
      <c r="DO51" s="90"/>
      <c r="DP51" s="90"/>
      <c r="DQ51" s="90"/>
      <c r="DR51" s="90"/>
      <c r="DS51" s="90"/>
      <c r="DT51" s="90"/>
      <c r="DU51" s="90"/>
      <c r="DV51" s="90"/>
      <c r="DW51" s="90"/>
      <c r="DX51" s="90"/>
      <c r="DY51" s="90"/>
      <c r="DZ51" s="90"/>
      <c r="EA51" s="90"/>
      <c r="EB51" s="90"/>
      <c r="EC51" s="90"/>
      <c r="ED51" s="90"/>
      <c r="EE51" s="90"/>
      <c r="EF51" s="90"/>
      <c r="EG51" s="90"/>
      <c r="EH51" s="90"/>
      <c r="EI51" s="90"/>
      <c r="EJ51" s="90"/>
      <c r="EK51" s="90"/>
      <c r="EL51" s="90"/>
      <c r="EM51" s="90"/>
      <c r="EN51" s="90"/>
      <c r="EO51" s="90"/>
      <c r="EP51" s="90"/>
      <c r="EQ51" s="90"/>
      <c r="ER51" s="90"/>
      <c r="ES51" s="90"/>
      <c r="ET51" s="90"/>
      <c r="EU51" s="90"/>
      <c r="EV51" s="90"/>
      <c r="EW51" s="90"/>
      <c r="EX51" s="90"/>
      <c r="EY51" s="90"/>
    </row>
    <row r="52" ht="15.75" customHeight="1">
      <c r="A52" s="90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  <c r="AT52" s="90"/>
      <c r="AU52" s="90"/>
      <c r="AV52" s="90"/>
      <c r="AW52" s="90"/>
      <c r="AX52" s="90"/>
      <c r="AY52" s="90"/>
      <c r="AZ52" s="90"/>
      <c r="BA52" s="90"/>
      <c r="BB52" s="90"/>
      <c r="BC52" s="90"/>
      <c r="BD52" s="90"/>
      <c r="BE52" s="90"/>
      <c r="BF52" s="90"/>
      <c r="BG52" s="90"/>
      <c r="BH52" s="90"/>
      <c r="BI52" s="90"/>
      <c r="BJ52" s="90"/>
      <c r="BK52" s="90"/>
      <c r="BL52" s="90"/>
      <c r="BM52" s="90"/>
      <c r="BN52" s="90"/>
      <c r="BO52" s="90"/>
      <c r="BP52" s="90"/>
      <c r="BQ52" s="90"/>
      <c r="BR52" s="90"/>
      <c r="BS52" s="90"/>
      <c r="BT52" s="90"/>
      <c r="BU52" s="90"/>
      <c r="BV52" s="90"/>
      <c r="BW52" s="90"/>
      <c r="BX52" s="90"/>
      <c r="BY52" s="90"/>
      <c r="BZ52" s="90"/>
      <c r="CA52" s="90"/>
      <c r="CB52" s="90"/>
      <c r="CC52" s="90"/>
      <c r="CD52" s="90"/>
      <c r="CE52" s="90"/>
      <c r="CF52" s="90"/>
      <c r="CG52" s="90"/>
      <c r="CH52" s="90"/>
      <c r="CI52" s="90"/>
      <c r="CJ52" s="90"/>
      <c r="CK52" s="90"/>
      <c r="CL52" s="90"/>
      <c r="CM52" s="90"/>
      <c r="CN52" s="90"/>
      <c r="CO52" s="90"/>
      <c r="CP52" s="90"/>
      <c r="CQ52" s="90"/>
      <c r="CR52" s="90"/>
      <c r="CS52" s="90"/>
      <c r="CT52" s="90"/>
      <c r="CU52" s="90"/>
      <c r="CV52" s="90"/>
      <c r="CW52" s="90"/>
      <c r="CX52" s="90"/>
      <c r="CY52" s="90"/>
      <c r="CZ52" s="90"/>
      <c r="DA52" s="90"/>
      <c r="DB52" s="90"/>
      <c r="DC52" s="90"/>
      <c r="DD52" s="90"/>
      <c r="DE52" s="90"/>
      <c r="DF52" s="90"/>
      <c r="DG52" s="90"/>
      <c r="DH52" s="90"/>
      <c r="DI52" s="90"/>
      <c r="DJ52" s="90"/>
      <c r="DK52" s="90"/>
      <c r="DL52" s="90"/>
      <c r="DM52" s="90"/>
      <c r="DN52" s="90"/>
      <c r="DO52" s="90"/>
      <c r="DP52" s="90"/>
      <c r="DQ52" s="90"/>
      <c r="DR52" s="90"/>
      <c r="DS52" s="90"/>
      <c r="DT52" s="90"/>
      <c r="DU52" s="90"/>
      <c r="DV52" s="90"/>
      <c r="DW52" s="90"/>
      <c r="DX52" s="90"/>
      <c r="DY52" s="90"/>
      <c r="DZ52" s="90"/>
      <c r="EA52" s="90"/>
      <c r="EB52" s="90"/>
      <c r="EC52" s="90"/>
      <c r="ED52" s="90"/>
      <c r="EE52" s="90"/>
      <c r="EF52" s="90"/>
      <c r="EG52" s="90"/>
      <c r="EH52" s="90"/>
      <c r="EI52" s="90"/>
      <c r="EJ52" s="90"/>
      <c r="EK52" s="90"/>
      <c r="EL52" s="90"/>
      <c r="EM52" s="90"/>
      <c r="EN52" s="90"/>
      <c r="EO52" s="90"/>
      <c r="EP52" s="90"/>
      <c r="EQ52" s="90"/>
      <c r="ER52" s="90"/>
      <c r="ES52" s="90"/>
      <c r="ET52" s="90"/>
      <c r="EU52" s="90"/>
      <c r="EV52" s="90"/>
      <c r="EW52" s="90"/>
      <c r="EX52" s="90"/>
      <c r="EY52" s="90"/>
    </row>
    <row r="53" ht="15.75" customHeight="1">
      <c r="A53" s="90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  <c r="AU53" s="90"/>
      <c r="AV53" s="90"/>
      <c r="AW53" s="90"/>
      <c r="AX53" s="90"/>
      <c r="AY53" s="90"/>
      <c r="AZ53" s="90"/>
      <c r="BA53" s="90"/>
      <c r="BB53" s="90"/>
      <c r="BC53" s="90"/>
      <c r="BD53" s="90"/>
      <c r="BE53" s="90"/>
      <c r="BF53" s="90"/>
      <c r="BG53" s="90"/>
      <c r="BH53" s="90"/>
      <c r="BI53" s="90"/>
      <c r="BJ53" s="90"/>
      <c r="BK53" s="90"/>
      <c r="BL53" s="90"/>
      <c r="BM53" s="90"/>
      <c r="BN53" s="90"/>
      <c r="BO53" s="90"/>
      <c r="BP53" s="90"/>
      <c r="BQ53" s="90"/>
      <c r="BR53" s="90"/>
      <c r="BS53" s="90"/>
      <c r="BT53" s="90"/>
      <c r="BU53" s="90"/>
      <c r="BV53" s="90"/>
      <c r="BW53" s="90"/>
      <c r="BX53" s="90"/>
      <c r="BY53" s="90"/>
      <c r="BZ53" s="90"/>
      <c r="CA53" s="90"/>
      <c r="CB53" s="90"/>
      <c r="CC53" s="90"/>
      <c r="CD53" s="90"/>
      <c r="CE53" s="90"/>
      <c r="CF53" s="90"/>
      <c r="CG53" s="90"/>
      <c r="CH53" s="90"/>
      <c r="CI53" s="90"/>
      <c r="CJ53" s="90"/>
      <c r="CK53" s="90"/>
      <c r="CL53" s="90"/>
      <c r="CM53" s="90"/>
      <c r="CN53" s="90"/>
      <c r="CO53" s="90"/>
      <c r="CP53" s="90"/>
      <c r="CQ53" s="90"/>
      <c r="CR53" s="90"/>
      <c r="CS53" s="90"/>
      <c r="CT53" s="90"/>
      <c r="CU53" s="90"/>
      <c r="CV53" s="90"/>
      <c r="CW53" s="90"/>
      <c r="CX53" s="90"/>
      <c r="CY53" s="90"/>
      <c r="CZ53" s="90"/>
      <c r="DA53" s="90"/>
      <c r="DB53" s="90"/>
      <c r="DC53" s="90"/>
      <c r="DD53" s="90"/>
      <c r="DE53" s="90"/>
      <c r="DF53" s="90"/>
      <c r="DG53" s="90"/>
      <c r="DH53" s="90"/>
      <c r="DI53" s="90"/>
      <c r="DJ53" s="90"/>
      <c r="DK53" s="90"/>
      <c r="DL53" s="90"/>
      <c r="DM53" s="90"/>
      <c r="DN53" s="90"/>
      <c r="DO53" s="90"/>
      <c r="DP53" s="90"/>
      <c r="DQ53" s="90"/>
      <c r="DR53" s="90"/>
      <c r="DS53" s="90"/>
      <c r="DT53" s="90"/>
      <c r="DU53" s="90"/>
      <c r="DV53" s="90"/>
      <c r="DW53" s="90"/>
      <c r="DX53" s="90"/>
      <c r="DY53" s="90"/>
      <c r="DZ53" s="90"/>
      <c r="EA53" s="90"/>
      <c r="EB53" s="90"/>
      <c r="EC53" s="90"/>
      <c r="ED53" s="90"/>
      <c r="EE53" s="90"/>
      <c r="EF53" s="90"/>
      <c r="EG53" s="90"/>
      <c r="EH53" s="90"/>
      <c r="EI53" s="90"/>
      <c r="EJ53" s="90"/>
      <c r="EK53" s="90"/>
      <c r="EL53" s="90"/>
      <c r="EM53" s="90"/>
      <c r="EN53" s="90"/>
      <c r="EO53" s="90"/>
      <c r="EP53" s="90"/>
      <c r="EQ53" s="90"/>
      <c r="ER53" s="90"/>
      <c r="ES53" s="90"/>
      <c r="ET53" s="90"/>
      <c r="EU53" s="90"/>
      <c r="EV53" s="90"/>
      <c r="EW53" s="90"/>
      <c r="EX53" s="90"/>
      <c r="EY53" s="90"/>
    </row>
    <row r="54" ht="15.75" customHeight="1">
      <c r="A54" s="90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0"/>
      <c r="AU54" s="90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0"/>
      <c r="BG54" s="90"/>
      <c r="BH54" s="90"/>
      <c r="BI54" s="90"/>
      <c r="BJ54" s="90"/>
      <c r="BK54" s="90"/>
      <c r="BL54" s="90"/>
      <c r="BM54" s="90"/>
      <c r="BN54" s="90"/>
      <c r="BO54" s="90"/>
      <c r="BP54" s="90"/>
      <c r="BQ54" s="90"/>
      <c r="BR54" s="90"/>
      <c r="BS54" s="90"/>
      <c r="BT54" s="90"/>
      <c r="BU54" s="90"/>
      <c r="BV54" s="90"/>
      <c r="BW54" s="90"/>
      <c r="BX54" s="90"/>
      <c r="BY54" s="90"/>
      <c r="BZ54" s="90"/>
      <c r="CA54" s="90"/>
      <c r="CB54" s="90"/>
      <c r="CC54" s="90"/>
      <c r="CD54" s="90"/>
      <c r="CE54" s="90"/>
      <c r="CF54" s="90"/>
      <c r="CG54" s="90"/>
      <c r="CH54" s="90"/>
      <c r="CI54" s="90"/>
      <c r="CJ54" s="90"/>
      <c r="CK54" s="90"/>
      <c r="CL54" s="90"/>
      <c r="CM54" s="90"/>
      <c r="CN54" s="90"/>
      <c r="CO54" s="90"/>
      <c r="CP54" s="90"/>
      <c r="CQ54" s="90"/>
      <c r="CR54" s="90"/>
      <c r="CS54" s="90"/>
      <c r="CT54" s="90"/>
      <c r="CU54" s="90"/>
      <c r="CV54" s="90"/>
      <c r="CW54" s="90"/>
      <c r="CX54" s="90"/>
      <c r="CY54" s="90"/>
      <c r="CZ54" s="90"/>
      <c r="DA54" s="90"/>
      <c r="DB54" s="90"/>
      <c r="DC54" s="90"/>
      <c r="DD54" s="90"/>
      <c r="DE54" s="90"/>
      <c r="DF54" s="90"/>
      <c r="DG54" s="90"/>
      <c r="DH54" s="90"/>
      <c r="DI54" s="90"/>
      <c r="DJ54" s="90"/>
      <c r="DK54" s="90"/>
      <c r="DL54" s="90"/>
      <c r="DM54" s="90"/>
      <c r="DN54" s="90"/>
      <c r="DO54" s="90"/>
      <c r="DP54" s="90"/>
      <c r="DQ54" s="90"/>
      <c r="DR54" s="90"/>
      <c r="DS54" s="90"/>
      <c r="DT54" s="90"/>
      <c r="DU54" s="90"/>
      <c r="DV54" s="90"/>
      <c r="DW54" s="90"/>
      <c r="DX54" s="90"/>
      <c r="DY54" s="90"/>
      <c r="DZ54" s="90"/>
      <c r="EA54" s="90"/>
      <c r="EB54" s="90"/>
      <c r="EC54" s="90"/>
      <c r="ED54" s="90"/>
      <c r="EE54" s="90"/>
      <c r="EF54" s="90"/>
      <c r="EG54" s="90"/>
      <c r="EH54" s="90"/>
      <c r="EI54" s="90"/>
      <c r="EJ54" s="90"/>
      <c r="EK54" s="90"/>
      <c r="EL54" s="90"/>
      <c r="EM54" s="90"/>
      <c r="EN54" s="90"/>
      <c r="EO54" s="90"/>
      <c r="EP54" s="90"/>
      <c r="EQ54" s="90"/>
      <c r="ER54" s="90"/>
      <c r="ES54" s="90"/>
      <c r="ET54" s="90"/>
      <c r="EU54" s="90"/>
      <c r="EV54" s="90"/>
      <c r="EW54" s="90"/>
      <c r="EX54" s="90"/>
      <c r="EY54" s="90"/>
    </row>
    <row r="55" ht="15.75" customHeight="1">
      <c r="A55" s="90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  <c r="AQ55" s="90"/>
      <c r="AR55" s="90"/>
      <c r="AS55" s="90"/>
      <c r="AT55" s="90"/>
      <c r="AU55" s="90"/>
      <c r="AV55" s="90"/>
      <c r="AW55" s="90"/>
      <c r="AX55" s="90"/>
      <c r="AY55" s="90"/>
      <c r="AZ55" s="90"/>
      <c r="BA55" s="90"/>
      <c r="BB55" s="90"/>
      <c r="BC55" s="90"/>
      <c r="BD55" s="90"/>
      <c r="BE55" s="90"/>
      <c r="BF55" s="90"/>
      <c r="BG55" s="90"/>
      <c r="BH55" s="90"/>
      <c r="BI55" s="90"/>
      <c r="BJ55" s="90"/>
      <c r="BK55" s="90"/>
      <c r="BL55" s="90"/>
      <c r="BM55" s="90"/>
      <c r="BN55" s="90"/>
      <c r="BO55" s="90"/>
      <c r="BP55" s="90"/>
      <c r="BQ55" s="90"/>
      <c r="BR55" s="90"/>
      <c r="BS55" s="90"/>
      <c r="BT55" s="90"/>
      <c r="BU55" s="90"/>
      <c r="BV55" s="90"/>
      <c r="BW55" s="90"/>
      <c r="BX55" s="90"/>
      <c r="BY55" s="90"/>
      <c r="BZ55" s="90"/>
      <c r="CA55" s="90"/>
      <c r="CB55" s="90"/>
      <c r="CC55" s="90"/>
      <c r="CD55" s="90"/>
      <c r="CE55" s="90"/>
      <c r="CF55" s="90"/>
      <c r="CG55" s="90"/>
      <c r="CH55" s="90"/>
      <c r="CI55" s="90"/>
      <c r="CJ55" s="90"/>
      <c r="CK55" s="90"/>
      <c r="CL55" s="90"/>
      <c r="CM55" s="90"/>
      <c r="CN55" s="90"/>
      <c r="CO55" s="90"/>
      <c r="CP55" s="90"/>
      <c r="CQ55" s="90"/>
      <c r="CR55" s="90"/>
      <c r="CS55" s="90"/>
      <c r="CT55" s="90"/>
      <c r="CU55" s="90"/>
      <c r="CV55" s="90"/>
      <c r="CW55" s="90"/>
      <c r="CX55" s="90"/>
      <c r="CY55" s="90"/>
      <c r="CZ55" s="90"/>
      <c r="DA55" s="90"/>
      <c r="DB55" s="90"/>
      <c r="DC55" s="90"/>
      <c r="DD55" s="90"/>
      <c r="DE55" s="90"/>
      <c r="DF55" s="90"/>
      <c r="DG55" s="90"/>
      <c r="DH55" s="90"/>
      <c r="DI55" s="90"/>
      <c r="DJ55" s="90"/>
      <c r="DK55" s="90"/>
      <c r="DL55" s="90"/>
      <c r="DM55" s="90"/>
      <c r="DN55" s="90"/>
      <c r="DO55" s="90"/>
      <c r="DP55" s="90"/>
      <c r="DQ55" s="90"/>
      <c r="DR55" s="90"/>
      <c r="DS55" s="90"/>
      <c r="DT55" s="90"/>
      <c r="DU55" s="90"/>
      <c r="DV55" s="90"/>
      <c r="DW55" s="90"/>
      <c r="DX55" s="90"/>
      <c r="DY55" s="90"/>
      <c r="DZ55" s="90"/>
      <c r="EA55" s="90"/>
      <c r="EB55" s="90"/>
      <c r="EC55" s="90"/>
      <c r="ED55" s="90"/>
      <c r="EE55" s="90"/>
      <c r="EF55" s="90"/>
      <c r="EG55" s="90"/>
      <c r="EH55" s="90"/>
      <c r="EI55" s="90"/>
      <c r="EJ55" s="90"/>
      <c r="EK55" s="90"/>
      <c r="EL55" s="90"/>
      <c r="EM55" s="90"/>
      <c r="EN55" s="90"/>
      <c r="EO55" s="90"/>
      <c r="EP55" s="90"/>
      <c r="EQ55" s="90"/>
      <c r="ER55" s="90"/>
      <c r="ES55" s="90"/>
      <c r="ET55" s="90"/>
      <c r="EU55" s="90"/>
      <c r="EV55" s="90"/>
      <c r="EW55" s="90"/>
      <c r="EX55" s="90"/>
      <c r="EY55" s="90"/>
    </row>
    <row r="56" ht="15.75" customHeight="1">
      <c r="A56" s="90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0"/>
      <c r="AQ56" s="90"/>
      <c r="AR56" s="90"/>
      <c r="AS56" s="90"/>
      <c r="AT56" s="90"/>
      <c r="AU56" s="90"/>
      <c r="AV56" s="90"/>
      <c r="AW56" s="90"/>
      <c r="AX56" s="90"/>
      <c r="AY56" s="90"/>
      <c r="AZ56" s="90"/>
      <c r="BA56" s="90"/>
      <c r="BB56" s="90"/>
      <c r="BC56" s="90"/>
      <c r="BD56" s="90"/>
      <c r="BE56" s="90"/>
      <c r="BF56" s="90"/>
      <c r="BG56" s="90"/>
      <c r="BH56" s="90"/>
      <c r="BI56" s="90"/>
      <c r="BJ56" s="90"/>
      <c r="BK56" s="90"/>
      <c r="BL56" s="90"/>
      <c r="BM56" s="90"/>
      <c r="BN56" s="90"/>
      <c r="BO56" s="90"/>
      <c r="BP56" s="90"/>
      <c r="BQ56" s="90"/>
      <c r="BR56" s="90"/>
      <c r="BS56" s="90"/>
      <c r="BT56" s="90"/>
      <c r="BU56" s="90"/>
      <c r="BV56" s="90"/>
      <c r="BW56" s="90"/>
      <c r="BX56" s="90"/>
      <c r="BY56" s="90"/>
      <c r="BZ56" s="90"/>
      <c r="CA56" s="90"/>
      <c r="CB56" s="90"/>
      <c r="CC56" s="90"/>
      <c r="CD56" s="90"/>
      <c r="CE56" s="90"/>
      <c r="CF56" s="90"/>
      <c r="CG56" s="90"/>
      <c r="CH56" s="90"/>
      <c r="CI56" s="90"/>
      <c r="CJ56" s="90"/>
      <c r="CK56" s="90"/>
      <c r="CL56" s="90"/>
      <c r="CM56" s="90"/>
      <c r="CN56" s="90"/>
      <c r="CO56" s="90"/>
      <c r="CP56" s="90"/>
      <c r="CQ56" s="90"/>
      <c r="CR56" s="90"/>
      <c r="CS56" s="90"/>
      <c r="CT56" s="90"/>
      <c r="CU56" s="90"/>
      <c r="CV56" s="90"/>
      <c r="CW56" s="90"/>
      <c r="CX56" s="90"/>
      <c r="CY56" s="90"/>
      <c r="CZ56" s="90"/>
      <c r="DA56" s="90"/>
      <c r="DB56" s="90"/>
      <c r="DC56" s="90"/>
      <c r="DD56" s="90"/>
      <c r="DE56" s="90"/>
      <c r="DF56" s="90"/>
      <c r="DG56" s="90"/>
      <c r="DH56" s="90"/>
      <c r="DI56" s="90"/>
      <c r="DJ56" s="90"/>
      <c r="DK56" s="90"/>
      <c r="DL56" s="90"/>
      <c r="DM56" s="90"/>
      <c r="DN56" s="90"/>
      <c r="DO56" s="90"/>
      <c r="DP56" s="90"/>
      <c r="DQ56" s="90"/>
      <c r="DR56" s="90"/>
      <c r="DS56" s="90"/>
      <c r="DT56" s="90"/>
      <c r="DU56" s="90"/>
      <c r="DV56" s="90"/>
      <c r="DW56" s="90"/>
      <c r="DX56" s="90"/>
      <c r="DY56" s="90"/>
      <c r="DZ56" s="90"/>
      <c r="EA56" s="90"/>
      <c r="EB56" s="90"/>
      <c r="EC56" s="90"/>
      <c r="ED56" s="90"/>
      <c r="EE56" s="90"/>
      <c r="EF56" s="90"/>
      <c r="EG56" s="90"/>
      <c r="EH56" s="90"/>
      <c r="EI56" s="90"/>
      <c r="EJ56" s="90"/>
      <c r="EK56" s="90"/>
      <c r="EL56" s="90"/>
      <c r="EM56" s="90"/>
      <c r="EN56" s="90"/>
      <c r="EO56" s="90"/>
      <c r="EP56" s="90"/>
      <c r="EQ56" s="90"/>
      <c r="ER56" s="90"/>
      <c r="ES56" s="90"/>
      <c r="ET56" s="90"/>
      <c r="EU56" s="90"/>
      <c r="EV56" s="90"/>
      <c r="EW56" s="90"/>
      <c r="EX56" s="90"/>
      <c r="EY56" s="90"/>
    </row>
    <row r="57" ht="15.75" customHeight="1">
      <c r="A57" s="90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0"/>
      <c r="AQ57" s="90"/>
      <c r="AR57" s="90"/>
      <c r="AS57" s="90"/>
      <c r="AT57" s="90"/>
      <c r="AU57" s="90"/>
      <c r="AV57" s="90"/>
      <c r="AW57" s="90"/>
      <c r="AX57" s="90"/>
      <c r="AY57" s="90"/>
      <c r="AZ57" s="90"/>
      <c r="BA57" s="90"/>
      <c r="BB57" s="90"/>
      <c r="BC57" s="90"/>
      <c r="BD57" s="90"/>
      <c r="BE57" s="90"/>
      <c r="BF57" s="90"/>
      <c r="BG57" s="90"/>
      <c r="BH57" s="90"/>
      <c r="BI57" s="90"/>
      <c r="BJ57" s="90"/>
      <c r="BK57" s="90"/>
      <c r="BL57" s="90"/>
      <c r="BM57" s="90"/>
      <c r="BN57" s="90"/>
      <c r="BO57" s="90"/>
      <c r="BP57" s="90"/>
      <c r="BQ57" s="90"/>
      <c r="BR57" s="90"/>
      <c r="BS57" s="90"/>
      <c r="BT57" s="90"/>
      <c r="BU57" s="90"/>
      <c r="BV57" s="90"/>
      <c r="BW57" s="90"/>
      <c r="BX57" s="90"/>
      <c r="BY57" s="90"/>
      <c r="BZ57" s="90"/>
      <c r="CA57" s="90"/>
      <c r="CB57" s="90"/>
      <c r="CC57" s="90"/>
      <c r="CD57" s="90"/>
      <c r="CE57" s="90"/>
      <c r="CF57" s="90"/>
      <c r="CG57" s="90"/>
      <c r="CH57" s="90"/>
      <c r="CI57" s="90"/>
      <c r="CJ57" s="90"/>
      <c r="CK57" s="90"/>
      <c r="CL57" s="90"/>
      <c r="CM57" s="90"/>
      <c r="CN57" s="90"/>
      <c r="CO57" s="90"/>
      <c r="CP57" s="90"/>
      <c r="CQ57" s="90"/>
      <c r="CR57" s="90"/>
      <c r="CS57" s="90"/>
      <c r="CT57" s="90"/>
      <c r="CU57" s="90"/>
      <c r="CV57" s="90"/>
      <c r="CW57" s="90"/>
      <c r="CX57" s="90"/>
      <c r="CY57" s="90"/>
      <c r="CZ57" s="90"/>
      <c r="DA57" s="90"/>
      <c r="DB57" s="90"/>
      <c r="DC57" s="90"/>
      <c r="DD57" s="90"/>
      <c r="DE57" s="90"/>
      <c r="DF57" s="90"/>
      <c r="DG57" s="90"/>
      <c r="DH57" s="90"/>
      <c r="DI57" s="90"/>
      <c r="DJ57" s="90"/>
      <c r="DK57" s="90"/>
      <c r="DL57" s="90"/>
      <c r="DM57" s="90"/>
      <c r="DN57" s="90"/>
      <c r="DO57" s="90"/>
      <c r="DP57" s="90"/>
      <c r="DQ57" s="90"/>
      <c r="DR57" s="90"/>
      <c r="DS57" s="90"/>
      <c r="DT57" s="90"/>
      <c r="DU57" s="90"/>
      <c r="DV57" s="90"/>
      <c r="DW57" s="90"/>
      <c r="DX57" s="90"/>
      <c r="DY57" s="90"/>
      <c r="DZ57" s="90"/>
      <c r="EA57" s="90"/>
      <c r="EB57" s="90"/>
      <c r="EC57" s="90"/>
      <c r="ED57" s="90"/>
      <c r="EE57" s="90"/>
      <c r="EF57" s="90"/>
      <c r="EG57" s="90"/>
      <c r="EH57" s="90"/>
      <c r="EI57" s="90"/>
      <c r="EJ57" s="90"/>
      <c r="EK57" s="90"/>
      <c r="EL57" s="90"/>
      <c r="EM57" s="90"/>
      <c r="EN57" s="90"/>
      <c r="EO57" s="90"/>
      <c r="EP57" s="90"/>
      <c r="EQ57" s="90"/>
      <c r="ER57" s="90"/>
      <c r="ES57" s="90"/>
      <c r="ET57" s="90"/>
      <c r="EU57" s="90"/>
      <c r="EV57" s="90"/>
      <c r="EW57" s="90"/>
      <c r="EX57" s="90"/>
      <c r="EY57" s="90"/>
    </row>
    <row r="58" ht="15.75" customHeight="1">
      <c r="A58" s="90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0"/>
      <c r="AQ58" s="90"/>
      <c r="AR58" s="90"/>
      <c r="AS58" s="90"/>
      <c r="AT58" s="90"/>
      <c r="AU58" s="90"/>
      <c r="AV58" s="90"/>
      <c r="AW58" s="90"/>
      <c r="AX58" s="90"/>
      <c r="AY58" s="90"/>
      <c r="AZ58" s="90"/>
      <c r="BA58" s="90"/>
      <c r="BB58" s="90"/>
      <c r="BC58" s="90"/>
      <c r="BD58" s="90"/>
      <c r="BE58" s="90"/>
      <c r="BF58" s="90"/>
      <c r="BG58" s="90"/>
      <c r="BH58" s="90"/>
      <c r="BI58" s="90"/>
      <c r="BJ58" s="90"/>
      <c r="BK58" s="90"/>
      <c r="BL58" s="90"/>
      <c r="BM58" s="90"/>
      <c r="BN58" s="90"/>
      <c r="BO58" s="90"/>
      <c r="BP58" s="90"/>
      <c r="BQ58" s="90"/>
      <c r="BR58" s="90"/>
      <c r="BS58" s="90"/>
      <c r="BT58" s="90"/>
      <c r="BU58" s="90"/>
      <c r="BV58" s="90"/>
      <c r="BW58" s="90"/>
      <c r="BX58" s="90"/>
      <c r="BY58" s="90"/>
      <c r="BZ58" s="90"/>
      <c r="CA58" s="90"/>
      <c r="CB58" s="90"/>
      <c r="CC58" s="90"/>
      <c r="CD58" s="90"/>
      <c r="CE58" s="90"/>
      <c r="CF58" s="90"/>
      <c r="CG58" s="90"/>
      <c r="CH58" s="90"/>
      <c r="CI58" s="90"/>
      <c r="CJ58" s="90"/>
      <c r="CK58" s="90"/>
      <c r="CL58" s="90"/>
      <c r="CM58" s="90"/>
      <c r="CN58" s="90"/>
      <c r="CO58" s="90"/>
      <c r="CP58" s="90"/>
      <c r="CQ58" s="90"/>
      <c r="CR58" s="90"/>
      <c r="CS58" s="90"/>
      <c r="CT58" s="90"/>
      <c r="CU58" s="90"/>
      <c r="CV58" s="90"/>
      <c r="CW58" s="90"/>
      <c r="CX58" s="90"/>
      <c r="CY58" s="90"/>
      <c r="CZ58" s="90"/>
      <c r="DA58" s="90"/>
      <c r="DB58" s="90"/>
      <c r="DC58" s="90"/>
      <c r="DD58" s="90"/>
      <c r="DE58" s="90"/>
      <c r="DF58" s="90"/>
      <c r="DG58" s="90"/>
      <c r="DH58" s="90"/>
      <c r="DI58" s="90"/>
      <c r="DJ58" s="90"/>
      <c r="DK58" s="90"/>
      <c r="DL58" s="90"/>
      <c r="DM58" s="90"/>
      <c r="DN58" s="90"/>
      <c r="DO58" s="90"/>
      <c r="DP58" s="90"/>
      <c r="DQ58" s="90"/>
      <c r="DR58" s="90"/>
      <c r="DS58" s="90"/>
      <c r="DT58" s="90"/>
      <c r="DU58" s="90"/>
      <c r="DV58" s="90"/>
      <c r="DW58" s="90"/>
      <c r="DX58" s="90"/>
      <c r="DY58" s="90"/>
      <c r="DZ58" s="90"/>
      <c r="EA58" s="90"/>
      <c r="EB58" s="90"/>
      <c r="EC58" s="90"/>
      <c r="ED58" s="90"/>
      <c r="EE58" s="90"/>
      <c r="EF58" s="90"/>
      <c r="EG58" s="90"/>
      <c r="EH58" s="90"/>
      <c r="EI58" s="90"/>
      <c r="EJ58" s="90"/>
      <c r="EK58" s="90"/>
      <c r="EL58" s="90"/>
      <c r="EM58" s="90"/>
      <c r="EN58" s="90"/>
      <c r="EO58" s="90"/>
      <c r="EP58" s="90"/>
      <c r="EQ58" s="90"/>
      <c r="ER58" s="90"/>
      <c r="ES58" s="90"/>
      <c r="ET58" s="90"/>
      <c r="EU58" s="90"/>
      <c r="EV58" s="90"/>
      <c r="EW58" s="90"/>
      <c r="EX58" s="90"/>
      <c r="EY58" s="90"/>
    </row>
    <row r="59" ht="15.75" customHeight="1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0"/>
      <c r="AO59" s="90"/>
      <c r="AP59" s="90"/>
      <c r="AQ59" s="90"/>
      <c r="AR59" s="90"/>
      <c r="AS59" s="90"/>
      <c r="AT59" s="90"/>
      <c r="AU59" s="90"/>
      <c r="AV59" s="90"/>
      <c r="AW59" s="90"/>
      <c r="AX59" s="90"/>
      <c r="AY59" s="90"/>
      <c r="AZ59" s="90"/>
      <c r="BA59" s="90"/>
      <c r="BB59" s="90"/>
      <c r="BC59" s="90"/>
      <c r="BD59" s="90"/>
      <c r="BE59" s="90"/>
      <c r="BF59" s="90"/>
      <c r="BG59" s="90"/>
      <c r="BH59" s="90"/>
      <c r="BI59" s="90"/>
      <c r="BJ59" s="90"/>
      <c r="BK59" s="90"/>
      <c r="BL59" s="90"/>
      <c r="BM59" s="90"/>
      <c r="BN59" s="90"/>
      <c r="BO59" s="90"/>
      <c r="BP59" s="90"/>
      <c r="BQ59" s="90"/>
      <c r="BR59" s="90"/>
      <c r="BS59" s="90"/>
      <c r="BT59" s="90"/>
      <c r="BU59" s="90"/>
      <c r="BV59" s="90"/>
      <c r="BW59" s="90"/>
      <c r="BX59" s="90"/>
      <c r="BY59" s="90"/>
      <c r="BZ59" s="90"/>
      <c r="CA59" s="90"/>
      <c r="CB59" s="90"/>
      <c r="CC59" s="90"/>
      <c r="CD59" s="90"/>
      <c r="CE59" s="90"/>
      <c r="CF59" s="90"/>
      <c r="CG59" s="90"/>
      <c r="CH59" s="90"/>
      <c r="CI59" s="90"/>
      <c r="CJ59" s="90"/>
      <c r="CK59" s="90"/>
      <c r="CL59" s="90"/>
      <c r="CM59" s="90"/>
      <c r="CN59" s="90"/>
      <c r="CO59" s="90"/>
      <c r="CP59" s="90"/>
      <c r="CQ59" s="90"/>
      <c r="CR59" s="90"/>
      <c r="CS59" s="90"/>
      <c r="CT59" s="90"/>
      <c r="CU59" s="90"/>
      <c r="CV59" s="90"/>
      <c r="CW59" s="90"/>
      <c r="CX59" s="90"/>
      <c r="CY59" s="90"/>
      <c r="CZ59" s="90"/>
      <c r="DA59" s="90"/>
      <c r="DB59" s="90"/>
      <c r="DC59" s="90"/>
      <c r="DD59" s="90"/>
      <c r="DE59" s="90"/>
      <c r="DF59" s="90"/>
      <c r="DG59" s="90"/>
      <c r="DH59" s="90"/>
      <c r="DI59" s="90"/>
      <c r="DJ59" s="90"/>
      <c r="DK59" s="90"/>
      <c r="DL59" s="90"/>
      <c r="DM59" s="90"/>
      <c r="DN59" s="90"/>
      <c r="DO59" s="90"/>
      <c r="DP59" s="90"/>
      <c r="DQ59" s="90"/>
      <c r="DR59" s="90"/>
      <c r="DS59" s="90"/>
      <c r="DT59" s="90"/>
      <c r="DU59" s="90"/>
      <c r="DV59" s="90"/>
      <c r="DW59" s="90"/>
      <c r="DX59" s="90"/>
      <c r="DY59" s="90"/>
      <c r="DZ59" s="90"/>
      <c r="EA59" s="90"/>
      <c r="EB59" s="90"/>
      <c r="EC59" s="90"/>
      <c r="ED59" s="90"/>
      <c r="EE59" s="90"/>
      <c r="EF59" s="90"/>
      <c r="EG59" s="90"/>
      <c r="EH59" s="90"/>
      <c r="EI59" s="90"/>
      <c r="EJ59" s="90"/>
      <c r="EK59" s="90"/>
      <c r="EL59" s="90"/>
      <c r="EM59" s="90"/>
      <c r="EN59" s="90"/>
      <c r="EO59" s="90"/>
      <c r="EP59" s="90"/>
      <c r="EQ59" s="90"/>
      <c r="ER59" s="90"/>
      <c r="ES59" s="90"/>
      <c r="ET59" s="90"/>
      <c r="EU59" s="90"/>
      <c r="EV59" s="90"/>
      <c r="EW59" s="90"/>
      <c r="EX59" s="90"/>
      <c r="EY59" s="90"/>
    </row>
    <row r="60" ht="15.75" customHeight="1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  <c r="AQ60" s="90"/>
      <c r="AR60" s="90"/>
      <c r="AS60" s="90"/>
      <c r="AT60" s="90"/>
      <c r="AU60" s="90"/>
      <c r="AV60" s="90"/>
      <c r="AW60" s="90"/>
      <c r="AX60" s="90"/>
      <c r="AY60" s="90"/>
      <c r="AZ60" s="90"/>
      <c r="BA60" s="90"/>
      <c r="BB60" s="90"/>
      <c r="BC60" s="90"/>
      <c r="BD60" s="90"/>
      <c r="BE60" s="90"/>
      <c r="BF60" s="90"/>
      <c r="BG60" s="90"/>
      <c r="BH60" s="90"/>
      <c r="BI60" s="90"/>
      <c r="BJ60" s="90"/>
      <c r="BK60" s="90"/>
      <c r="BL60" s="90"/>
      <c r="BM60" s="90"/>
      <c r="BN60" s="90"/>
      <c r="BO60" s="90"/>
      <c r="BP60" s="90"/>
      <c r="BQ60" s="90"/>
      <c r="BR60" s="90"/>
      <c r="BS60" s="90"/>
      <c r="BT60" s="90"/>
      <c r="BU60" s="90"/>
      <c r="BV60" s="90"/>
      <c r="BW60" s="90"/>
      <c r="BX60" s="90"/>
      <c r="BY60" s="90"/>
      <c r="BZ60" s="90"/>
      <c r="CA60" s="90"/>
      <c r="CB60" s="90"/>
      <c r="CC60" s="90"/>
      <c r="CD60" s="90"/>
      <c r="CE60" s="90"/>
      <c r="CF60" s="90"/>
      <c r="CG60" s="90"/>
      <c r="CH60" s="90"/>
      <c r="CI60" s="90"/>
      <c r="CJ60" s="90"/>
      <c r="CK60" s="90"/>
      <c r="CL60" s="90"/>
      <c r="CM60" s="90"/>
      <c r="CN60" s="90"/>
      <c r="CO60" s="90"/>
      <c r="CP60" s="90"/>
      <c r="CQ60" s="90"/>
      <c r="CR60" s="90"/>
      <c r="CS60" s="90"/>
      <c r="CT60" s="90"/>
      <c r="CU60" s="90"/>
      <c r="CV60" s="90"/>
      <c r="CW60" s="90"/>
      <c r="CX60" s="90"/>
      <c r="CY60" s="90"/>
      <c r="CZ60" s="90"/>
      <c r="DA60" s="90"/>
      <c r="DB60" s="90"/>
      <c r="DC60" s="90"/>
      <c r="DD60" s="90"/>
      <c r="DE60" s="90"/>
      <c r="DF60" s="90"/>
      <c r="DG60" s="90"/>
      <c r="DH60" s="90"/>
      <c r="DI60" s="90"/>
      <c r="DJ60" s="90"/>
      <c r="DK60" s="90"/>
      <c r="DL60" s="90"/>
      <c r="DM60" s="90"/>
      <c r="DN60" s="90"/>
      <c r="DO60" s="90"/>
      <c r="DP60" s="90"/>
      <c r="DQ60" s="90"/>
      <c r="DR60" s="90"/>
      <c r="DS60" s="90"/>
      <c r="DT60" s="90"/>
      <c r="DU60" s="90"/>
      <c r="DV60" s="90"/>
      <c r="DW60" s="90"/>
      <c r="DX60" s="90"/>
      <c r="DY60" s="90"/>
      <c r="DZ60" s="90"/>
      <c r="EA60" s="90"/>
      <c r="EB60" s="90"/>
      <c r="EC60" s="90"/>
      <c r="ED60" s="90"/>
      <c r="EE60" s="90"/>
      <c r="EF60" s="90"/>
      <c r="EG60" s="90"/>
      <c r="EH60" s="90"/>
      <c r="EI60" s="90"/>
      <c r="EJ60" s="90"/>
      <c r="EK60" s="90"/>
      <c r="EL60" s="90"/>
      <c r="EM60" s="90"/>
      <c r="EN60" s="90"/>
      <c r="EO60" s="90"/>
      <c r="EP60" s="90"/>
      <c r="EQ60" s="90"/>
      <c r="ER60" s="90"/>
      <c r="ES60" s="90"/>
      <c r="ET60" s="90"/>
      <c r="EU60" s="90"/>
      <c r="EV60" s="90"/>
      <c r="EW60" s="90"/>
      <c r="EX60" s="90"/>
      <c r="EY60" s="90"/>
    </row>
    <row r="61" ht="15.75" customHeight="1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0"/>
      <c r="BN61" s="90"/>
      <c r="BO61" s="90"/>
      <c r="BP61" s="90"/>
      <c r="BQ61" s="90"/>
      <c r="BR61" s="90"/>
      <c r="BS61" s="90"/>
      <c r="BT61" s="90"/>
      <c r="BU61" s="90"/>
      <c r="BV61" s="90"/>
      <c r="BW61" s="90"/>
      <c r="BX61" s="90"/>
      <c r="BY61" s="90"/>
      <c r="BZ61" s="90"/>
      <c r="CA61" s="90"/>
      <c r="CB61" s="90"/>
      <c r="CC61" s="90"/>
      <c r="CD61" s="90"/>
      <c r="CE61" s="90"/>
      <c r="CF61" s="90"/>
      <c r="CG61" s="90"/>
      <c r="CH61" s="90"/>
      <c r="CI61" s="90"/>
      <c r="CJ61" s="90"/>
      <c r="CK61" s="90"/>
      <c r="CL61" s="90"/>
      <c r="CM61" s="90"/>
      <c r="CN61" s="90"/>
      <c r="CO61" s="90"/>
      <c r="CP61" s="90"/>
      <c r="CQ61" s="90"/>
      <c r="CR61" s="90"/>
      <c r="CS61" s="90"/>
      <c r="CT61" s="90"/>
      <c r="CU61" s="90"/>
      <c r="CV61" s="90"/>
      <c r="CW61" s="90"/>
      <c r="CX61" s="90"/>
      <c r="CY61" s="90"/>
      <c r="CZ61" s="90"/>
      <c r="DA61" s="90"/>
      <c r="DB61" s="90"/>
      <c r="DC61" s="90"/>
      <c r="DD61" s="90"/>
      <c r="DE61" s="90"/>
      <c r="DF61" s="90"/>
      <c r="DG61" s="90"/>
      <c r="DH61" s="90"/>
      <c r="DI61" s="90"/>
      <c r="DJ61" s="90"/>
      <c r="DK61" s="90"/>
      <c r="DL61" s="90"/>
      <c r="DM61" s="90"/>
      <c r="DN61" s="90"/>
      <c r="DO61" s="90"/>
      <c r="DP61" s="90"/>
      <c r="DQ61" s="90"/>
      <c r="DR61" s="90"/>
      <c r="DS61" s="90"/>
      <c r="DT61" s="90"/>
      <c r="DU61" s="90"/>
      <c r="DV61" s="90"/>
      <c r="DW61" s="90"/>
      <c r="DX61" s="90"/>
      <c r="DY61" s="90"/>
      <c r="DZ61" s="90"/>
      <c r="EA61" s="90"/>
      <c r="EB61" s="90"/>
      <c r="EC61" s="90"/>
      <c r="ED61" s="90"/>
      <c r="EE61" s="90"/>
      <c r="EF61" s="90"/>
      <c r="EG61" s="90"/>
      <c r="EH61" s="90"/>
      <c r="EI61" s="90"/>
      <c r="EJ61" s="90"/>
      <c r="EK61" s="90"/>
      <c r="EL61" s="90"/>
      <c r="EM61" s="90"/>
      <c r="EN61" s="90"/>
      <c r="EO61" s="90"/>
      <c r="EP61" s="90"/>
      <c r="EQ61" s="90"/>
      <c r="ER61" s="90"/>
      <c r="ES61" s="90"/>
      <c r="ET61" s="90"/>
      <c r="EU61" s="90"/>
      <c r="EV61" s="90"/>
      <c r="EW61" s="90"/>
      <c r="EX61" s="90"/>
      <c r="EY61" s="90"/>
    </row>
    <row r="62" ht="15.75" customHeight="1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  <c r="AR62" s="90"/>
      <c r="AS62" s="90"/>
      <c r="AT62" s="90"/>
      <c r="AU62" s="90"/>
      <c r="AV62" s="90"/>
      <c r="AW62" s="90"/>
      <c r="AX62" s="90"/>
      <c r="AY62" s="90"/>
      <c r="AZ62" s="90"/>
      <c r="BA62" s="90"/>
      <c r="BB62" s="90"/>
      <c r="BC62" s="90"/>
      <c r="BD62" s="90"/>
      <c r="BE62" s="90"/>
      <c r="BF62" s="90"/>
      <c r="BG62" s="90"/>
      <c r="BH62" s="90"/>
      <c r="BI62" s="90"/>
      <c r="BJ62" s="90"/>
      <c r="BK62" s="90"/>
      <c r="BL62" s="90"/>
      <c r="BM62" s="90"/>
      <c r="BN62" s="90"/>
      <c r="BO62" s="90"/>
      <c r="BP62" s="90"/>
      <c r="BQ62" s="90"/>
      <c r="BR62" s="90"/>
      <c r="BS62" s="90"/>
      <c r="BT62" s="90"/>
      <c r="BU62" s="90"/>
      <c r="BV62" s="90"/>
      <c r="BW62" s="90"/>
      <c r="BX62" s="90"/>
      <c r="BY62" s="90"/>
      <c r="BZ62" s="90"/>
      <c r="CA62" s="90"/>
      <c r="CB62" s="90"/>
      <c r="CC62" s="90"/>
      <c r="CD62" s="90"/>
      <c r="CE62" s="90"/>
      <c r="CF62" s="90"/>
      <c r="CG62" s="90"/>
      <c r="CH62" s="90"/>
      <c r="CI62" s="90"/>
      <c r="CJ62" s="90"/>
      <c r="CK62" s="90"/>
      <c r="CL62" s="90"/>
      <c r="CM62" s="90"/>
      <c r="CN62" s="90"/>
      <c r="CO62" s="90"/>
      <c r="CP62" s="90"/>
      <c r="CQ62" s="90"/>
      <c r="CR62" s="90"/>
      <c r="CS62" s="90"/>
      <c r="CT62" s="90"/>
      <c r="CU62" s="90"/>
      <c r="CV62" s="90"/>
      <c r="CW62" s="90"/>
      <c r="CX62" s="90"/>
      <c r="CY62" s="90"/>
      <c r="CZ62" s="90"/>
      <c r="DA62" s="90"/>
      <c r="DB62" s="90"/>
      <c r="DC62" s="90"/>
      <c r="DD62" s="90"/>
      <c r="DE62" s="90"/>
      <c r="DF62" s="90"/>
      <c r="DG62" s="90"/>
      <c r="DH62" s="90"/>
      <c r="DI62" s="90"/>
      <c r="DJ62" s="90"/>
      <c r="DK62" s="90"/>
      <c r="DL62" s="90"/>
      <c r="DM62" s="90"/>
      <c r="DN62" s="90"/>
      <c r="DO62" s="90"/>
      <c r="DP62" s="90"/>
      <c r="DQ62" s="90"/>
      <c r="DR62" s="90"/>
      <c r="DS62" s="90"/>
      <c r="DT62" s="90"/>
      <c r="DU62" s="90"/>
      <c r="DV62" s="90"/>
      <c r="DW62" s="90"/>
      <c r="DX62" s="90"/>
      <c r="DY62" s="90"/>
      <c r="DZ62" s="90"/>
      <c r="EA62" s="90"/>
      <c r="EB62" s="90"/>
      <c r="EC62" s="90"/>
      <c r="ED62" s="90"/>
      <c r="EE62" s="90"/>
      <c r="EF62" s="90"/>
      <c r="EG62" s="90"/>
      <c r="EH62" s="90"/>
      <c r="EI62" s="90"/>
      <c r="EJ62" s="90"/>
      <c r="EK62" s="90"/>
      <c r="EL62" s="90"/>
      <c r="EM62" s="90"/>
      <c r="EN62" s="90"/>
      <c r="EO62" s="90"/>
      <c r="EP62" s="90"/>
      <c r="EQ62" s="90"/>
      <c r="ER62" s="90"/>
      <c r="ES62" s="90"/>
      <c r="ET62" s="90"/>
      <c r="EU62" s="90"/>
      <c r="EV62" s="90"/>
      <c r="EW62" s="90"/>
      <c r="EX62" s="90"/>
      <c r="EY62" s="90"/>
    </row>
    <row r="63" ht="15.75" customHeight="1">
      <c r="A63" s="90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90"/>
      <c r="AU63" s="90"/>
      <c r="AV63" s="90"/>
      <c r="AW63" s="90"/>
      <c r="AX63" s="90"/>
      <c r="AY63" s="90"/>
      <c r="AZ63" s="90"/>
      <c r="BA63" s="90"/>
      <c r="BB63" s="90"/>
      <c r="BC63" s="90"/>
      <c r="BD63" s="90"/>
      <c r="BE63" s="90"/>
      <c r="BF63" s="90"/>
      <c r="BG63" s="90"/>
      <c r="BH63" s="90"/>
      <c r="BI63" s="90"/>
      <c r="BJ63" s="90"/>
      <c r="BK63" s="90"/>
      <c r="BL63" s="90"/>
      <c r="BM63" s="90"/>
      <c r="BN63" s="90"/>
      <c r="BO63" s="90"/>
      <c r="BP63" s="90"/>
      <c r="BQ63" s="90"/>
      <c r="BR63" s="90"/>
      <c r="BS63" s="90"/>
      <c r="BT63" s="90"/>
      <c r="BU63" s="90"/>
      <c r="BV63" s="90"/>
      <c r="BW63" s="90"/>
      <c r="BX63" s="90"/>
      <c r="BY63" s="90"/>
      <c r="BZ63" s="90"/>
      <c r="CA63" s="90"/>
      <c r="CB63" s="90"/>
      <c r="CC63" s="90"/>
      <c r="CD63" s="90"/>
      <c r="CE63" s="90"/>
      <c r="CF63" s="90"/>
      <c r="CG63" s="90"/>
      <c r="CH63" s="90"/>
      <c r="CI63" s="90"/>
      <c r="CJ63" s="90"/>
      <c r="CK63" s="90"/>
      <c r="CL63" s="90"/>
      <c r="CM63" s="90"/>
      <c r="CN63" s="90"/>
      <c r="CO63" s="90"/>
      <c r="CP63" s="90"/>
      <c r="CQ63" s="90"/>
      <c r="CR63" s="90"/>
      <c r="CS63" s="90"/>
      <c r="CT63" s="90"/>
      <c r="CU63" s="90"/>
      <c r="CV63" s="90"/>
      <c r="CW63" s="90"/>
      <c r="CX63" s="90"/>
      <c r="CY63" s="90"/>
      <c r="CZ63" s="90"/>
      <c r="DA63" s="90"/>
      <c r="DB63" s="90"/>
      <c r="DC63" s="90"/>
      <c r="DD63" s="90"/>
      <c r="DE63" s="90"/>
      <c r="DF63" s="90"/>
      <c r="DG63" s="90"/>
      <c r="DH63" s="90"/>
      <c r="DI63" s="90"/>
      <c r="DJ63" s="90"/>
      <c r="DK63" s="90"/>
      <c r="DL63" s="90"/>
      <c r="DM63" s="90"/>
      <c r="DN63" s="90"/>
      <c r="DO63" s="90"/>
      <c r="DP63" s="90"/>
      <c r="DQ63" s="90"/>
      <c r="DR63" s="90"/>
      <c r="DS63" s="90"/>
      <c r="DT63" s="90"/>
      <c r="DU63" s="90"/>
      <c r="DV63" s="90"/>
      <c r="DW63" s="90"/>
      <c r="DX63" s="90"/>
      <c r="DY63" s="90"/>
      <c r="DZ63" s="90"/>
      <c r="EA63" s="90"/>
      <c r="EB63" s="90"/>
      <c r="EC63" s="90"/>
      <c r="ED63" s="90"/>
      <c r="EE63" s="90"/>
      <c r="EF63" s="90"/>
      <c r="EG63" s="90"/>
      <c r="EH63" s="90"/>
      <c r="EI63" s="90"/>
      <c r="EJ63" s="90"/>
      <c r="EK63" s="90"/>
      <c r="EL63" s="90"/>
      <c r="EM63" s="90"/>
      <c r="EN63" s="90"/>
      <c r="EO63" s="90"/>
      <c r="EP63" s="90"/>
      <c r="EQ63" s="90"/>
      <c r="ER63" s="90"/>
      <c r="ES63" s="90"/>
      <c r="ET63" s="90"/>
      <c r="EU63" s="90"/>
      <c r="EV63" s="90"/>
      <c r="EW63" s="90"/>
      <c r="EX63" s="90"/>
      <c r="EY63" s="90"/>
    </row>
    <row r="64" ht="15.75" customHeight="1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0"/>
      <c r="AS64" s="90"/>
      <c r="AT64" s="90"/>
      <c r="AU64" s="90"/>
      <c r="AV64" s="90"/>
      <c r="AW64" s="90"/>
      <c r="AX64" s="90"/>
      <c r="AY64" s="90"/>
      <c r="AZ64" s="90"/>
      <c r="BA64" s="90"/>
      <c r="BB64" s="90"/>
      <c r="BC64" s="90"/>
      <c r="BD64" s="90"/>
      <c r="BE64" s="90"/>
      <c r="BF64" s="90"/>
      <c r="BG64" s="90"/>
      <c r="BH64" s="90"/>
      <c r="BI64" s="90"/>
      <c r="BJ64" s="90"/>
      <c r="BK64" s="90"/>
      <c r="BL64" s="90"/>
      <c r="BM64" s="90"/>
      <c r="BN64" s="90"/>
      <c r="BO64" s="90"/>
      <c r="BP64" s="90"/>
      <c r="BQ64" s="90"/>
      <c r="BR64" s="90"/>
      <c r="BS64" s="90"/>
      <c r="BT64" s="90"/>
      <c r="BU64" s="90"/>
      <c r="BV64" s="90"/>
      <c r="BW64" s="90"/>
      <c r="BX64" s="90"/>
      <c r="BY64" s="90"/>
      <c r="BZ64" s="90"/>
      <c r="CA64" s="90"/>
      <c r="CB64" s="90"/>
      <c r="CC64" s="90"/>
      <c r="CD64" s="90"/>
      <c r="CE64" s="90"/>
      <c r="CF64" s="90"/>
      <c r="CG64" s="90"/>
      <c r="CH64" s="90"/>
      <c r="CI64" s="90"/>
      <c r="CJ64" s="90"/>
      <c r="CK64" s="90"/>
      <c r="CL64" s="90"/>
      <c r="CM64" s="90"/>
      <c r="CN64" s="90"/>
      <c r="CO64" s="90"/>
      <c r="CP64" s="90"/>
      <c r="CQ64" s="90"/>
      <c r="CR64" s="90"/>
      <c r="CS64" s="90"/>
      <c r="CT64" s="90"/>
      <c r="CU64" s="90"/>
      <c r="CV64" s="90"/>
      <c r="CW64" s="90"/>
      <c r="CX64" s="90"/>
      <c r="CY64" s="90"/>
      <c r="CZ64" s="90"/>
      <c r="DA64" s="90"/>
      <c r="DB64" s="90"/>
      <c r="DC64" s="90"/>
      <c r="DD64" s="90"/>
      <c r="DE64" s="90"/>
      <c r="DF64" s="90"/>
      <c r="DG64" s="90"/>
      <c r="DH64" s="90"/>
      <c r="DI64" s="90"/>
      <c r="DJ64" s="90"/>
      <c r="DK64" s="90"/>
      <c r="DL64" s="90"/>
      <c r="DM64" s="90"/>
      <c r="DN64" s="90"/>
      <c r="DO64" s="90"/>
      <c r="DP64" s="90"/>
      <c r="DQ64" s="90"/>
      <c r="DR64" s="90"/>
      <c r="DS64" s="90"/>
      <c r="DT64" s="90"/>
      <c r="DU64" s="90"/>
      <c r="DV64" s="90"/>
      <c r="DW64" s="90"/>
      <c r="DX64" s="90"/>
      <c r="DY64" s="90"/>
      <c r="DZ64" s="90"/>
      <c r="EA64" s="90"/>
      <c r="EB64" s="90"/>
      <c r="EC64" s="90"/>
      <c r="ED64" s="90"/>
      <c r="EE64" s="90"/>
      <c r="EF64" s="90"/>
      <c r="EG64" s="90"/>
      <c r="EH64" s="90"/>
      <c r="EI64" s="90"/>
      <c r="EJ64" s="90"/>
      <c r="EK64" s="90"/>
      <c r="EL64" s="90"/>
      <c r="EM64" s="90"/>
      <c r="EN64" s="90"/>
      <c r="EO64" s="90"/>
      <c r="EP64" s="90"/>
      <c r="EQ64" s="90"/>
      <c r="ER64" s="90"/>
      <c r="ES64" s="90"/>
      <c r="ET64" s="90"/>
      <c r="EU64" s="90"/>
      <c r="EV64" s="90"/>
      <c r="EW64" s="90"/>
      <c r="EX64" s="90"/>
      <c r="EY64" s="90"/>
    </row>
    <row r="65" ht="15.75" customHeight="1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  <c r="AR65" s="90"/>
      <c r="AS65" s="90"/>
      <c r="AT65" s="90"/>
      <c r="AU65" s="90"/>
      <c r="AV65" s="90"/>
      <c r="AW65" s="90"/>
      <c r="AX65" s="90"/>
      <c r="AY65" s="90"/>
      <c r="AZ65" s="90"/>
      <c r="BA65" s="90"/>
      <c r="BB65" s="90"/>
      <c r="BC65" s="90"/>
      <c r="BD65" s="90"/>
      <c r="BE65" s="90"/>
      <c r="BF65" s="90"/>
      <c r="BG65" s="90"/>
      <c r="BH65" s="90"/>
      <c r="BI65" s="90"/>
      <c r="BJ65" s="90"/>
      <c r="BK65" s="90"/>
      <c r="BL65" s="90"/>
      <c r="BM65" s="90"/>
      <c r="BN65" s="90"/>
      <c r="BO65" s="90"/>
      <c r="BP65" s="90"/>
      <c r="BQ65" s="90"/>
      <c r="BR65" s="90"/>
      <c r="BS65" s="90"/>
      <c r="BT65" s="90"/>
      <c r="BU65" s="90"/>
      <c r="BV65" s="90"/>
      <c r="BW65" s="90"/>
      <c r="BX65" s="90"/>
      <c r="BY65" s="90"/>
      <c r="BZ65" s="90"/>
      <c r="CA65" s="90"/>
      <c r="CB65" s="90"/>
      <c r="CC65" s="90"/>
      <c r="CD65" s="90"/>
      <c r="CE65" s="90"/>
      <c r="CF65" s="90"/>
      <c r="CG65" s="90"/>
      <c r="CH65" s="90"/>
      <c r="CI65" s="90"/>
      <c r="CJ65" s="90"/>
      <c r="CK65" s="90"/>
      <c r="CL65" s="90"/>
      <c r="CM65" s="90"/>
      <c r="CN65" s="90"/>
      <c r="CO65" s="90"/>
      <c r="CP65" s="90"/>
      <c r="CQ65" s="90"/>
      <c r="CR65" s="90"/>
      <c r="CS65" s="90"/>
      <c r="CT65" s="90"/>
      <c r="CU65" s="90"/>
      <c r="CV65" s="90"/>
      <c r="CW65" s="90"/>
      <c r="CX65" s="90"/>
      <c r="CY65" s="90"/>
      <c r="CZ65" s="90"/>
      <c r="DA65" s="90"/>
      <c r="DB65" s="90"/>
      <c r="DC65" s="90"/>
      <c r="DD65" s="90"/>
      <c r="DE65" s="90"/>
      <c r="DF65" s="90"/>
      <c r="DG65" s="90"/>
      <c r="DH65" s="90"/>
      <c r="DI65" s="90"/>
      <c r="DJ65" s="90"/>
      <c r="DK65" s="90"/>
      <c r="DL65" s="90"/>
      <c r="DM65" s="90"/>
      <c r="DN65" s="90"/>
      <c r="DO65" s="90"/>
      <c r="DP65" s="90"/>
      <c r="DQ65" s="90"/>
      <c r="DR65" s="90"/>
      <c r="DS65" s="90"/>
      <c r="DT65" s="90"/>
      <c r="DU65" s="90"/>
      <c r="DV65" s="90"/>
      <c r="DW65" s="90"/>
      <c r="DX65" s="90"/>
      <c r="DY65" s="90"/>
      <c r="DZ65" s="90"/>
      <c r="EA65" s="90"/>
      <c r="EB65" s="90"/>
      <c r="EC65" s="90"/>
      <c r="ED65" s="90"/>
      <c r="EE65" s="90"/>
      <c r="EF65" s="90"/>
      <c r="EG65" s="90"/>
      <c r="EH65" s="90"/>
      <c r="EI65" s="90"/>
      <c r="EJ65" s="90"/>
      <c r="EK65" s="90"/>
      <c r="EL65" s="90"/>
      <c r="EM65" s="90"/>
      <c r="EN65" s="90"/>
      <c r="EO65" s="90"/>
      <c r="EP65" s="90"/>
      <c r="EQ65" s="90"/>
      <c r="ER65" s="90"/>
      <c r="ES65" s="90"/>
      <c r="ET65" s="90"/>
      <c r="EU65" s="90"/>
      <c r="EV65" s="90"/>
      <c r="EW65" s="90"/>
      <c r="EX65" s="90"/>
      <c r="EY65" s="90"/>
    </row>
    <row r="66" ht="15.75" customHeight="1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90"/>
      <c r="AT66" s="90"/>
      <c r="AU66" s="90"/>
      <c r="AV66" s="90"/>
      <c r="AW66" s="90"/>
      <c r="AX66" s="90"/>
      <c r="AY66" s="90"/>
      <c r="AZ66" s="90"/>
      <c r="BA66" s="90"/>
      <c r="BB66" s="90"/>
      <c r="BC66" s="90"/>
      <c r="BD66" s="90"/>
      <c r="BE66" s="90"/>
      <c r="BF66" s="90"/>
      <c r="BG66" s="90"/>
      <c r="BH66" s="90"/>
      <c r="BI66" s="90"/>
      <c r="BJ66" s="90"/>
      <c r="BK66" s="90"/>
      <c r="BL66" s="90"/>
      <c r="BM66" s="90"/>
      <c r="BN66" s="90"/>
      <c r="BO66" s="90"/>
      <c r="BP66" s="90"/>
      <c r="BQ66" s="90"/>
      <c r="BR66" s="90"/>
      <c r="BS66" s="90"/>
      <c r="BT66" s="90"/>
      <c r="BU66" s="90"/>
      <c r="BV66" s="90"/>
      <c r="BW66" s="90"/>
      <c r="BX66" s="90"/>
      <c r="BY66" s="90"/>
      <c r="BZ66" s="90"/>
      <c r="CA66" s="90"/>
      <c r="CB66" s="90"/>
      <c r="CC66" s="90"/>
      <c r="CD66" s="90"/>
      <c r="CE66" s="90"/>
      <c r="CF66" s="90"/>
      <c r="CG66" s="90"/>
      <c r="CH66" s="90"/>
      <c r="CI66" s="90"/>
      <c r="CJ66" s="90"/>
      <c r="CK66" s="90"/>
      <c r="CL66" s="90"/>
      <c r="CM66" s="90"/>
      <c r="CN66" s="90"/>
      <c r="CO66" s="90"/>
      <c r="CP66" s="90"/>
      <c r="CQ66" s="90"/>
      <c r="CR66" s="90"/>
      <c r="CS66" s="90"/>
      <c r="CT66" s="90"/>
      <c r="CU66" s="90"/>
      <c r="CV66" s="90"/>
      <c r="CW66" s="90"/>
      <c r="CX66" s="90"/>
      <c r="CY66" s="90"/>
      <c r="CZ66" s="90"/>
      <c r="DA66" s="90"/>
      <c r="DB66" s="90"/>
      <c r="DC66" s="90"/>
      <c r="DD66" s="90"/>
      <c r="DE66" s="90"/>
      <c r="DF66" s="90"/>
      <c r="DG66" s="90"/>
      <c r="DH66" s="90"/>
      <c r="DI66" s="90"/>
      <c r="DJ66" s="90"/>
      <c r="DK66" s="90"/>
      <c r="DL66" s="90"/>
      <c r="DM66" s="90"/>
      <c r="DN66" s="90"/>
      <c r="DO66" s="90"/>
      <c r="DP66" s="90"/>
      <c r="DQ66" s="90"/>
      <c r="DR66" s="90"/>
      <c r="DS66" s="90"/>
      <c r="DT66" s="90"/>
      <c r="DU66" s="90"/>
      <c r="DV66" s="90"/>
      <c r="DW66" s="90"/>
      <c r="DX66" s="90"/>
      <c r="DY66" s="90"/>
      <c r="DZ66" s="90"/>
      <c r="EA66" s="90"/>
      <c r="EB66" s="90"/>
      <c r="EC66" s="90"/>
      <c r="ED66" s="90"/>
      <c r="EE66" s="90"/>
      <c r="EF66" s="90"/>
      <c r="EG66" s="90"/>
      <c r="EH66" s="90"/>
      <c r="EI66" s="90"/>
      <c r="EJ66" s="90"/>
      <c r="EK66" s="90"/>
      <c r="EL66" s="90"/>
      <c r="EM66" s="90"/>
      <c r="EN66" s="90"/>
      <c r="EO66" s="90"/>
      <c r="EP66" s="90"/>
      <c r="EQ66" s="90"/>
      <c r="ER66" s="90"/>
      <c r="ES66" s="90"/>
      <c r="ET66" s="90"/>
      <c r="EU66" s="90"/>
      <c r="EV66" s="90"/>
      <c r="EW66" s="90"/>
      <c r="EX66" s="90"/>
      <c r="EY66" s="90"/>
    </row>
    <row r="67" ht="15.75" customHeight="1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0"/>
      <c r="AO67" s="90"/>
      <c r="AP67" s="90"/>
      <c r="AQ67" s="90"/>
      <c r="AR67" s="90"/>
      <c r="AS67" s="90"/>
      <c r="AT67" s="90"/>
      <c r="AU67" s="90"/>
      <c r="AV67" s="90"/>
      <c r="AW67" s="90"/>
      <c r="AX67" s="90"/>
      <c r="AY67" s="90"/>
      <c r="AZ67" s="90"/>
      <c r="BA67" s="90"/>
      <c r="BB67" s="90"/>
      <c r="BC67" s="90"/>
      <c r="BD67" s="90"/>
      <c r="BE67" s="90"/>
      <c r="BF67" s="90"/>
      <c r="BG67" s="90"/>
      <c r="BH67" s="90"/>
      <c r="BI67" s="90"/>
      <c r="BJ67" s="90"/>
      <c r="BK67" s="90"/>
      <c r="BL67" s="90"/>
      <c r="BM67" s="90"/>
      <c r="BN67" s="90"/>
      <c r="BO67" s="90"/>
      <c r="BP67" s="90"/>
      <c r="BQ67" s="90"/>
      <c r="BR67" s="90"/>
      <c r="BS67" s="90"/>
      <c r="BT67" s="90"/>
      <c r="BU67" s="90"/>
      <c r="BV67" s="90"/>
      <c r="BW67" s="90"/>
      <c r="BX67" s="90"/>
      <c r="BY67" s="90"/>
      <c r="BZ67" s="90"/>
      <c r="CA67" s="90"/>
      <c r="CB67" s="90"/>
      <c r="CC67" s="90"/>
      <c r="CD67" s="90"/>
      <c r="CE67" s="90"/>
      <c r="CF67" s="90"/>
      <c r="CG67" s="90"/>
      <c r="CH67" s="90"/>
      <c r="CI67" s="90"/>
      <c r="CJ67" s="90"/>
      <c r="CK67" s="90"/>
      <c r="CL67" s="90"/>
      <c r="CM67" s="90"/>
      <c r="CN67" s="90"/>
      <c r="CO67" s="90"/>
      <c r="CP67" s="90"/>
      <c r="CQ67" s="90"/>
      <c r="CR67" s="90"/>
      <c r="CS67" s="90"/>
      <c r="CT67" s="90"/>
      <c r="CU67" s="90"/>
      <c r="CV67" s="90"/>
      <c r="CW67" s="90"/>
      <c r="CX67" s="90"/>
      <c r="CY67" s="90"/>
      <c r="CZ67" s="90"/>
      <c r="DA67" s="90"/>
      <c r="DB67" s="90"/>
      <c r="DC67" s="90"/>
      <c r="DD67" s="90"/>
      <c r="DE67" s="90"/>
      <c r="DF67" s="90"/>
      <c r="DG67" s="90"/>
      <c r="DH67" s="90"/>
      <c r="DI67" s="90"/>
      <c r="DJ67" s="90"/>
      <c r="DK67" s="90"/>
      <c r="DL67" s="90"/>
      <c r="DM67" s="90"/>
      <c r="DN67" s="90"/>
      <c r="DO67" s="90"/>
      <c r="DP67" s="90"/>
      <c r="DQ67" s="90"/>
      <c r="DR67" s="90"/>
      <c r="DS67" s="90"/>
      <c r="DT67" s="90"/>
      <c r="DU67" s="90"/>
      <c r="DV67" s="90"/>
      <c r="DW67" s="90"/>
      <c r="DX67" s="90"/>
      <c r="DY67" s="90"/>
      <c r="DZ67" s="90"/>
      <c r="EA67" s="90"/>
      <c r="EB67" s="90"/>
      <c r="EC67" s="90"/>
      <c r="ED67" s="90"/>
      <c r="EE67" s="90"/>
      <c r="EF67" s="90"/>
      <c r="EG67" s="90"/>
      <c r="EH67" s="90"/>
      <c r="EI67" s="90"/>
      <c r="EJ67" s="90"/>
      <c r="EK67" s="90"/>
      <c r="EL67" s="90"/>
      <c r="EM67" s="90"/>
      <c r="EN67" s="90"/>
      <c r="EO67" s="90"/>
      <c r="EP67" s="90"/>
      <c r="EQ67" s="90"/>
      <c r="ER67" s="90"/>
      <c r="ES67" s="90"/>
      <c r="ET67" s="90"/>
      <c r="EU67" s="90"/>
      <c r="EV67" s="90"/>
      <c r="EW67" s="90"/>
      <c r="EX67" s="90"/>
      <c r="EY67" s="90"/>
    </row>
    <row r="68" ht="15.75" customHeight="1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  <c r="AT68" s="90"/>
      <c r="AU68" s="90"/>
      <c r="AV68" s="90"/>
      <c r="AW68" s="90"/>
      <c r="AX68" s="90"/>
      <c r="AY68" s="90"/>
      <c r="AZ68" s="90"/>
      <c r="BA68" s="90"/>
      <c r="BB68" s="90"/>
      <c r="BC68" s="90"/>
      <c r="BD68" s="90"/>
      <c r="BE68" s="90"/>
      <c r="BF68" s="90"/>
      <c r="BG68" s="90"/>
      <c r="BH68" s="90"/>
      <c r="BI68" s="90"/>
      <c r="BJ68" s="90"/>
      <c r="BK68" s="90"/>
      <c r="BL68" s="90"/>
      <c r="BM68" s="90"/>
      <c r="BN68" s="90"/>
      <c r="BO68" s="90"/>
      <c r="BP68" s="90"/>
      <c r="BQ68" s="90"/>
      <c r="BR68" s="90"/>
      <c r="BS68" s="90"/>
      <c r="BT68" s="90"/>
      <c r="BU68" s="90"/>
      <c r="BV68" s="90"/>
      <c r="BW68" s="90"/>
      <c r="BX68" s="90"/>
      <c r="BY68" s="90"/>
      <c r="BZ68" s="90"/>
      <c r="CA68" s="90"/>
      <c r="CB68" s="90"/>
      <c r="CC68" s="90"/>
      <c r="CD68" s="90"/>
      <c r="CE68" s="90"/>
      <c r="CF68" s="90"/>
      <c r="CG68" s="90"/>
      <c r="CH68" s="90"/>
      <c r="CI68" s="90"/>
      <c r="CJ68" s="90"/>
      <c r="CK68" s="90"/>
      <c r="CL68" s="90"/>
      <c r="CM68" s="90"/>
      <c r="CN68" s="90"/>
      <c r="CO68" s="90"/>
      <c r="CP68" s="90"/>
      <c r="CQ68" s="90"/>
      <c r="CR68" s="90"/>
      <c r="CS68" s="90"/>
      <c r="CT68" s="90"/>
      <c r="CU68" s="90"/>
      <c r="CV68" s="90"/>
      <c r="CW68" s="90"/>
      <c r="CX68" s="90"/>
      <c r="CY68" s="90"/>
      <c r="CZ68" s="90"/>
      <c r="DA68" s="90"/>
      <c r="DB68" s="90"/>
      <c r="DC68" s="90"/>
      <c r="DD68" s="90"/>
      <c r="DE68" s="90"/>
      <c r="DF68" s="90"/>
      <c r="DG68" s="90"/>
      <c r="DH68" s="90"/>
      <c r="DI68" s="90"/>
      <c r="DJ68" s="90"/>
      <c r="DK68" s="90"/>
      <c r="DL68" s="90"/>
      <c r="DM68" s="90"/>
      <c r="DN68" s="90"/>
      <c r="DO68" s="90"/>
      <c r="DP68" s="90"/>
      <c r="DQ68" s="90"/>
      <c r="DR68" s="90"/>
      <c r="DS68" s="90"/>
      <c r="DT68" s="90"/>
      <c r="DU68" s="90"/>
      <c r="DV68" s="90"/>
      <c r="DW68" s="90"/>
      <c r="DX68" s="90"/>
      <c r="DY68" s="90"/>
      <c r="DZ68" s="90"/>
      <c r="EA68" s="90"/>
      <c r="EB68" s="90"/>
      <c r="EC68" s="90"/>
      <c r="ED68" s="90"/>
      <c r="EE68" s="90"/>
      <c r="EF68" s="90"/>
      <c r="EG68" s="90"/>
      <c r="EH68" s="90"/>
      <c r="EI68" s="90"/>
      <c r="EJ68" s="90"/>
      <c r="EK68" s="90"/>
      <c r="EL68" s="90"/>
      <c r="EM68" s="90"/>
      <c r="EN68" s="90"/>
      <c r="EO68" s="90"/>
      <c r="EP68" s="90"/>
      <c r="EQ68" s="90"/>
      <c r="ER68" s="90"/>
      <c r="ES68" s="90"/>
      <c r="ET68" s="90"/>
      <c r="EU68" s="90"/>
      <c r="EV68" s="90"/>
      <c r="EW68" s="90"/>
      <c r="EX68" s="90"/>
      <c r="EY68" s="90"/>
    </row>
    <row r="69" ht="15.75" customHeight="1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0"/>
      <c r="AL69" s="90"/>
      <c r="AM69" s="90"/>
      <c r="AN69" s="90"/>
      <c r="AO69" s="90"/>
      <c r="AP69" s="90"/>
      <c r="AQ69" s="90"/>
      <c r="AR69" s="90"/>
      <c r="AS69" s="90"/>
      <c r="AT69" s="90"/>
      <c r="AU69" s="90"/>
      <c r="AV69" s="90"/>
      <c r="AW69" s="90"/>
      <c r="AX69" s="90"/>
      <c r="AY69" s="90"/>
      <c r="AZ69" s="90"/>
      <c r="BA69" s="90"/>
      <c r="BB69" s="90"/>
      <c r="BC69" s="90"/>
      <c r="BD69" s="90"/>
      <c r="BE69" s="90"/>
      <c r="BF69" s="90"/>
      <c r="BG69" s="90"/>
      <c r="BH69" s="90"/>
      <c r="BI69" s="90"/>
      <c r="BJ69" s="90"/>
      <c r="BK69" s="90"/>
      <c r="BL69" s="90"/>
      <c r="BM69" s="90"/>
      <c r="BN69" s="90"/>
      <c r="BO69" s="90"/>
      <c r="BP69" s="90"/>
      <c r="BQ69" s="90"/>
      <c r="BR69" s="90"/>
      <c r="BS69" s="90"/>
      <c r="BT69" s="90"/>
      <c r="BU69" s="90"/>
      <c r="BV69" s="90"/>
      <c r="BW69" s="90"/>
      <c r="BX69" s="90"/>
      <c r="BY69" s="90"/>
      <c r="BZ69" s="90"/>
      <c r="CA69" s="90"/>
      <c r="CB69" s="90"/>
      <c r="CC69" s="90"/>
      <c r="CD69" s="90"/>
      <c r="CE69" s="90"/>
      <c r="CF69" s="90"/>
      <c r="CG69" s="90"/>
      <c r="CH69" s="90"/>
      <c r="CI69" s="90"/>
      <c r="CJ69" s="90"/>
      <c r="CK69" s="90"/>
      <c r="CL69" s="90"/>
      <c r="CM69" s="90"/>
      <c r="CN69" s="90"/>
      <c r="CO69" s="90"/>
      <c r="CP69" s="90"/>
      <c r="CQ69" s="90"/>
      <c r="CR69" s="90"/>
      <c r="CS69" s="90"/>
      <c r="CT69" s="90"/>
      <c r="CU69" s="90"/>
      <c r="CV69" s="90"/>
      <c r="CW69" s="90"/>
      <c r="CX69" s="90"/>
      <c r="CY69" s="90"/>
      <c r="CZ69" s="90"/>
      <c r="DA69" s="90"/>
      <c r="DB69" s="90"/>
      <c r="DC69" s="90"/>
      <c r="DD69" s="90"/>
      <c r="DE69" s="90"/>
      <c r="DF69" s="90"/>
      <c r="DG69" s="90"/>
      <c r="DH69" s="90"/>
      <c r="DI69" s="90"/>
      <c r="DJ69" s="90"/>
      <c r="DK69" s="90"/>
      <c r="DL69" s="90"/>
      <c r="DM69" s="90"/>
      <c r="DN69" s="90"/>
      <c r="DO69" s="90"/>
      <c r="DP69" s="90"/>
      <c r="DQ69" s="90"/>
      <c r="DR69" s="90"/>
      <c r="DS69" s="90"/>
      <c r="DT69" s="90"/>
      <c r="DU69" s="90"/>
      <c r="DV69" s="90"/>
      <c r="DW69" s="90"/>
      <c r="DX69" s="90"/>
      <c r="DY69" s="90"/>
      <c r="DZ69" s="90"/>
      <c r="EA69" s="90"/>
      <c r="EB69" s="90"/>
      <c r="EC69" s="90"/>
      <c r="ED69" s="90"/>
      <c r="EE69" s="90"/>
      <c r="EF69" s="90"/>
      <c r="EG69" s="90"/>
      <c r="EH69" s="90"/>
      <c r="EI69" s="90"/>
      <c r="EJ69" s="90"/>
      <c r="EK69" s="90"/>
      <c r="EL69" s="90"/>
      <c r="EM69" s="90"/>
      <c r="EN69" s="90"/>
      <c r="EO69" s="90"/>
      <c r="EP69" s="90"/>
      <c r="EQ69" s="90"/>
      <c r="ER69" s="90"/>
      <c r="ES69" s="90"/>
      <c r="ET69" s="90"/>
      <c r="EU69" s="90"/>
      <c r="EV69" s="90"/>
      <c r="EW69" s="90"/>
      <c r="EX69" s="90"/>
      <c r="EY69" s="90"/>
    </row>
    <row r="70" ht="15.75" customHeight="1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0"/>
      <c r="AT70" s="90"/>
      <c r="AU70" s="90"/>
      <c r="AV70" s="90"/>
      <c r="AW70" s="90"/>
      <c r="AX70" s="90"/>
      <c r="AY70" s="90"/>
      <c r="AZ70" s="90"/>
      <c r="BA70" s="90"/>
      <c r="BB70" s="90"/>
      <c r="BC70" s="90"/>
      <c r="BD70" s="90"/>
      <c r="BE70" s="90"/>
      <c r="BF70" s="90"/>
      <c r="BG70" s="90"/>
      <c r="BH70" s="90"/>
      <c r="BI70" s="90"/>
      <c r="BJ70" s="90"/>
      <c r="BK70" s="90"/>
      <c r="BL70" s="90"/>
      <c r="BM70" s="90"/>
      <c r="BN70" s="90"/>
      <c r="BO70" s="90"/>
      <c r="BP70" s="90"/>
      <c r="BQ70" s="90"/>
      <c r="BR70" s="90"/>
      <c r="BS70" s="90"/>
      <c r="BT70" s="90"/>
      <c r="BU70" s="90"/>
      <c r="BV70" s="90"/>
      <c r="BW70" s="90"/>
      <c r="BX70" s="90"/>
      <c r="BY70" s="90"/>
      <c r="BZ70" s="90"/>
      <c r="CA70" s="90"/>
      <c r="CB70" s="90"/>
      <c r="CC70" s="90"/>
      <c r="CD70" s="90"/>
      <c r="CE70" s="90"/>
      <c r="CF70" s="90"/>
      <c r="CG70" s="90"/>
      <c r="CH70" s="90"/>
      <c r="CI70" s="90"/>
      <c r="CJ70" s="90"/>
      <c r="CK70" s="90"/>
      <c r="CL70" s="90"/>
      <c r="CM70" s="90"/>
      <c r="CN70" s="90"/>
      <c r="CO70" s="90"/>
      <c r="CP70" s="90"/>
      <c r="CQ70" s="90"/>
      <c r="CR70" s="90"/>
      <c r="CS70" s="90"/>
      <c r="CT70" s="90"/>
      <c r="CU70" s="90"/>
      <c r="CV70" s="90"/>
      <c r="CW70" s="90"/>
      <c r="CX70" s="90"/>
      <c r="CY70" s="90"/>
      <c r="CZ70" s="90"/>
      <c r="DA70" s="90"/>
      <c r="DB70" s="90"/>
      <c r="DC70" s="90"/>
      <c r="DD70" s="90"/>
      <c r="DE70" s="90"/>
      <c r="DF70" s="90"/>
      <c r="DG70" s="90"/>
      <c r="DH70" s="90"/>
      <c r="DI70" s="90"/>
      <c r="DJ70" s="90"/>
      <c r="DK70" s="90"/>
      <c r="DL70" s="90"/>
      <c r="DM70" s="90"/>
      <c r="DN70" s="90"/>
      <c r="DO70" s="90"/>
      <c r="DP70" s="90"/>
      <c r="DQ70" s="90"/>
      <c r="DR70" s="90"/>
      <c r="DS70" s="90"/>
      <c r="DT70" s="90"/>
      <c r="DU70" s="90"/>
      <c r="DV70" s="90"/>
      <c r="DW70" s="90"/>
      <c r="DX70" s="90"/>
      <c r="DY70" s="90"/>
      <c r="DZ70" s="90"/>
      <c r="EA70" s="90"/>
      <c r="EB70" s="90"/>
      <c r="EC70" s="90"/>
      <c r="ED70" s="90"/>
      <c r="EE70" s="90"/>
      <c r="EF70" s="90"/>
      <c r="EG70" s="90"/>
      <c r="EH70" s="90"/>
      <c r="EI70" s="90"/>
      <c r="EJ70" s="90"/>
      <c r="EK70" s="90"/>
      <c r="EL70" s="90"/>
      <c r="EM70" s="90"/>
      <c r="EN70" s="90"/>
      <c r="EO70" s="90"/>
      <c r="EP70" s="90"/>
      <c r="EQ70" s="90"/>
      <c r="ER70" s="90"/>
      <c r="ES70" s="90"/>
      <c r="ET70" s="90"/>
      <c r="EU70" s="90"/>
      <c r="EV70" s="90"/>
      <c r="EW70" s="90"/>
      <c r="EX70" s="90"/>
      <c r="EY70" s="90"/>
    </row>
    <row r="71" ht="15.75" customHeight="1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0"/>
      <c r="AO71" s="90"/>
      <c r="AP71" s="90"/>
      <c r="AQ71" s="90"/>
      <c r="AR71" s="90"/>
      <c r="AS71" s="90"/>
      <c r="AT71" s="90"/>
      <c r="AU71" s="90"/>
      <c r="AV71" s="90"/>
      <c r="AW71" s="90"/>
      <c r="AX71" s="90"/>
      <c r="AY71" s="90"/>
      <c r="AZ71" s="90"/>
      <c r="BA71" s="90"/>
      <c r="BB71" s="90"/>
      <c r="BC71" s="90"/>
      <c r="BD71" s="90"/>
      <c r="BE71" s="90"/>
      <c r="BF71" s="90"/>
      <c r="BG71" s="90"/>
      <c r="BH71" s="90"/>
      <c r="BI71" s="90"/>
      <c r="BJ71" s="90"/>
      <c r="BK71" s="90"/>
      <c r="BL71" s="90"/>
      <c r="BM71" s="90"/>
      <c r="BN71" s="90"/>
      <c r="BO71" s="90"/>
      <c r="BP71" s="90"/>
      <c r="BQ71" s="90"/>
      <c r="BR71" s="90"/>
      <c r="BS71" s="90"/>
      <c r="BT71" s="90"/>
      <c r="BU71" s="90"/>
      <c r="BV71" s="90"/>
      <c r="BW71" s="90"/>
      <c r="BX71" s="90"/>
      <c r="BY71" s="90"/>
      <c r="BZ71" s="90"/>
      <c r="CA71" s="90"/>
      <c r="CB71" s="90"/>
      <c r="CC71" s="90"/>
      <c r="CD71" s="90"/>
      <c r="CE71" s="90"/>
      <c r="CF71" s="90"/>
      <c r="CG71" s="90"/>
      <c r="CH71" s="90"/>
      <c r="CI71" s="90"/>
      <c r="CJ71" s="90"/>
      <c r="CK71" s="90"/>
      <c r="CL71" s="90"/>
      <c r="CM71" s="90"/>
      <c r="CN71" s="90"/>
      <c r="CO71" s="90"/>
      <c r="CP71" s="90"/>
      <c r="CQ71" s="90"/>
      <c r="CR71" s="90"/>
      <c r="CS71" s="90"/>
      <c r="CT71" s="90"/>
      <c r="CU71" s="90"/>
      <c r="CV71" s="90"/>
      <c r="CW71" s="90"/>
      <c r="CX71" s="90"/>
      <c r="CY71" s="90"/>
      <c r="CZ71" s="90"/>
      <c r="DA71" s="90"/>
      <c r="DB71" s="90"/>
      <c r="DC71" s="90"/>
      <c r="DD71" s="90"/>
      <c r="DE71" s="90"/>
      <c r="DF71" s="90"/>
      <c r="DG71" s="90"/>
      <c r="DH71" s="90"/>
      <c r="DI71" s="90"/>
      <c r="DJ71" s="90"/>
      <c r="DK71" s="90"/>
      <c r="DL71" s="90"/>
      <c r="DM71" s="90"/>
      <c r="DN71" s="90"/>
      <c r="DO71" s="90"/>
      <c r="DP71" s="90"/>
      <c r="DQ71" s="90"/>
      <c r="DR71" s="90"/>
      <c r="DS71" s="90"/>
      <c r="DT71" s="90"/>
      <c r="DU71" s="90"/>
      <c r="DV71" s="90"/>
      <c r="DW71" s="90"/>
      <c r="DX71" s="90"/>
      <c r="DY71" s="90"/>
      <c r="DZ71" s="90"/>
      <c r="EA71" s="90"/>
      <c r="EB71" s="90"/>
      <c r="EC71" s="90"/>
      <c r="ED71" s="90"/>
      <c r="EE71" s="90"/>
      <c r="EF71" s="90"/>
      <c r="EG71" s="90"/>
      <c r="EH71" s="90"/>
      <c r="EI71" s="90"/>
      <c r="EJ71" s="90"/>
      <c r="EK71" s="90"/>
      <c r="EL71" s="90"/>
      <c r="EM71" s="90"/>
      <c r="EN71" s="90"/>
      <c r="EO71" s="90"/>
      <c r="EP71" s="90"/>
      <c r="EQ71" s="90"/>
      <c r="ER71" s="90"/>
      <c r="ES71" s="90"/>
      <c r="ET71" s="90"/>
      <c r="EU71" s="90"/>
      <c r="EV71" s="90"/>
      <c r="EW71" s="90"/>
      <c r="EX71" s="90"/>
      <c r="EY71" s="90"/>
    </row>
    <row r="72" ht="15.75" customHeight="1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  <c r="AT72" s="90"/>
      <c r="AU72" s="90"/>
      <c r="AV72" s="90"/>
      <c r="AW72" s="90"/>
      <c r="AX72" s="90"/>
      <c r="AY72" s="90"/>
      <c r="AZ72" s="90"/>
      <c r="BA72" s="90"/>
      <c r="BB72" s="90"/>
      <c r="BC72" s="90"/>
      <c r="BD72" s="90"/>
      <c r="BE72" s="90"/>
      <c r="BF72" s="90"/>
      <c r="BG72" s="90"/>
      <c r="BH72" s="90"/>
      <c r="BI72" s="90"/>
      <c r="BJ72" s="90"/>
      <c r="BK72" s="90"/>
      <c r="BL72" s="90"/>
      <c r="BM72" s="90"/>
      <c r="BN72" s="90"/>
      <c r="BO72" s="90"/>
      <c r="BP72" s="90"/>
      <c r="BQ72" s="90"/>
      <c r="BR72" s="90"/>
      <c r="BS72" s="90"/>
      <c r="BT72" s="90"/>
      <c r="BU72" s="90"/>
      <c r="BV72" s="90"/>
      <c r="BW72" s="90"/>
      <c r="BX72" s="90"/>
      <c r="BY72" s="90"/>
      <c r="BZ72" s="90"/>
      <c r="CA72" s="90"/>
      <c r="CB72" s="90"/>
      <c r="CC72" s="90"/>
      <c r="CD72" s="90"/>
      <c r="CE72" s="90"/>
      <c r="CF72" s="90"/>
      <c r="CG72" s="90"/>
      <c r="CH72" s="90"/>
      <c r="CI72" s="90"/>
      <c r="CJ72" s="90"/>
      <c r="CK72" s="90"/>
      <c r="CL72" s="90"/>
      <c r="CM72" s="90"/>
      <c r="CN72" s="90"/>
      <c r="CO72" s="90"/>
      <c r="CP72" s="90"/>
      <c r="CQ72" s="90"/>
      <c r="CR72" s="90"/>
      <c r="CS72" s="90"/>
      <c r="CT72" s="90"/>
      <c r="CU72" s="90"/>
      <c r="CV72" s="90"/>
      <c r="CW72" s="90"/>
      <c r="CX72" s="90"/>
      <c r="CY72" s="90"/>
      <c r="CZ72" s="90"/>
      <c r="DA72" s="90"/>
      <c r="DB72" s="90"/>
      <c r="DC72" s="90"/>
      <c r="DD72" s="90"/>
      <c r="DE72" s="90"/>
      <c r="DF72" s="90"/>
      <c r="DG72" s="90"/>
      <c r="DH72" s="90"/>
      <c r="DI72" s="90"/>
      <c r="DJ72" s="90"/>
      <c r="DK72" s="90"/>
      <c r="DL72" s="90"/>
      <c r="DM72" s="90"/>
      <c r="DN72" s="90"/>
      <c r="DO72" s="90"/>
      <c r="DP72" s="90"/>
      <c r="DQ72" s="90"/>
      <c r="DR72" s="90"/>
      <c r="DS72" s="90"/>
      <c r="DT72" s="90"/>
      <c r="DU72" s="90"/>
      <c r="DV72" s="90"/>
      <c r="DW72" s="90"/>
      <c r="DX72" s="90"/>
      <c r="DY72" s="90"/>
      <c r="DZ72" s="90"/>
      <c r="EA72" s="90"/>
      <c r="EB72" s="90"/>
      <c r="EC72" s="90"/>
      <c r="ED72" s="90"/>
      <c r="EE72" s="90"/>
      <c r="EF72" s="90"/>
      <c r="EG72" s="90"/>
      <c r="EH72" s="90"/>
      <c r="EI72" s="90"/>
      <c r="EJ72" s="90"/>
      <c r="EK72" s="90"/>
      <c r="EL72" s="90"/>
      <c r="EM72" s="90"/>
      <c r="EN72" s="90"/>
      <c r="EO72" s="90"/>
      <c r="EP72" s="90"/>
      <c r="EQ72" s="90"/>
      <c r="ER72" s="90"/>
      <c r="ES72" s="90"/>
      <c r="ET72" s="90"/>
      <c r="EU72" s="90"/>
      <c r="EV72" s="90"/>
      <c r="EW72" s="90"/>
      <c r="EX72" s="90"/>
      <c r="EY72" s="90"/>
    </row>
    <row r="73" ht="15.75" customHeight="1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  <c r="AR73" s="90"/>
      <c r="AS73" s="90"/>
      <c r="AT73" s="90"/>
      <c r="AU73" s="90"/>
      <c r="AV73" s="90"/>
      <c r="AW73" s="90"/>
      <c r="AX73" s="90"/>
      <c r="AY73" s="90"/>
      <c r="AZ73" s="90"/>
      <c r="BA73" s="90"/>
      <c r="BB73" s="90"/>
      <c r="BC73" s="90"/>
      <c r="BD73" s="90"/>
      <c r="BE73" s="90"/>
      <c r="BF73" s="90"/>
      <c r="BG73" s="90"/>
      <c r="BH73" s="90"/>
      <c r="BI73" s="90"/>
      <c r="BJ73" s="90"/>
      <c r="BK73" s="90"/>
      <c r="BL73" s="90"/>
      <c r="BM73" s="90"/>
      <c r="BN73" s="90"/>
      <c r="BO73" s="90"/>
      <c r="BP73" s="90"/>
      <c r="BQ73" s="90"/>
      <c r="BR73" s="90"/>
      <c r="BS73" s="90"/>
      <c r="BT73" s="90"/>
      <c r="BU73" s="90"/>
      <c r="BV73" s="90"/>
      <c r="BW73" s="90"/>
      <c r="BX73" s="90"/>
      <c r="BY73" s="90"/>
      <c r="BZ73" s="90"/>
      <c r="CA73" s="90"/>
      <c r="CB73" s="90"/>
      <c r="CC73" s="90"/>
      <c r="CD73" s="90"/>
      <c r="CE73" s="90"/>
      <c r="CF73" s="90"/>
      <c r="CG73" s="90"/>
      <c r="CH73" s="90"/>
      <c r="CI73" s="90"/>
      <c r="CJ73" s="90"/>
      <c r="CK73" s="90"/>
      <c r="CL73" s="90"/>
      <c r="CM73" s="90"/>
      <c r="CN73" s="90"/>
      <c r="CO73" s="90"/>
      <c r="CP73" s="90"/>
      <c r="CQ73" s="90"/>
      <c r="CR73" s="90"/>
      <c r="CS73" s="90"/>
      <c r="CT73" s="90"/>
      <c r="CU73" s="90"/>
      <c r="CV73" s="90"/>
      <c r="CW73" s="90"/>
      <c r="CX73" s="90"/>
      <c r="CY73" s="90"/>
      <c r="CZ73" s="90"/>
      <c r="DA73" s="90"/>
      <c r="DB73" s="90"/>
      <c r="DC73" s="90"/>
      <c r="DD73" s="90"/>
      <c r="DE73" s="90"/>
      <c r="DF73" s="90"/>
      <c r="DG73" s="90"/>
      <c r="DH73" s="90"/>
      <c r="DI73" s="90"/>
      <c r="DJ73" s="90"/>
      <c r="DK73" s="90"/>
      <c r="DL73" s="90"/>
      <c r="DM73" s="90"/>
      <c r="DN73" s="90"/>
      <c r="DO73" s="90"/>
      <c r="DP73" s="90"/>
      <c r="DQ73" s="90"/>
      <c r="DR73" s="90"/>
      <c r="DS73" s="90"/>
      <c r="DT73" s="90"/>
      <c r="DU73" s="90"/>
      <c r="DV73" s="90"/>
      <c r="DW73" s="90"/>
      <c r="DX73" s="90"/>
      <c r="DY73" s="90"/>
      <c r="DZ73" s="90"/>
      <c r="EA73" s="90"/>
      <c r="EB73" s="90"/>
      <c r="EC73" s="90"/>
      <c r="ED73" s="90"/>
      <c r="EE73" s="90"/>
      <c r="EF73" s="90"/>
      <c r="EG73" s="90"/>
      <c r="EH73" s="90"/>
      <c r="EI73" s="90"/>
      <c r="EJ73" s="90"/>
      <c r="EK73" s="90"/>
      <c r="EL73" s="90"/>
      <c r="EM73" s="90"/>
      <c r="EN73" s="90"/>
      <c r="EO73" s="90"/>
      <c r="EP73" s="90"/>
      <c r="EQ73" s="90"/>
      <c r="ER73" s="90"/>
      <c r="ES73" s="90"/>
      <c r="ET73" s="90"/>
      <c r="EU73" s="90"/>
      <c r="EV73" s="90"/>
      <c r="EW73" s="90"/>
      <c r="EX73" s="90"/>
      <c r="EY73" s="90"/>
    </row>
    <row r="74" ht="15.75" customHeight="1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  <c r="AR74" s="90"/>
      <c r="AS74" s="90"/>
      <c r="AT74" s="90"/>
      <c r="AU74" s="90"/>
      <c r="AV74" s="90"/>
      <c r="AW74" s="90"/>
      <c r="AX74" s="90"/>
      <c r="AY74" s="90"/>
      <c r="AZ74" s="90"/>
      <c r="BA74" s="90"/>
      <c r="BB74" s="90"/>
      <c r="BC74" s="90"/>
      <c r="BD74" s="90"/>
      <c r="BE74" s="90"/>
      <c r="BF74" s="90"/>
      <c r="BG74" s="90"/>
      <c r="BH74" s="90"/>
      <c r="BI74" s="90"/>
      <c r="BJ74" s="90"/>
      <c r="BK74" s="90"/>
      <c r="BL74" s="90"/>
      <c r="BM74" s="90"/>
      <c r="BN74" s="90"/>
      <c r="BO74" s="90"/>
      <c r="BP74" s="90"/>
      <c r="BQ74" s="90"/>
      <c r="BR74" s="90"/>
      <c r="BS74" s="90"/>
      <c r="BT74" s="90"/>
      <c r="BU74" s="90"/>
      <c r="BV74" s="90"/>
      <c r="BW74" s="90"/>
      <c r="BX74" s="90"/>
      <c r="BY74" s="90"/>
      <c r="BZ74" s="90"/>
      <c r="CA74" s="90"/>
      <c r="CB74" s="90"/>
      <c r="CC74" s="90"/>
      <c r="CD74" s="90"/>
      <c r="CE74" s="90"/>
      <c r="CF74" s="90"/>
      <c r="CG74" s="90"/>
      <c r="CH74" s="90"/>
      <c r="CI74" s="90"/>
      <c r="CJ74" s="90"/>
      <c r="CK74" s="90"/>
      <c r="CL74" s="90"/>
      <c r="CM74" s="90"/>
      <c r="CN74" s="90"/>
      <c r="CO74" s="90"/>
      <c r="CP74" s="90"/>
      <c r="CQ74" s="90"/>
      <c r="CR74" s="90"/>
      <c r="CS74" s="90"/>
      <c r="CT74" s="90"/>
      <c r="CU74" s="90"/>
      <c r="CV74" s="90"/>
      <c r="CW74" s="90"/>
      <c r="CX74" s="90"/>
      <c r="CY74" s="90"/>
      <c r="CZ74" s="90"/>
      <c r="DA74" s="90"/>
      <c r="DB74" s="90"/>
      <c r="DC74" s="90"/>
      <c r="DD74" s="90"/>
      <c r="DE74" s="90"/>
      <c r="DF74" s="90"/>
      <c r="DG74" s="90"/>
      <c r="DH74" s="90"/>
      <c r="DI74" s="90"/>
      <c r="DJ74" s="90"/>
      <c r="DK74" s="90"/>
      <c r="DL74" s="90"/>
      <c r="DM74" s="90"/>
      <c r="DN74" s="90"/>
      <c r="DO74" s="90"/>
      <c r="DP74" s="90"/>
      <c r="DQ74" s="90"/>
      <c r="DR74" s="90"/>
      <c r="DS74" s="90"/>
      <c r="DT74" s="90"/>
      <c r="DU74" s="90"/>
      <c r="DV74" s="90"/>
      <c r="DW74" s="90"/>
      <c r="DX74" s="90"/>
      <c r="DY74" s="90"/>
      <c r="DZ74" s="90"/>
      <c r="EA74" s="90"/>
      <c r="EB74" s="90"/>
      <c r="EC74" s="90"/>
      <c r="ED74" s="90"/>
      <c r="EE74" s="90"/>
      <c r="EF74" s="90"/>
      <c r="EG74" s="90"/>
      <c r="EH74" s="90"/>
      <c r="EI74" s="90"/>
      <c r="EJ74" s="90"/>
      <c r="EK74" s="90"/>
      <c r="EL74" s="90"/>
      <c r="EM74" s="90"/>
      <c r="EN74" s="90"/>
      <c r="EO74" s="90"/>
      <c r="EP74" s="90"/>
      <c r="EQ74" s="90"/>
      <c r="ER74" s="90"/>
      <c r="ES74" s="90"/>
      <c r="ET74" s="90"/>
      <c r="EU74" s="90"/>
      <c r="EV74" s="90"/>
      <c r="EW74" s="90"/>
      <c r="EX74" s="90"/>
      <c r="EY74" s="90"/>
    </row>
    <row r="75" ht="15.75" customHeight="1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0"/>
      <c r="AQ75" s="90"/>
      <c r="AR75" s="90"/>
      <c r="AS75" s="90"/>
      <c r="AT75" s="90"/>
      <c r="AU75" s="90"/>
      <c r="AV75" s="90"/>
      <c r="AW75" s="90"/>
      <c r="AX75" s="90"/>
      <c r="AY75" s="90"/>
      <c r="AZ75" s="90"/>
      <c r="BA75" s="90"/>
      <c r="BB75" s="90"/>
      <c r="BC75" s="90"/>
      <c r="BD75" s="90"/>
      <c r="BE75" s="90"/>
      <c r="BF75" s="90"/>
      <c r="BG75" s="90"/>
      <c r="BH75" s="90"/>
      <c r="BI75" s="90"/>
      <c r="BJ75" s="90"/>
      <c r="BK75" s="90"/>
      <c r="BL75" s="90"/>
      <c r="BM75" s="90"/>
      <c r="BN75" s="90"/>
      <c r="BO75" s="90"/>
      <c r="BP75" s="90"/>
      <c r="BQ75" s="90"/>
      <c r="BR75" s="90"/>
      <c r="BS75" s="90"/>
      <c r="BT75" s="90"/>
      <c r="BU75" s="90"/>
      <c r="BV75" s="90"/>
      <c r="BW75" s="90"/>
      <c r="BX75" s="90"/>
      <c r="BY75" s="90"/>
      <c r="BZ75" s="90"/>
      <c r="CA75" s="90"/>
      <c r="CB75" s="90"/>
      <c r="CC75" s="90"/>
      <c r="CD75" s="90"/>
      <c r="CE75" s="90"/>
      <c r="CF75" s="90"/>
      <c r="CG75" s="90"/>
      <c r="CH75" s="90"/>
      <c r="CI75" s="90"/>
      <c r="CJ75" s="90"/>
      <c r="CK75" s="90"/>
      <c r="CL75" s="90"/>
      <c r="CM75" s="90"/>
      <c r="CN75" s="90"/>
      <c r="CO75" s="90"/>
      <c r="CP75" s="90"/>
      <c r="CQ75" s="90"/>
      <c r="CR75" s="90"/>
      <c r="CS75" s="90"/>
      <c r="CT75" s="90"/>
      <c r="CU75" s="90"/>
      <c r="CV75" s="90"/>
      <c r="CW75" s="90"/>
      <c r="CX75" s="90"/>
      <c r="CY75" s="90"/>
      <c r="CZ75" s="90"/>
      <c r="DA75" s="90"/>
      <c r="DB75" s="90"/>
      <c r="DC75" s="90"/>
      <c r="DD75" s="90"/>
      <c r="DE75" s="90"/>
      <c r="DF75" s="90"/>
      <c r="DG75" s="90"/>
      <c r="DH75" s="90"/>
      <c r="DI75" s="90"/>
      <c r="DJ75" s="90"/>
      <c r="DK75" s="90"/>
      <c r="DL75" s="90"/>
      <c r="DM75" s="90"/>
      <c r="DN75" s="90"/>
      <c r="DO75" s="90"/>
      <c r="DP75" s="90"/>
      <c r="DQ75" s="90"/>
      <c r="DR75" s="90"/>
      <c r="DS75" s="90"/>
      <c r="DT75" s="90"/>
      <c r="DU75" s="90"/>
      <c r="DV75" s="90"/>
      <c r="DW75" s="90"/>
      <c r="DX75" s="90"/>
      <c r="DY75" s="90"/>
      <c r="DZ75" s="90"/>
      <c r="EA75" s="90"/>
      <c r="EB75" s="90"/>
      <c r="EC75" s="90"/>
      <c r="ED75" s="90"/>
      <c r="EE75" s="90"/>
      <c r="EF75" s="90"/>
      <c r="EG75" s="90"/>
      <c r="EH75" s="90"/>
      <c r="EI75" s="90"/>
      <c r="EJ75" s="90"/>
      <c r="EK75" s="90"/>
      <c r="EL75" s="90"/>
      <c r="EM75" s="90"/>
      <c r="EN75" s="90"/>
      <c r="EO75" s="90"/>
      <c r="EP75" s="90"/>
      <c r="EQ75" s="90"/>
      <c r="ER75" s="90"/>
      <c r="ES75" s="90"/>
      <c r="ET75" s="90"/>
      <c r="EU75" s="90"/>
      <c r="EV75" s="90"/>
      <c r="EW75" s="90"/>
      <c r="EX75" s="90"/>
      <c r="EY75" s="90"/>
    </row>
    <row r="76" ht="15.75" customHeight="1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AT76" s="90"/>
      <c r="AU76" s="90"/>
      <c r="AV76" s="90"/>
      <c r="AW76" s="90"/>
      <c r="AX76" s="90"/>
      <c r="AY76" s="90"/>
      <c r="AZ76" s="90"/>
      <c r="BA76" s="90"/>
      <c r="BB76" s="90"/>
      <c r="BC76" s="90"/>
      <c r="BD76" s="90"/>
      <c r="BE76" s="90"/>
      <c r="BF76" s="90"/>
      <c r="BG76" s="90"/>
      <c r="BH76" s="90"/>
      <c r="BI76" s="90"/>
      <c r="BJ76" s="90"/>
      <c r="BK76" s="90"/>
      <c r="BL76" s="90"/>
      <c r="BM76" s="90"/>
      <c r="BN76" s="90"/>
      <c r="BO76" s="90"/>
      <c r="BP76" s="90"/>
      <c r="BQ76" s="90"/>
      <c r="BR76" s="90"/>
      <c r="BS76" s="90"/>
      <c r="BT76" s="90"/>
      <c r="BU76" s="90"/>
      <c r="BV76" s="90"/>
      <c r="BW76" s="90"/>
      <c r="BX76" s="90"/>
      <c r="BY76" s="90"/>
      <c r="BZ76" s="90"/>
      <c r="CA76" s="90"/>
      <c r="CB76" s="90"/>
      <c r="CC76" s="90"/>
      <c r="CD76" s="90"/>
      <c r="CE76" s="90"/>
      <c r="CF76" s="90"/>
      <c r="CG76" s="90"/>
      <c r="CH76" s="90"/>
      <c r="CI76" s="90"/>
      <c r="CJ76" s="90"/>
      <c r="CK76" s="90"/>
      <c r="CL76" s="90"/>
      <c r="CM76" s="90"/>
      <c r="CN76" s="90"/>
      <c r="CO76" s="90"/>
      <c r="CP76" s="90"/>
      <c r="CQ76" s="90"/>
      <c r="CR76" s="90"/>
      <c r="CS76" s="90"/>
      <c r="CT76" s="90"/>
      <c r="CU76" s="90"/>
      <c r="CV76" s="90"/>
      <c r="CW76" s="90"/>
      <c r="CX76" s="90"/>
      <c r="CY76" s="90"/>
      <c r="CZ76" s="90"/>
      <c r="DA76" s="90"/>
      <c r="DB76" s="90"/>
      <c r="DC76" s="90"/>
      <c r="DD76" s="90"/>
      <c r="DE76" s="90"/>
      <c r="DF76" s="90"/>
      <c r="DG76" s="90"/>
      <c r="DH76" s="90"/>
      <c r="DI76" s="90"/>
      <c r="DJ76" s="90"/>
      <c r="DK76" s="90"/>
      <c r="DL76" s="90"/>
      <c r="DM76" s="90"/>
      <c r="DN76" s="90"/>
      <c r="DO76" s="90"/>
      <c r="DP76" s="90"/>
      <c r="DQ76" s="90"/>
      <c r="DR76" s="90"/>
      <c r="DS76" s="90"/>
      <c r="DT76" s="90"/>
      <c r="DU76" s="90"/>
      <c r="DV76" s="90"/>
      <c r="DW76" s="90"/>
      <c r="DX76" s="90"/>
      <c r="DY76" s="90"/>
      <c r="DZ76" s="90"/>
      <c r="EA76" s="90"/>
      <c r="EB76" s="90"/>
      <c r="EC76" s="90"/>
      <c r="ED76" s="90"/>
      <c r="EE76" s="90"/>
      <c r="EF76" s="90"/>
      <c r="EG76" s="90"/>
      <c r="EH76" s="90"/>
      <c r="EI76" s="90"/>
      <c r="EJ76" s="90"/>
      <c r="EK76" s="90"/>
      <c r="EL76" s="90"/>
      <c r="EM76" s="90"/>
      <c r="EN76" s="90"/>
      <c r="EO76" s="90"/>
      <c r="EP76" s="90"/>
      <c r="EQ76" s="90"/>
      <c r="ER76" s="90"/>
      <c r="ES76" s="90"/>
      <c r="ET76" s="90"/>
      <c r="EU76" s="90"/>
      <c r="EV76" s="90"/>
      <c r="EW76" s="90"/>
      <c r="EX76" s="90"/>
      <c r="EY76" s="90"/>
    </row>
    <row r="77" ht="15.75" customHeight="1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0"/>
      <c r="AQ77" s="90"/>
      <c r="AR77" s="90"/>
      <c r="AS77" s="90"/>
      <c r="AT77" s="90"/>
      <c r="AU77" s="90"/>
      <c r="AV77" s="90"/>
      <c r="AW77" s="90"/>
      <c r="AX77" s="90"/>
      <c r="AY77" s="90"/>
      <c r="AZ77" s="90"/>
      <c r="BA77" s="90"/>
      <c r="BB77" s="90"/>
      <c r="BC77" s="90"/>
      <c r="BD77" s="90"/>
      <c r="BE77" s="90"/>
      <c r="BF77" s="90"/>
      <c r="BG77" s="90"/>
      <c r="BH77" s="90"/>
      <c r="BI77" s="90"/>
      <c r="BJ77" s="90"/>
      <c r="BK77" s="90"/>
      <c r="BL77" s="90"/>
      <c r="BM77" s="90"/>
      <c r="BN77" s="90"/>
      <c r="BO77" s="90"/>
      <c r="BP77" s="90"/>
      <c r="BQ77" s="90"/>
      <c r="BR77" s="90"/>
      <c r="BS77" s="90"/>
      <c r="BT77" s="90"/>
      <c r="BU77" s="90"/>
      <c r="BV77" s="90"/>
      <c r="BW77" s="90"/>
      <c r="BX77" s="90"/>
      <c r="BY77" s="90"/>
      <c r="BZ77" s="90"/>
      <c r="CA77" s="90"/>
      <c r="CB77" s="90"/>
      <c r="CC77" s="90"/>
      <c r="CD77" s="90"/>
      <c r="CE77" s="90"/>
      <c r="CF77" s="90"/>
      <c r="CG77" s="90"/>
      <c r="CH77" s="90"/>
      <c r="CI77" s="90"/>
      <c r="CJ77" s="90"/>
      <c r="CK77" s="90"/>
      <c r="CL77" s="90"/>
      <c r="CM77" s="90"/>
      <c r="CN77" s="90"/>
      <c r="CO77" s="90"/>
      <c r="CP77" s="90"/>
      <c r="CQ77" s="90"/>
      <c r="CR77" s="90"/>
      <c r="CS77" s="90"/>
      <c r="CT77" s="90"/>
      <c r="CU77" s="90"/>
      <c r="CV77" s="90"/>
      <c r="CW77" s="90"/>
      <c r="CX77" s="90"/>
      <c r="CY77" s="90"/>
      <c r="CZ77" s="90"/>
      <c r="DA77" s="90"/>
      <c r="DB77" s="90"/>
      <c r="DC77" s="90"/>
      <c r="DD77" s="90"/>
      <c r="DE77" s="90"/>
      <c r="DF77" s="90"/>
      <c r="DG77" s="90"/>
      <c r="DH77" s="90"/>
      <c r="DI77" s="90"/>
      <c r="DJ77" s="90"/>
      <c r="DK77" s="90"/>
      <c r="DL77" s="90"/>
      <c r="DM77" s="90"/>
      <c r="DN77" s="90"/>
      <c r="DO77" s="90"/>
      <c r="DP77" s="90"/>
      <c r="DQ77" s="90"/>
      <c r="DR77" s="90"/>
      <c r="DS77" s="90"/>
      <c r="DT77" s="90"/>
      <c r="DU77" s="90"/>
      <c r="DV77" s="90"/>
      <c r="DW77" s="90"/>
      <c r="DX77" s="90"/>
      <c r="DY77" s="90"/>
      <c r="DZ77" s="90"/>
      <c r="EA77" s="90"/>
      <c r="EB77" s="90"/>
      <c r="EC77" s="90"/>
      <c r="ED77" s="90"/>
      <c r="EE77" s="90"/>
      <c r="EF77" s="90"/>
      <c r="EG77" s="90"/>
      <c r="EH77" s="90"/>
      <c r="EI77" s="90"/>
      <c r="EJ77" s="90"/>
      <c r="EK77" s="90"/>
      <c r="EL77" s="90"/>
      <c r="EM77" s="90"/>
      <c r="EN77" s="90"/>
      <c r="EO77" s="90"/>
      <c r="EP77" s="90"/>
      <c r="EQ77" s="90"/>
      <c r="ER77" s="90"/>
      <c r="ES77" s="90"/>
      <c r="ET77" s="90"/>
      <c r="EU77" s="90"/>
      <c r="EV77" s="90"/>
      <c r="EW77" s="90"/>
      <c r="EX77" s="90"/>
      <c r="EY77" s="90"/>
    </row>
    <row r="78" ht="15.75" customHeight="1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90"/>
      <c r="AU78" s="90"/>
      <c r="AV78" s="90"/>
      <c r="AW78" s="90"/>
      <c r="AX78" s="90"/>
      <c r="AY78" s="90"/>
      <c r="AZ78" s="90"/>
      <c r="BA78" s="90"/>
      <c r="BB78" s="90"/>
      <c r="BC78" s="90"/>
      <c r="BD78" s="90"/>
      <c r="BE78" s="90"/>
      <c r="BF78" s="90"/>
      <c r="BG78" s="90"/>
      <c r="BH78" s="90"/>
      <c r="BI78" s="90"/>
      <c r="BJ78" s="90"/>
      <c r="BK78" s="90"/>
      <c r="BL78" s="90"/>
      <c r="BM78" s="90"/>
      <c r="BN78" s="90"/>
      <c r="BO78" s="90"/>
      <c r="BP78" s="90"/>
      <c r="BQ78" s="90"/>
      <c r="BR78" s="90"/>
      <c r="BS78" s="90"/>
      <c r="BT78" s="90"/>
      <c r="BU78" s="90"/>
      <c r="BV78" s="90"/>
      <c r="BW78" s="90"/>
      <c r="BX78" s="90"/>
      <c r="BY78" s="90"/>
      <c r="BZ78" s="90"/>
      <c r="CA78" s="90"/>
      <c r="CB78" s="90"/>
      <c r="CC78" s="90"/>
      <c r="CD78" s="90"/>
      <c r="CE78" s="90"/>
      <c r="CF78" s="90"/>
      <c r="CG78" s="90"/>
      <c r="CH78" s="90"/>
      <c r="CI78" s="90"/>
      <c r="CJ78" s="90"/>
      <c r="CK78" s="90"/>
      <c r="CL78" s="90"/>
      <c r="CM78" s="90"/>
      <c r="CN78" s="90"/>
      <c r="CO78" s="90"/>
      <c r="CP78" s="90"/>
      <c r="CQ78" s="90"/>
      <c r="CR78" s="90"/>
      <c r="CS78" s="90"/>
      <c r="CT78" s="90"/>
      <c r="CU78" s="90"/>
      <c r="CV78" s="90"/>
      <c r="CW78" s="90"/>
      <c r="CX78" s="90"/>
      <c r="CY78" s="90"/>
      <c r="CZ78" s="90"/>
      <c r="DA78" s="90"/>
      <c r="DB78" s="90"/>
      <c r="DC78" s="90"/>
      <c r="DD78" s="90"/>
      <c r="DE78" s="90"/>
      <c r="DF78" s="90"/>
      <c r="DG78" s="90"/>
      <c r="DH78" s="90"/>
      <c r="DI78" s="90"/>
      <c r="DJ78" s="90"/>
      <c r="DK78" s="90"/>
      <c r="DL78" s="90"/>
      <c r="DM78" s="90"/>
      <c r="DN78" s="90"/>
      <c r="DO78" s="90"/>
      <c r="DP78" s="90"/>
      <c r="DQ78" s="90"/>
      <c r="DR78" s="90"/>
      <c r="DS78" s="90"/>
      <c r="DT78" s="90"/>
      <c r="DU78" s="90"/>
      <c r="DV78" s="90"/>
      <c r="DW78" s="90"/>
      <c r="DX78" s="90"/>
      <c r="DY78" s="90"/>
      <c r="DZ78" s="90"/>
      <c r="EA78" s="90"/>
      <c r="EB78" s="90"/>
      <c r="EC78" s="90"/>
      <c r="ED78" s="90"/>
      <c r="EE78" s="90"/>
      <c r="EF78" s="90"/>
      <c r="EG78" s="90"/>
      <c r="EH78" s="90"/>
      <c r="EI78" s="90"/>
      <c r="EJ78" s="90"/>
      <c r="EK78" s="90"/>
      <c r="EL78" s="90"/>
      <c r="EM78" s="90"/>
      <c r="EN78" s="90"/>
      <c r="EO78" s="90"/>
      <c r="EP78" s="90"/>
      <c r="EQ78" s="90"/>
      <c r="ER78" s="90"/>
      <c r="ES78" s="90"/>
      <c r="ET78" s="90"/>
      <c r="EU78" s="90"/>
      <c r="EV78" s="90"/>
      <c r="EW78" s="90"/>
      <c r="EX78" s="90"/>
      <c r="EY78" s="90"/>
    </row>
    <row r="79" ht="15.75" customHeight="1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BG79" s="90"/>
      <c r="BH79" s="90"/>
      <c r="BI79" s="90"/>
      <c r="BJ79" s="90"/>
      <c r="BK79" s="90"/>
      <c r="BL79" s="90"/>
      <c r="BM79" s="90"/>
      <c r="BN79" s="90"/>
      <c r="BO79" s="90"/>
      <c r="BP79" s="90"/>
      <c r="BQ79" s="90"/>
      <c r="BR79" s="90"/>
      <c r="BS79" s="90"/>
      <c r="BT79" s="90"/>
      <c r="BU79" s="90"/>
      <c r="BV79" s="90"/>
      <c r="BW79" s="90"/>
      <c r="BX79" s="90"/>
      <c r="BY79" s="90"/>
      <c r="BZ79" s="90"/>
      <c r="CA79" s="90"/>
      <c r="CB79" s="90"/>
      <c r="CC79" s="90"/>
      <c r="CD79" s="90"/>
      <c r="CE79" s="90"/>
      <c r="CF79" s="90"/>
      <c r="CG79" s="90"/>
      <c r="CH79" s="90"/>
      <c r="CI79" s="90"/>
      <c r="CJ79" s="90"/>
      <c r="CK79" s="90"/>
      <c r="CL79" s="90"/>
      <c r="CM79" s="90"/>
      <c r="CN79" s="90"/>
      <c r="CO79" s="90"/>
      <c r="CP79" s="90"/>
      <c r="CQ79" s="90"/>
      <c r="CR79" s="90"/>
      <c r="CS79" s="90"/>
      <c r="CT79" s="90"/>
      <c r="CU79" s="90"/>
      <c r="CV79" s="90"/>
      <c r="CW79" s="90"/>
      <c r="CX79" s="90"/>
      <c r="CY79" s="90"/>
      <c r="CZ79" s="90"/>
      <c r="DA79" s="90"/>
      <c r="DB79" s="90"/>
      <c r="DC79" s="90"/>
      <c r="DD79" s="90"/>
      <c r="DE79" s="90"/>
      <c r="DF79" s="90"/>
      <c r="DG79" s="90"/>
      <c r="DH79" s="90"/>
      <c r="DI79" s="90"/>
      <c r="DJ79" s="90"/>
      <c r="DK79" s="90"/>
      <c r="DL79" s="90"/>
      <c r="DM79" s="90"/>
      <c r="DN79" s="90"/>
      <c r="DO79" s="90"/>
      <c r="DP79" s="90"/>
      <c r="DQ79" s="90"/>
      <c r="DR79" s="90"/>
      <c r="DS79" s="90"/>
      <c r="DT79" s="90"/>
      <c r="DU79" s="90"/>
      <c r="DV79" s="90"/>
      <c r="DW79" s="90"/>
      <c r="DX79" s="90"/>
      <c r="DY79" s="90"/>
      <c r="DZ79" s="90"/>
      <c r="EA79" s="90"/>
      <c r="EB79" s="90"/>
      <c r="EC79" s="90"/>
      <c r="ED79" s="90"/>
      <c r="EE79" s="90"/>
      <c r="EF79" s="90"/>
      <c r="EG79" s="90"/>
      <c r="EH79" s="90"/>
      <c r="EI79" s="90"/>
      <c r="EJ79" s="90"/>
      <c r="EK79" s="90"/>
      <c r="EL79" s="90"/>
      <c r="EM79" s="90"/>
      <c r="EN79" s="90"/>
      <c r="EO79" s="90"/>
      <c r="EP79" s="90"/>
      <c r="EQ79" s="90"/>
      <c r="ER79" s="90"/>
      <c r="ES79" s="90"/>
      <c r="ET79" s="90"/>
      <c r="EU79" s="90"/>
      <c r="EV79" s="90"/>
      <c r="EW79" s="90"/>
      <c r="EX79" s="90"/>
      <c r="EY79" s="90"/>
    </row>
    <row r="80" ht="15.75" customHeight="1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0"/>
      <c r="AQ80" s="90"/>
      <c r="AR80" s="90"/>
      <c r="AS80" s="90"/>
      <c r="AT80" s="90"/>
      <c r="AU80" s="90"/>
      <c r="AV80" s="90"/>
      <c r="AW80" s="90"/>
      <c r="AX80" s="90"/>
      <c r="AY80" s="90"/>
      <c r="AZ80" s="90"/>
      <c r="BA80" s="90"/>
      <c r="BB80" s="90"/>
      <c r="BC80" s="90"/>
      <c r="BD80" s="90"/>
      <c r="BE80" s="90"/>
      <c r="BF80" s="90"/>
      <c r="BG80" s="90"/>
      <c r="BH80" s="90"/>
      <c r="BI80" s="90"/>
      <c r="BJ80" s="90"/>
      <c r="BK80" s="90"/>
      <c r="BL80" s="90"/>
      <c r="BM80" s="90"/>
      <c r="BN80" s="90"/>
      <c r="BO80" s="90"/>
      <c r="BP80" s="90"/>
      <c r="BQ80" s="90"/>
      <c r="BR80" s="90"/>
      <c r="BS80" s="90"/>
      <c r="BT80" s="90"/>
      <c r="BU80" s="90"/>
      <c r="BV80" s="90"/>
      <c r="BW80" s="90"/>
      <c r="BX80" s="90"/>
      <c r="BY80" s="90"/>
      <c r="BZ80" s="90"/>
      <c r="CA80" s="90"/>
      <c r="CB80" s="90"/>
      <c r="CC80" s="90"/>
      <c r="CD80" s="90"/>
      <c r="CE80" s="90"/>
      <c r="CF80" s="90"/>
      <c r="CG80" s="90"/>
      <c r="CH80" s="90"/>
      <c r="CI80" s="90"/>
      <c r="CJ80" s="90"/>
      <c r="CK80" s="90"/>
      <c r="CL80" s="90"/>
      <c r="CM80" s="90"/>
      <c r="CN80" s="90"/>
      <c r="CO80" s="90"/>
      <c r="CP80" s="90"/>
      <c r="CQ80" s="90"/>
      <c r="CR80" s="90"/>
      <c r="CS80" s="90"/>
      <c r="CT80" s="90"/>
      <c r="CU80" s="90"/>
      <c r="CV80" s="90"/>
      <c r="CW80" s="90"/>
      <c r="CX80" s="90"/>
      <c r="CY80" s="90"/>
      <c r="CZ80" s="90"/>
      <c r="DA80" s="90"/>
      <c r="DB80" s="90"/>
      <c r="DC80" s="90"/>
      <c r="DD80" s="90"/>
      <c r="DE80" s="90"/>
      <c r="DF80" s="90"/>
      <c r="DG80" s="90"/>
      <c r="DH80" s="90"/>
      <c r="DI80" s="90"/>
      <c r="DJ80" s="90"/>
      <c r="DK80" s="90"/>
      <c r="DL80" s="90"/>
      <c r="DM80" s="90"/>
      <c r="DN80" s="90"/>
      <c r="DO80" s="90"/>
      <c r="DP80" s="90"/>
      <c r="DQ80" s="90"/>
      <c r="DR80" s="90"/>
      <c r="DS80" s="90"/>
      <c r="DT80" s="90"/>
      <c r="DU80" s="90"/>
      <c r="DV80" s="90"/>
      <c r="DW80" s="90"/>
      <c r="DX80" s="90"/>
      <c r="DY80" s="90"/>
      <c r="DZ80" s="90"/>
      <c r="EA80" s="90"/>
      <c r="EB80" s="90"/>
      <c r="EC80" s="90"/>
      <c r="ED80" s="90"/>
      <c r="EE80" s="90"/>
      <c r="EF80" s="90"/>
      <c r="EG80" s="90"/>
      <c r="EH80" s="90"/>
      <c r="EI80" s="90"/>
      <c r="EJ80" s="90"/>
      <c r="EK80" s="90"/>
      <c r="EL80" s="90"/>
      <c r="EM80" s="90"/>
      <c r="EN80" s="90"/>
      <c r="EO80" s="90"/>
      <c r="EP80" s="90"/>
      <c r="EQ80" s="90"/>
      <c r="ER80" s="90"/>
      <c r="ES80" s="90"/>
      <c r="ET80" s="90"/>
      <c r="EU80" s="90"/>
      <c r="EV80" s="90"/>
      <c r="EW80" s="90"/>
      <c r="EX80" s="90"/>
      <c r="EY80" s="90"/>
    </row>
    <row r="81" ht="15.75" customHeight="1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0"/>
      <c r="AO81" s="90"/>
      <c r="AP81" s="90"/>
      <c r="AQ81" s="90"/>
      <c r="AR81" s="90"/>
      <c r="AS81" s="90"/>
      <c r="AT81" s="90"/>
      <c r="AU81" s="90"/>
      <c r="AV81" s="90"/>
      <c r="AW81" s="90"/>
      <c r="AX81" s="90"/>
      <c r="AY81" s="90"/>
      <c r="AZ81" s="90"/>
      <c r="BA81" s="90"/>
      <c r="BB81" s="90"/>
      <c r="BC81" s="90"/>
      <c r="BD81" s="90"/>
      <c r="BE81" s="90"/>
      <c r="BF81" s="90"/>
      <c r="BG81" s="90"/>
      <c r="BH81" s="90"/>
      <c r="BI81" s="90"/>
      <c r="BJ81" s="90"/>
      <c r="BK81" s="90"/>
      <c r="BL81" s="90"/>
      <c r="BM81" s="90"/>
      <c r="BN81" s="90"/>
      <c r="BO81" s="90"/>
      <c r="BP81" s="90"/>
      <c r="BQ81" s="90"/>
      <c r="BR81" s="90"/>
      <c r="BS81" s="90"/>
      <c r="BT81" s="90"/>
      <c r="BU81" s="90"/>
      <c r="BV81" s="90"/>
      <c r="BW81" s="90"/>
      <c r="BX81" s="90"/>
      <c r="BY81" s="90"/>
      <c r="BZ81" s="90"/>
      <c r="CA81" s="90"/>
      <c r="CB81" s="90"/>
      <c r="CC81" s="90"/>
      <c r="CD81" s="90"/>
      <c r="CE81" s="90"/>
      <c r="CF81" s="90"/>
      <c r="CG81" s="90"/>
      <c r="CH81" s="90"/>
      <c r="CI81" s="90"/>
      <c r="CJ81" s="90"/>
      <c r="CK81" s="90"/>
      <c r="CL81" s="90"/>
      <c r="CM81" s="90"/>
      <c r="CN81" s="90"/>
      <c r="CO81" s="90"/>
      <c r="CP81" s="90"/>
      <c r="CQ81" s="90"/>
      <c r="CR81" s="90"/>
      <c r="CS81" s="90"/>
      <c r="CT81" s="90"/>
      <c r="CU81" s="90"/>
      <c r="CV81" s="90"/>
      <c r="CW81" s="90"/>
      <c r="CX81" s="90"/>
      <c r="CY81" s="90"/>
      <c r="CZ81" s="90"/>
      <c r="DA81" s="90"/>
      <c r="DB81" s="90"/>
      <c r="DC81" s="90"/>
      <c r="DD81" s="90"/>
      <c r="DE81" s="90"/>
      <c r="DF81" s="90"/>
      <c r="DG81" s="90"/>
      <c r="DH81" s="90"/>
      <c r="DI81" s="90"/>
      <c r="DJ81" s="90"/>
      <c r="DK81" s="90"/>
      <c r="DL81" s="90"/>
      <c r="DM81" s="90"/>
      <c r="DN81" s="90"/>
      <c r="DO81" s="90"/>
      <c r="DP81" s="90"/>
      <c r="DQ81" s="90"/>
      <c r="DR81" s="90"/>
      <c r="DS81" s="90"/>
      <c r="DT81" s="90"/>
      <c r="DU81" s="90"/>
      <c r="DV81" s="90"/>
      <c r="DW81" s="90"/>
      <c r="DX81" s="90"/>
      <c r="DY81" s="90"/>
      <c r="DZ81" s="90"/>
      <c r="EA81" s="90"/>
      <c r="EB81" s="90"/>
      <c r="EC81" s="90"/>
      <c r="ED81" s="90"/>
      <c r="EE81" s="90"/>
      <c r="EF81" s="90"/>
      <c r="EG81" s="90"/>
      <c r="EH81" s="90"/>
      <c r="EI81" s="90"/>
      <c r="EJ81" s="90"/>
      <c r="EK81" s="90"/>
      <c r="EL81" s="90"/>
      <c r="EM81" s="90"/>
      <c r="EN81" s="90"/>
      <c r="EO81" s="90"/>
      <c r="EP81" s="90"/>
      <c r="EQ81" s="90"/>
      <c r="ER81" s="90"/>
      <c r="ES81" s="90"/>
      <c r="ET81" s="90"/>
      <c r="EU81" s="90"/>
      <c r="EV81" s="90"/>
      <c r="EW81" s="90"/>
      <c r="EX81" s="90"/>
      <c r="EY81" s="90"/>
    </row>
    <row r="82" ht="15.75" customHeight="1">
      <c r="A82" s="9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0"/>
      <c r="AX82" s="90"/>
      <c r="AY82" s="90"/>
      <c r="AZ82" s="90"/>
      <c r="BA82" s="90"/>
      <c r="BB82" s="90"/>
      <c r="BC82" s="90"/>
      <c r="BD82" s="90"/>
      <c r="BE82" s="90"/>
      <c r="BF82" s="90"/>
      <c r="BG82" s="90"/>
      <c r="BH82" s="90"/>
      <c r="BI82" s="90"/>
      <c r="BJ82" s="90"/>
      <c r="BK82" s="90"/>
      <c r="BL82" s="90"/>
      <c r="BM82" s="90"/>
      <c r="BN82" s="90"/>
      <c r="BO82" s="90"/>
      <c r="BP82" s="90"/>
      <c r="BQ82" s="90"/>
      <c r="BR82" s="90"/>
      <c r="BS82" s="90"/>
      <c r="BT82" s="90"/>
      <c r="BU82" s="90"/>
      <c r="BV82" s="90"/>
      <c r="BW82" s="90"/>
      <c r="BX82" s="90"/>
      <c r="BY82" s="90"/>
      <c r="BZ82" s="90"/>
      <c r="CA82" s="90"/>
      <c r="CB82" s="90"/>
      <c r="CC82" s="90"/>
      <c r="CD82" s="90"/>
      <c r="CE82" s="90"/>
      <c r="CF82" s="90"/>
      <c r="CG82" s="90"/>
      <c r="CH82" s="90"/>
      <c r="CI82" s="90"/>
      <c r="CJ82" s="90"/>
      <c r="CK82" s="90"/>
      <c r="CL82" s="90"/>
      <c r="CM82" s="90"/>
      <c r="CN82" s="90"/>
      <c r="CO82" s="90"/>
      <c r="CP82" s="90"/>
      <c r="CQ82" s="90"/>
      <c r="CR82" s="90"/>
      <c r="CS82" s="90"/>
      <c r="CT82" s="90"/>
      <c r="CU82" s="90"/>
      <c r="CV82" s="90"/>
      <c r="CW82" s="90"/>
      <c r="CX82" s="90"/>
      <c r="CY82" s="90"/>
      <c r="CZ82" s="90"/>
      <c r="DA82" s="90"/>
      <c r="DB82" s="90"/>
      <c r="DC82" s="90"/>
      <c r="DD82" s="90"/>
      <c r="DE82" s="90"/>
      <c r="DF82" s="90"/>
      <c r="DG82" s="90"/>
      <c r="DH82" s="90"/>
      <c r="DI82" s="90"/>
      <c r="DJ82" s="90"/>
      <c r="DK82" s="90"/>
      <c r="DL82" s="90"/>
      <c r="DM82" s="90"/>
      <c r="DN82" s="90"/>
      <c r="DO82" s="90"/>
      <c r="DP82" s="90"/>
      <c r="DQ82" s="90"/>
      <c r="DR82" s="90"/>
      <c r="DS82" s="90"/>
      <c r="DT82" s="90"/>
      <c r="DU82" s="90"/>
      <c r="DV82" s="90"/>
      <c r="DW82" s="90"/>
      <c r="DX82" s="90"/>
      <c r="DY82" s="90"/>
      <c r="DZ82" s="90"/>
      <c r="EA82" s="90"/>
      <c r="EB82" s="90"/>
      <c r="EC82" s="90"/>
      <c r="ED82" s="90"/>
      <c r="EE82" s="90"/>
      <c r="EF82" s="90"/>
      <c r="EG82" s="90"/>
      <c r="EH82" s="90"/>
      <c r="EI82" s="90"/>
      <c r="EJ82" s="90"/>
      <c r="EK82" s="90"/>
      <c r="EL82" s="90"/>
      <c r="EM82" s="90"/>
      <c r="EN82" s="90"/>
      <c r="EO82" s="90"/>
      <c r="EP82" s="90"/>
      <c r="EQ82" s="90"/>
      <c r="ER82" s="90"/>
      <c r="ES82" s="90"/>
      <c r="ET82" s="90"/>
      <c r="EU82" s="90"/>
      <c r="EV82" s="90"/>
      <c r="EW82" s="90"/>
      <c r="EX82" s="90"/>
      <c r="EY82" s="90"/>
    </row>
    <row r="83" ht="15.75" customHeight="1">
      <c r="A83" s="90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90"/>
      <c r="BD83" s="90"/>
      <c r="BE83" s="90"/>
      <c r="BF83" s="90"/>
      <c r="BG83" s="90"/>
      <c r="BH83" s="90"/>
      <c r="BI83" s="90"/>
      <c r="BJ83" s="90"/>
      <c r="BK83" s="90"/>
      <c r="BL83" s="90"/>
      <c r="BM83" s="90"/>
      <c r="BN83" s="90"/>
      <c r="BO83" s="90"/>
      <c r="BP83" s="90"/>
      <c r="BQ83" s="90"/>
      <c r="BR83" s="90"/>
      <c r="BS83" s="90"/>
      <c r="BT83" s="90"/>
      <c r="BU83" s="90"/>
      <c r="BV83" s="90"/>
      <c r="BW83" s="90"/>
      <c r="BX83" s="90"/>
      <c r="BY83" s="90"/>
      <c r="BZ83" s="90"/>
      <c r="CA83" s="90"/>
      <c r="CB83" s="90"/>
      <c r="CC83" s="90"/>
      <c r="CD83" s="90"/>
      <c r="CE83" s="90"/>
      <c r="CF83" s="90"/>
      <c r="CG83" s="90"/>
      <c r="CH83" s="90"/>
      <c r="CI83" s="90"/>
      <c r="CJ83" s="90"/>
      <c r="CK83" s="90"/>
      <c r="CL83" s="90"/>
      <c r="CM83" s="90"/>
      <c r="CN83" s="90"/>
      <c r="CO83" s="90"/>
      <c r="CP83" s="90"/>
      <c r="CQ83" s="90"/>
      <c r="CR83" s="90"/>
      <c r="CS83" s="90"/>
      <c r="CT83" s="90"/>
      <c r="CU83" s="90"/>
      <c r="CV83" s="90"/>
      <c r="CW83" s="90"/>
      <c r="CX83" s="90"/>
      <c r="CY83" s="90"/>
      <c r="CZ83" s="90"/>
      <c r="DA83" s="90"/>
      <c r="DB83" s="90"/>
      <c r="DC83" s="90"/>
      <c r="DD83" s="90"/>
      <c r="DE83" s="90"/>
      <c r="DF83" s="90"/>
      <c r="DG83" s="90"/>
      <c r="DH83" s="90"/>
      <c r="DI83" s="90"/>
      <c r="DJ83" s="90"/>
      <c r="DK83" s="90"/>
      <c r="DL83" s="90"/>
      <c r="DM83" s="90"/>
      <c r="DN83" s="90"/>
      <c r="DO83" s="90"/>
      <c r="DP83" s="90"/>
      <c r="DQ83" s="90"/>
      <c r="DR83" s="90"/>
      <c r="DS83" s="90"/>
      <c r="DT83" s="90"/>
      <c r="DU83" s="90"/>
      <c r="DV83" s="90"/>
      <c r="DW83" s="90"/>
      <c r="DX83" s="90"/>
      <c r="DY83" s="90"/>
      <c r="DZ83" s="90"/>
      <c r="EA83" s="90"/>
      <c r="EB83" s="90"/>
      <c r="EC83" s="90"/>
      <c r="ED83" s="90"/>
      <c r="EE83" s="90"/>
      <c r="EF83" s="90"/>
      <c r="EG83" s="90"/>
      <c r="EH83" s="90"/>
      <c r="EI83" s="90"/>
      <c r="EJ83" s="90"/>
      <c r="EK83" s="90"/>
      <c r="EL83" s="90"/>
      <c r="EM83" s="90"/>
      <c r="EN83" s="90"/>
      <c r="EO83" s="90"/>
      <c r="EP83" s="90"/>
      <c r="EQ83" s="90"/>
      <c r="ER83" s="90"/>
      <c r="ES83" s="90"/>
      <c r="ET83" s="90"/>
      <c r="EU83" s="90"/>
      <c r="EV83" s="90"/>
      <c r="EW83" s="90"/>
      <c r="EX83" s="90"/>
      <c r="EY83" s="90"/>
    </row>
    <row r="84" ht="15.75" customHeight="1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0"/>
      <c r="AU84" s="90"/>
      <c r="AV84" s="90"/>
      <c r="AW84" s="90"/>
      <c r="AX84" s="90"/>
      <c r="AY84" s="90"/>
      <c r="AZ84" s="90"/>
      <c r="BA84" s="90"/>
      <c r="BB84" s="90"/>
      <c r="BC84" s="90"/>
      <c r="BD84" s="90"/>
      <c r="BE84" s="90"/>
      <c r="BF84" s="90"/>
      <c r="BG84" s="90"/>
      <c r="BH84" s="90"/>
      <c r="BI84" s="90"/>
      <c r="BJ84" s="90"/>
      <c r="BK84" s="90"/>
      <c r="BL84" s="90"/>
      <c r="BM84" s="90"/>
      <c r="BN84" s="90"/>
      <c r="BO84" s="90"/>
      <c r="BP84" s="90"/>
      <c r="BQ84" s="90"/>
      <c r="BR84" s="90"/>
      <c r="BS84" s="90"/>
      <c r="BT84" s="90"/>
      <c r="BU84" s="90"/>
      <c r="BV84" s="90"/>
      <c r="BW84" s="90"/>
      <c r="BX84" s="90"/>
      <c r="BY84" s="90"/>
      <c r="BZ84" s="90"/>
      <c r="CA84" s="90"/>
      <c r="CB84" s="90"/>
      <c r="CC84" s="90"/>
      <c r="CD84" s="90"/>
      <c r="CE84" s="90"/>
      <c r="CF84" s="90"/>
      <c r="CG84" s="90"/>
      <c r="CH84" s="90"/>
      <c r="CI84" s="90"/>
      <c r="CJ84" s="90"/>
      <c r="CK84" s="90"/>
      <c r="CL84" s="90"/>
      <c r="CM84" s="90"/>
      <c r="CN84" s="90"/>
      <c r="CO84" s="90"/>
      <c r="CP84" s="90"/>
      <c r="CQ84" s="90"/>
      <c r="CR84" s="90"/>
      <c r="CS84" s="90"/>
      <c r="CT84" s="90"/>
      <c r="CU84" s="90"/>
      <c r="CV84" s="90"/>
      <c r="CW84" s="90"/>
      <c r="CX84" s="90"/>
      <c r="CY84" s="90"/>
      <c r="CZ84" s="90"/>
      <c r="DA84" s="90"/>
      <c r="DB84" s="90"/>
      <c r="DC84" s="90"/>
      <c r="DD84" s="90"/>
      <c r="DE84" s="90"/>
      <c r="DF84" s="90"/>
      <c r="DG84" s="90"/>
      <c r="DH84" s="90"/>
      <c r="DI84" s="90"/>
      <c r="DJ84" s="90"/>
      <c r="DK84" s="90"/>
      <c r="DL84" s="90"/>
      <c r="DM84" s="90"/>
      <c r="DN84" s="90"/>
      <c r="DO84" s="90"/>
      <c r="DP84" s="90"/>
      <c r="DQ84" s="90"/>
      <c r="DR84" s="90"/>
      <c r="DS84" s="90"/>
      <c r="DT84" s="90"/>
      <c r="DU84" s="90"/>
      <c r="DV84" s="90"/>
      <c r="DW84" s="90"/>
      <c r="DX84" s="90"/>
      <c r="DY84" s="90"/>
      <c r="DZ84" s="90"/>
      <c r="EA84" s="90"/>
      <c r="EB84" s="90"/>
      <c r="EC84" s="90"/>
      <c r="ED84" s="90"/>
      <c r="EE84" s="90"/>
      <c r="EF84" s="90"/>
      <c r="EG84" s="90"/>
      <c r="EH84" s="90"/>
      <c r="EI84" s="90"/>
      <c r="EJ84" s="90"/>
      <c r="EK84" s="90"/>
      <c r="EL84" s="90"/>
      <c r="EM84" s="90"/>
      <c r="EN84" s="90"/>
      <c r="EO84" s="90"/>
      <c r="EP84" s="90"/>
      <c r="EQ84" s="90"/>
      <c r="ER84" s="90"/>
      <c r="ES84" s="90"/>
      <c r="ET84" s="90"/>
      <c r="EU84" s="90"/>
      <c r="EV84" s="90"/>
      <c r="EW84" s="90"/>
      <c r="EX84" s="90"/>
      <c r="EY84" s="90"/>
    </row>
    <row r="85" ht="15.75" customHeight="1">
      <c r="A85" s="90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0"/>
      <c r="AO85" s="90"/>
      <c r="AP85" s="90"/>
      <c r="AQ85" s="90"/>
      <c r="AR85" s="90"/>
      <c r="AS85" s="90"/>
      <c r="AT85" s="90"/>
      <c r="AU85" s="90"/>
      <c r="AV85" s="90"/>
      <c r="AW85" s="90"/>
      <c r="AX85" s="90"/>
      <c r="AY85" s="90"/>
      <c r="AZ85" s="90"/>
      <c r="BA85" s="90"/>
      <c r="BB85" s="90"/>
      <c r="BC85" s="90"/>
      <c r="BD85" s="90"/>
      <c r="BE85" s="90"/>
      <c r="BF85" s="90"/>
      <c r="BG85" s="90"/>
      <c r="BH85" s="90"/>
      <c r="BI85" s="90"/>
      <c r="BJ85" s="90"/>
      <c r="BK85" s="90"/>
      <c r="BL85" s="90"/>
      <c r="BM85" s="90"/>
      <c r="BN85" s="90"/>
      <c r="BO85" s="90"/>
      <c r="BP85" s="90"/>
      <c r="BQ85" s="90"/>
      <c r="BR85" s="90"/>
      <c r="BS85" s="90"/>
      <c r="BT85" s="90"/>
      <c r="BU85" s="90"/>
      <c r="BV85" s="90"/>
      <c r="BW85" s="90"/>
      <c r="BX85" s="90"/>
      <c r="BY85" s="90"/>
      <c r="BZ85" s="90"/>
      <c r="CA85" s="90"/>
      <c r="CB85" s="90"/>
      <c r="CC85" s="90"/>
      <c r="CD85" s="90"/>
      <c r="CE85" s="90"/>
      <c r="CF85" s="90"/>
      <c r="CG85" s="90"/>
      <c r="CH85" s="90"/>
      <c r="CI85" s="90"/>
      <c r="CJ85" s="90"/>
      <c r="CK85" s="90"/>
      <c r="CL85" s="90"/>
      <c r="CM85" s="90"/>
      <c r="CN85" s="90"/>
      <c r="CO85" s="90"/>
      <c r="CP85" s="90"/>
      <c r="CQ85" s="90"/>
      <c r="CR85" s="90"/>
      <c r="CS85" s="90"/>
      <c r="CT85" s="90"/>
      <c r="CU85" s="90"/>
      <c r="CV85" s="90"/>
      <c r="CW85" s="90"/>
      <c r="CX85" s="90"/>
      <c r="CY85" s="90"/>
      <c r="CZ85" s="90"/>
      <c r="DA85" s="90"/>
      <c r="DB85" s="90"/>
      <c r="DC85" s="90"/>
      <c r="DD85" s="90"/>
      <c r="DE85" s="90"/>
      <c r="DF85" s="90"/>
      <c r="DG85" s="90"/>
      <c r="DH85" s="90"/>
      <c r="DI85" s="90"/>
      <c r="DJ85" s="90"/>
      <c r="DK85" s="90"/>
      <c r="DL85" s="90"/>
      <c r="DM85" s="90"/>
      <c r="DN85" s="90"/>
      <c r="DO85" s="90"/>
      <c r="DP85" s="90"/>
      <c r="DQ85" s="90"/>
      <c r="DR85" s="90"/>
      <c r="DS85" s="90"/>
      <c r="DT85" s="90"/>
      <c r="DU85" s="90"/>
      <c r="DV85" s="90"/>
      <c r="DW85" s="90"/>
      <c r="DX85" s="90"/>
      <c r="DY85" s="90"/>
      <c r="DZ85" s="90"/>
      <c r="EA85" s="90"/>
      <c r="EB85" s="90"/>
      <c r="EC85" s="90"/>
      <c r="ED85" s="90"/>
      <c r="EE85" s="90"/>
      <c r="EF85" s="90"/>
      <c r="EG85" s="90"/>
      <c r="EH85" s="90"/>
      <c r="EI85" s="90"/>
      <c r="EJ85" s="90"/>
      <c r="EK85" s="90"/>
      <c r="EL85" s="90"/>
      <c r="EM85" s="90"/>
      <c r="EN85" s="90"/>
      <c r="EO85" s="90"/>
      <c r="EP85" s="90"/>
      <c r="EQ85" s="90"/>
      <c r="ER85" s="90"/>
      <c r="ES85" s="90"/>
      <c r="ET85" s="90"/>
      <c r="EU85" s="90"/>
      <c r="EV85" s="90"/>
      <c r="EW85" s="90"/>
      <c r="EX85" s="90"/>
      <c r="EY85" s="90"/>
    </row>
    <row r="86" ht="15.75" customHeight="1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  <c r="AS86" s="90"/>
      <c r="AT86" s="90"/>
      <c r="AU86" s="90"/>
      <c r="AV86" s="90"/>
      <c r="AW86" s="90"/>
      <c r="AX86" s="90"/>
      <c r="AY86" s="90"/>
      <c r="AZ86" s="90"/>
      <c r="BA86" s="90"/>
      <c r="BB86" s="90"/>
      <c r="BC86" s="90"/>
      <c r="BD86" s="90"/>
      <c r="BE86" s="90"/>
      <c r="BF86" s="90"/>
      <c r="BG86" s="90"/>
      <c r="BH86" s="90"/>
      <c r="BI86" s="90"/>
      <c r="BJ86" s="90"/>
      <c r="BK86" s="90"/>
      <c r="BL86" s="90"/>
      <c r="BM86" s="90"/>
      <c r="BN86" s="90"/>
      <c r="BO86" s="90"/>
      <c r="BP86" s="90"/>
      <c r="BQ86" s="90"/>
      <c r="BR86" s="90"/>
      <c r="BS86" s="90"/>
      <c r="BT86" s="90"/>
      <c r="BU86" s="90"/>
      <c r="BV86" s="90"/>
      <c r="BW86" s="90"/>
      <c r="BX86" s="90"/>
      <c r="BY86" s="90"/>
      <c r="BZ86" s="90"/>
      <c r="CA86" s="90"/>
      <c r="CB86" s="90"/>
      <c r="CC86" s="90"/>
      <c r="CD86" s="90"/>
      <c r="CE86" s="90"/>
      <c r="CF86" s="90"/>
      <c r="CG86" s="90"/>
      <c r="CH86" s="90"/>
      <c r="CI86" s="90"/>
      <c r="CJ86" s="90"/>
      <c r="CK86" s="90"/>
      <c r="CL86" s="90"/>
      <c r="CM86" s="90"/>
      <c r="CN86" s="90"/>
      <c r="CO86" s="90"/>
      <c r="CP86" s="90"/>
      <c r="CQ86" s="90"/>
      <c r="CR86" s="90"/>
      <c r="CS86" s="90"/>
      <c r="CT86" s="90"/>
      <c r="CU86" s="90"/>
      <c r="CV86" s="90"/>
      <c r="CW86" s="90"/>
      <c r="CX86" s="90"/>
      <c r="CY86" s="90"/>
      <c r="CZ86" s="90"/>
      <c r="DA86" s="90"/>
      <c r="DB86" s="90"/>
      <c r="DC86" s="90"/>
      <c r="DD86" s="90"/>
      <c r="DE86" s="90"/>
      <c r="DF86" s="90"/>
      <c r="DG86" s="90"/>
      <c r="DH86" s="90"/>
      <c r="DI86" s="90"/>
      <c r="DJ86" s="90"/>
      <c r="DK86" s="90"/>
      <c r="DL86" s="90"/>
      <c r="DM86" s="90"/>
      <c r="DN86" s="90"/>
      <c r="DO86" s="90"/>
      <c r="DP86" s="90"/>
      <c r="DQ86" s="90"/>
      <c r="DR86" s="90"/>
      <c r="DS86" s="90"/>
      <c r="DT86" s="90"/>
      <c r="DU86" s="90"/>
      <c r="DV86" s="90"/>
      <c r="DW86" s="90"/>
      <c r="DX86" s="90"/>
      <c r="DY86" s="90"/>
      <c r="DZ86" s="90"/>
      <c r="EA86" s="90"/>
      <c r="EB86" s="90"/>
      <c r="EC86" s="90"/>
      <c r="ED86" s="90"/>
      <c r="EE86" s="90"/>
      <c r="EF86" s="90"/>
      <c r="EG86" s="90"/>
      <c r="EH86" s="90"/>
      <c r="EI86" s="90"/>
      <c r="EJ86" s="90"/>
      <c r="EK86" s="90"/>
      <c r="EL86" s="90"/>
      <c r="EM86" s="90"/>
      <c r="EN86" s="90"/>
      <c r="EO86" s="90"/>
      <c r="EP86" s="90"/>
      <c r="EQ86" s="90"/>
      <c r="ER86" s="90"/>
      <c r="ES86" s="90"/>
      <c r="ET86" s="90"/>
      <c r="EU86" s="90"/>
      <c r="EV86" s="90"/>
      <c r="EW86" s="90"/>
      <c r="EX86" s="90"/>
      <c r="EY86" s="90"/>
    </row>
    <row r="87" ht="15.75" customHeight="1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0"/>
      <c r="AO87" s="90"/>
      <c r="AP87" s="90"/>
      <c r="AQ87" s="90"/>
      <c r="AR87" s="90"/>
      <c r="AS87" s="90"/>
      <c r="AT87" s="90"/>
      <c r="AU87" s="90"/>
      <c r="AV87" s="90"/>
      <c r="AW87" s="90"/>
      <c r="AX87" s="90"/>
      <c r="AY87" s="90"/>
      <c r="AZ87" s="90"/>
      <c r="BA87" s="90"/>
      <c r="BB87" s="90"/>
      <c r="BC87" s="90"/>
      <c r="BD87" s="90"/>
      <c r="BE87" s="90"/>
      <c r="BF87" s="90"/>
      <c r="BG87" s="90"/>
      <c r="BH87" s="90"/>
      <c r="BI87" s="90"/>
      <c r="BJ87" s="90"/>
      <c r="BK87" s="90"/>
      <c r="BL87" s="90"/>
      <c r="BM87" s="90"/>
      <c r="BN87" s="90"/>
      <c r="BO87" s="90"/>
      <c r="BP87" s="90"/>
      <c r="BQ87" s="90"/>
      <c r="BR87" s="90"/>
      <c r="BS87" s="90"/>
      <c r="BT87" s="90"/>
      <c r="BU87" s="90"/>
      <c r="BV87" s="90"/>
      <c r="BW87" s="90"/>
      <c r="BX87" s="90"/>
      <c r="BY87" s="90"/>
      <c r="BZ87" s="90"/>
      <c r="CA87" s="90"/>
      <c r="CB87" s="90"/>
      <c r="CC87" s="90"/>
      <c r="CD87" s="90"/>
      <c r="CE87" s="90"/>
      <c r="CF87" s="90"/>
      <c r="CG87" s="90"/>
      <c r="CH87" s="90"/>
      <c r="CI87" s="90"/>
      <c r="CJ87" s="90"/>
      <c r="CK87" s="90"/>
      <c r="CL87" s="90"/>
      <c r="CM87" s="90"/>
      <c r="CN87" s="90"/>
      <c r="CO87" s="90"/>
      <c r="CP87" s="90"/>
      <c r="CQ87" s="90"/>
      <c r="CR87" s="90"/>
      <c r="CS87" s="90"/>
      <c r="CT87" s="90"/>
      <c r="CU87" s="90"/>
      <c r="CV87" s="90"/>
      <c r="CW87" s="90"/>
      <c r="CX87" s="90"/>
      <c r="CY87" s="90"/>
      <c r="CZ87" s="90"/>
      <c r="DA87" s="90"/>
      <c r="DB87" s="90"/>
      <c r="DC87" s="90"/>
      <c r="DD87" s="90"/>
      <c r="DE87" s="90"/>
      <c r="DF87" s="90"/>
      <c r="DG87" s="90"/>
      <c r="DH87" s="90"/>
      <c r="DI87" s="90"/>
      <c r="DJ87" s="90"/>
      <c r="DK87" s="90"/>
      <c r="DL87" s="90"/>
      <c r="DM87" s="90"/>
      <c r="DN87" s="90"/>
      <c r="DO87" s="90"/>
      <c r="DP87" s="90"/>
      <c r="DQ87" s="90"/>
      <c r="DR87" s="90"/>
      <c r="DS87" s="90"/>
      <c r="DT87" s="90"/>
      <c r="DU87" s="90"/>
      <c r="DV87" s="90"/>
      <c r="DW87" s="90"/>
      <c r="DX87" s="90"/>
      <c r="DY87" s="90"/>
      <c r="DZ87" s="90"/>
      <c r="EA87" s="90"/>
      <c r="EB87" s="90"/>
      <c r="EC87" s="90"/>
      <c r="ED87" s="90"/>
      <c r="EE87" s="90"/>
      <c r="EF87" s="90"/>
      <c r="EG87" s="90"/>
      <c r="EH87" s="90"/>
      <c r="EI87" s="90"/>
      <c r="EJ87" s="90"/>
      <c r="EK87" s="90"/>
      <c r="EL87" s="90"/>
      <c r="EM87" s="90"/>
      <c r="EN87" s="90"/>
      <c r="EO87" s="90"/>
      <c r="EP87" s="90"/>
      <c r="EQ87" s="90"/>
      <c r="ER87" s="90"/>
      <c r="ES87" s="90"/>
      <c r="ET87" s="90"/>
      <c r="EU87" s="90"/>
      <c r="EV87" s="90"/>
      <c r="EW87" s="90"/>
      <c r="EX87" s="90"/>
      <c r="EY87" s="90"/>
    </row>
    <row r="88" ht="15.75" customHeight="1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  <c r="AQ88" s="90"/>
      <c r="AR88" s="90"/>
      <c r="AS88" s="90"/>
      <c r="AT88" s="90"/>
      <c r="AU88" s="90"/>
      <c r="AV88" s="90"/>
      <c r="AW88" s="90"/>
      <c r="AX88" s="90"/>
      <c r="AY88" s="90"/>
      <c r="AZ88" s="90"/>
      <c r="BA88" s="90"/>
      <c r="BB88" s="90"/>
      <c r="BC88" s="90"/>
      <c r="BD88" s="90"/>
      <c r="BE88" s="90"/>
      <c r="BF88" s="90"/>
      <c r="BG88" s="90"/>
      <c r="BH88" s="90"/>
      <c r="BI88" s="90"/>
      <c r="BJ88" s="90"/>
      <c r="BK88" s="90"/>
      <c r="BL88" s="90"/>
      <c r="BM88" s="90"/>
      <c r="BN88" s="90"/>
      <c r="BO88" s="90"/>
      <c r="BP88" s="90"/>
      <c r="BQ88" s="90"/>
      <c r="BR88" s="90"/>
      <c r="BS88" s="90"/>
      <c r="BT88" s="90"/>
      <c r="BU88" s="90"/>
      <c r="BV88" s="90"/>
      <c r="BW88" s="90"/>
      <c r="BX88" s="90"/>
      <c r="BY88" s="90"/>
      <c r="BZ88" s="90"/>
      <c r="CA88" s="90"/>
      <c r="CB88" s="90"/>
      <c r="CC88" s="90"/>
      <c r="CD88" s="90"/>
      <c r="CE88" s="90"/>
      <c r="CF88" s="90"/>
      <c r="CG88" s="90"/>
      <c r="CH88" s="90"/>
      <c r="CI88" s="90"/>
      <c r="CJ88" s="90"/>
      <c r="CK88" s="90"/>
      <c r="CL88" s="90"/>
      <c r="CM88" s="90"/>
      <c r="CN88" s="90"/>
      <c r="CO88" s="90"/>
      <c r="CP88" s="90"/>
      <c r="CQ88" s="90"/>
      <c r="CR88" s="90"/>
      <c r="CS88" s="90"/>
      <c r="CT88" s="90"/>
      <c r="CU88" s="90"/>
      <c r="CV88" s="90"/>
      <c r="CW88" s="90"/>
      <c r="CX88" s="90"/>
      <c r="CY88" s="90"/>
      <c r="CZ88" s="90"/>
      <c r="DA88" s="90"/>
      <c r="DB88" s="90"/>
      <c r="DC88" s="90"/>
      <c r="DD88" s="90"/>
      <c r="DE88" s="90"/>
      <c r="DF88" s="90"/>
      <c r="DG88" s="90"/>
      <c r="DH88" s="90"/>
      <c r="DI88" s="90"/>
      <c r="DJ88" s="90"/>
      <c r="DK88" s="90"/>
      <c r="DL88" s="90"/>
      <c r="DM88" s="90"/>
      <c r="DN88" s="90"/>
      <c r="DO88" s="90"/>
      <c r="DP88" s="90"/>
      <c r="DQ88" s="90"/>
      <c r="DR88" s="90"/>
      <c r="DS88" s="90"/>
      <c r="DT88" s="90"/>
      <c r="DU88" s="90"/>
      <c r="DV88" s="90"/>
      <c r="DW88" s="90"/>
      <c r="DX88" s="90"/>
      <c r="DY88" s="90"/>
      <c r="DZ88" s="90"/>
      <c r="EA88" s="90"/>
      <c r="EB88" s="90"/>
      <c r="EC88" s="90"/>
      <c r="ED88" s="90"/>
      <c r="EE88" s="90"/>
      <c r="EF88" s="90"/>
      <c r="EG88" s="90"/>
      <c r="EH88" s="90"/>
      <c r="EI88" s="90"/>
      <c r="EJ88" s="90"/>
      <c r="EK88" s="90"/>
      <c r="EL88" s="90"/>
      <c r="EM88" s="90"/>
      <c r="EN88" s="90"/>
      <c r="EO88" s="90"/>
      <c r="EP88" s="90"/>
      <c r="EQ88" s="90"/>
      <c r="ER88" s="90"/>
      <c r="ES88" s="90"/>
      <c r="ET88" s="90"/>
      <c r="EU88" s="90"/>
      <c r="EV88" s="90"/>
      <c r="EW88" s="90"/>
      <c r="EX88" s="90"/>
      <c r="EY88" s="90"/>
    </row>
    <row r="89" ht="15.75" customHeight="1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0"/>
      <c r="AO89" s="90"/>
      <c r="AP89" s="90"/>
      <c r="AQ89" s="90"/>
      <c r="AR89" s="90"/>
      <c r="AS89" s="90"/>
      <c r="AT89" s="90"/>
      <c r="AU89" s="90"/>
      <c r="AV89" s="90"/>
      <c r="AW89" s="90"/>
      <c r="AX89" s="90"/>
      <c r="AY89" s="90"/>
      <c r="AZ89" s="90"/>
      <c r="BA89" s="90"/>
      <c r="BB89" s="90"/>
      <c r="BC89" s="90"/>
      <c r="BD89" s="90"/>
      <c r="BE89" s="90"/>
      <c r="BF89" s="90"/>
      <c r="BG89" s="90"/>
      <c r="BH89" s="90"/>
      <c r="BI89" s="90"/>
      <c r="BJ89" s="90"/>
      <c r="BK89" s="90"/>
      <c r="BL89" s="90"/>
      <c r="BM89" s="90"/>
      <c r="BN89" s="90"/>
      <c r="BO89" s="90"/>
      <c r="BP89" s="90"/>
      <c r="BQ89" s="90"/>
      <c r="BR89" s="90"/>
      <c r="BS89" s="90"/>
      <c r="BT89" s="90"/>
      <c r="BU89" s="90"/>
      <c r="BV89" s="90"/>
      <c r="BW89" s="90"/>
      <c r="BX89" s="90"/>
      <c r="BY89" s="90"/>
      <c r="BZ89" s="90"/>
      <c r="CA89" s="90"/>
      <c r="CB89" s="90"/>
      <c r="CC89" s="90"/>
      <c r="CD89" s="90"/>
      <c r="CE89" s="90"/>
      <c r="CF89" s="90"/>
      <c r="CG89" s="90"/>
      <c r="CH89" s="90"/>
      <c r="CI89" s="90"/>
      <c r="CJ89" s="90"/>
      <c r="CK89" s="90"/>
      <c r="CL89" s="90"/>
      <c r="CM89" s="90"/>
      <c r="CN89" s="90"/>
      <c r="CO89" s="90"/>
      <c r="CP89" s="90"/>
      <c r="CQ89" s="90"/>
      <c r="CR89" s="90"/>
      <c r="CS89" s="90"/>
      <c r="CT89" s="90"/>
      <c r="CU89" s="90"/>
      <c r="CV89" s="90"/>
      <c r="CW89" s="90"/>
      <c r="CX89" s="90"/>
      <c r="CY89" s="90"/>
      <c r="CZ89" s="90"/>
      <c r="DA89" s="90"/>
      <c r="DB89" s="90"/>
      <c r="DC89" s="90"/>
      <c r="DD89" s="90"/>
      <c r="DE89" s="90"/>
      <c r="DF89" s="90"/>
      <c r="DG89" s="90"/>
      <c r="DH89" s="90"/>
      <c r="DI89" s="90"/>
      <c r="DJ89" s="90"/>
      <c r="DK89" s="90"/>
      <c r="DL89" s="90"/>
      <c r="DM89" s="90"/>
      <c r="DN89" s="90"/>
      <c r="DO89" s="90"/>
      <c r="DP89" s="90"/>
      <c r="DQ89" s="90"/>
      <c r="DR89" s="90"/>
      <c r="DS89" s="90"/>
      <c r="DT89" s="90"/>
      <c r="DU89" s="90"/>
      <c r="DV89" s="90"/>
      <c r="DW89" s="90"/>
      <c r="DX89" s="90"/>
      <c r="DY89" s="90"/>
      <c r="DZ89" s="90"/>
      <c r="EA89" s="90"/>
      <c r="EB89" s="90"/>
      <c r="EC89" s="90"/>
      <c r="ED89" s="90"/>
      <c r="EE89" s="90"/>
      <c r="EF89" s="90"/>
      <c r="EG89" s="90"/>
      <c r="EH89" s="90"/>
      <c r="EI89" s="90"/>
      <c r="EJ89" s="90"/>
      <c r="EK89" s="90"/>
      <c r="EL89" s="90"/>
      <c r="EM89" s="90"/>
      <c r="EN89" s="90"/>
      <c r="EO89" s="90"/>
      <c r="EP89" s="90"/>
      <c r="EQ89" s="90"/>
      <c r="ER89" s="90"/>
      <c r="ES89" s="90"/>
      <c r="ET89" s="90"/>
      <c r="EU89" s="90"/>
      <c r="EV89" s="90"/>
      <c r="EW89" s="90"/>
      <c r="EX89" s="90"/>
      <c r="EY89" s="90"/>
    </row>
    <row r="90" ht="15.75" customHeight="1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  <c r="AR90" s="90"/>
      <c r="AS90" s="90"/>
      <c r="AT90" s="90"/>
      <c r="AU90" s="90"/>
      <c r="AV90" s="90"/>
      <c r="AW90" s="90"/>
      <c r="AX90" s="90"/>
      <c r="AY90" s="90"/>
      <c r="AZ90" s="90"/>
      <c r="BA90" s="90"/>
      <c r="BB90" s="90"/>
      <c r="BC90" s="90"/>
      <c r="BD90" s="90"/>
      <c r="BE90" s="90"/>
      <c r="BF90" s="90"/>
      <c r="BG90" s="90"/>
      <c r="BH90" s="90"/>
      <c r="BI90" s="90"/>
      <c r="BJ90" s="90"/>
      <c r="BK90" s="90"/>
      <c r="BL90" s="90"/>
      <c r="BM90" s="90"/>
      <c r="BN90" s="90"/>
      <c r="BO90" s="90"/>
      <c r="BP90" s="90"/>
      <c r="BQ90" s="90"/>
      <c r="BR90" s="90"/>
      <c r="BS90" s="90"/>
      <c r="BT90" s="90"/>
      <c r="BU90" s="90"/>
      <c r="BV90" s="90"/>
      <c r="BW90" s="90"/>
      <c r="BX90" s="90"/>
      <c r="BY90" s="90"/>
      <c r="BZ90" s="90"/>
      <c r="CA90" s="90"/>
      <c r="CB90" s="90"/>
      <c r="CC90" s="90"/>
      <c r="CD90" s="90"/>
      <c r="CE90" s="90"/>
      <c r="CF90" s="90"/>
      <c r="CG90" s="90"/>
      <c r="CH90" s="90"/>
      <c r="CI90" s="90"/>
      <c r="CJ90" s="90"/>
      <c r="CK90" s="90"/>
      <c r="CL90" s="90"/>
      <c r="CM90" s="90"/>
      <c r="CN90" s="90"/>
      <c r="CO90" s="90"/>
      <c r="CP90" s="90"/>
      <c r="CQ90" s="90"/>
      <c r="CR90" s="90"/>
      <c r="CS90" s="90"/>
      <c r="CT90" s="90"/>
      <c r="CU90" s="90"/>
      <c r="CV90" s="90"/>
      <c r="CW90" s="90"/>
      <c r="CX90" s="90"/>
      <c r="CY90" s="90"/>
      <c r="CZ90" s="90"/>
      <c r="DA90" s="90"/>
      <c r="DB90" s="90"/>
      <c r="DC90" s="90"/>
      <c r="DD90" s="90"/>
      <c r="DE90" s="90"/>
      <c r="DF90" s="90"/>
      <c r="DG90" s="90"/>
      <c r="DH90" s="90"/>
      <c r="DI90" s="90"/>
      <c r="DJ90" s="90"/>
      <c r="DK90" s="90"/>
      <c r="DL90" s="90"/>
      <c r="DM90" s="90"/>
      <c r="DN90" s="90"/>
      <c r="DO90" s="90"/>
      <c r="DP90" s="90"/>
      <c r="DQ90" s="90"/>
      <c r="DR90" s="90"/>
      <c r="DS90" s="90"/>
      <c r="DT90" s="90"/>
      <c r="DU90" s="90"/>
      <c r="DV90" s="90"/>
      <c r="DW90" s="90"/>
      <c r="DX90" s="90"/>
      <c r="DY90" s="90"/>
      <c r="DZ90" s="90"/>
      <c r="EA90" s="90"/>
      <c r="EB90" s="90"/>
      <c r="EC90" s="90"/>
      <c r="ED90" s="90"/>
      <c r="EE90" s="90"/>
      <c r="EF90" s="90"/>
      <c r="EG90" s="90"/>
      <c r="EH90" s="90"/>
      <c r="EI90" s="90"/>
      <c r="EJ90" s="90"/>
      <c r="EK90" s="90"/>
      <c r="EL90" s="90"/>
      <c r="EM90" s="90"/>
      <c r="EN90" s="90"/>
      <c r="EO90" s="90"/>
      <c r="EP90" s="90"/>
      <c r="EQ90" s="90"/>
      <c r="ER90" s="90"/>
      <c r="ES90" s="90"/>
      <c r="ET90" s="90"/>
      <c r="EU90" s="90"/>
      <c r="EV90" s="90"/>
      <c r="EW90" s="90"/>
      <c r="EX90" s="90"/>
      <c r="EY90" s="90"/>
    </row>
    <row r="91" ht="15.75" customHeight="1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0"/>
      <c r="AO91" s="90"/>
      <c r="AP91" s="90"/>
      <c r="AQ91" s="90"/>
      <c r="AR91" s="90"/>
      <c r="AS91" s="90"/>
      <c r="AT91" s="90"/>
      <c r="AU91" s="90"/>
      <c r="AV91" s="90"/>
      <c r="AW91" s="90"/>
      <c r="AX91" s="90"/>
      <c r="AY91" s="90"/>
      <c r="AZ91" s="90"/>
      <c r="BA91" s="90"/>
      <c r="BB91" s="90"/>
      <c r="BC91" s="90"/>
      <c r="BD91" s="90"/>
      <c r="BE91" s="90"/>
      <c r="BF91" s="90"/>
      <c r="BG91" s="90"/>
      <c r="BH91" s="90"/>
      <c r="BI91" s="90"/>
      <c r="BJ91" s="90"/>
      <c r="BK91" s="90"/>
      <c r="BL91" s="90"/>
      <c r="BM91" s="90"/>
      <c r="BN91" s="90"/>
      <c r="BO91" s="90"/>
      <c r="BP91" s="90"/>
      <c r="BQ91" s="90"/>
      <c r="BR91" s="90"/>
      <c r="BS91" s="90"/>
      <c r="BT91" s="90"/>
      <c r="BU91" s="90"/>
      <c r="BV91" s="90"/>
      <c r="BW91" s="90"/>
      <c r="BX91" s="90"/>
      <c r="BY91" s="90"/>
      <c r="BZ91" s="90"/>
      <c r="CA91" s="90"/>
      <c r="CB91" s="90"/>
      <c r="CC91" s="90"/>
      <c r="CD91" s="90"/>
      <c r="CE91" s="90"/>
      <c r="CF91" s="90"/>
      <c r="CG91" s="90"/>
      <c r="CH91" s="90"/>
      <c r="CI91" s="90"/>
      <c r="CJ91" s="90"/>
      <c r="CK91" s="90"/>
      <c r="CL91" s="90"/>
      <c r="CM91" s="90"/>
      <c r="CN91" s="90"/>
      <c r="CO91" s="90"/>
      <c r="CP91" s="90"/>
      <c r="CQ91" s="90"/>
      <c r="CR91" s="90"/>
      <c r="CS91" s="90"/>
      <c r="CT91" s="90"/>
      <c r="CU91" s="90"/>
      <c r="CV91" s="90"/>
      <c r="CW91" s="90"/>
      <c r="CX91" s="90"/>
      <c r="CY91" s="90"/>
      <c r="CZ91" s="90"/>
      <c r="DA91" s="90"/>
      <c r="DB91" s="90"/>
      <c r="DC91" s="90"/>
      <c r="DD91" s="90"/>
      <c r="DE91" s="90"/>
      <c r="DF91" s="90"/>
      <c r="DG91" s="90"/>
      <c r="DH91" s="90"/>
      <c r="DI91" s="90"/>
      <c r="DJ91" s="90"/>
      <c r="DK91" s="90"/>
      <c r="DL91" s="90"/>
      <c r="DM91" s="90"/>
      <c r="DN91" s="90"/>
      <c r="DO91" s="90"/>
      <c r="DP91" s="90"/>
      <c r="DQ91" s="90"/>
      <c r="DR91" s="90"/>
      <c r="DS91" s="90"/>
      <c r="DT91" s="90"/>
      <c r="DU91" s="90"/>
      <c r="DV91" s="90"/>
      <c r="DW91" s="90"/>
      <c r="DX91" s="90"/>
      <c r="DY91" s="90"/>
      <c r="DZ91" s="90"/>
      <c r="EA91" s="90"/>
      <c r="EB91" s="90"/>
      <c r="EC91" s="90"/>
      <c r="ED91" s="90"/>
      <c r="EE91" s="90"/>
      <c r="EF91" s="90"/>
      <c r="EG91" s="90"/>
      <c r="EH91" s="90"/>
      <c r="EI91" s="90"/>
      <c r="EJ91" s="90"/>
      <c r="EK91" s="90"/>
      <c r="EL91" s="90"/>
      <c r="EM91" s="90"/>
      <c r="EN91" s="90"/>
      <c r="EO91" s="90"/>
      <c r="EP91" s="90"/>
      <c r="EQ91" s="90"/>
      <c r="ER91" s="90"/>
      <c r="ES91" s="90"/>
      <c r="ET91" s="90"/>
      <c r="EU91" s="90"/>
      <c r="EV91" s="90"/>
      <c r="EW91" s="90"/>
      <c r="EX91" s="90"/>
      <c r="EY91" s="90"/>
    </row>
    <row r="92" ht="15.75" customHeight="1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0"/>
      <c r="AQ92" s="90"/>
      <c r="AR92" s="90"/>
      <c r="AS92" s="90"/>
      <c r="AT92" s="90"/>
      <c r="AU92" s="90"/>
      <c r="AV92" s="90"/>
      <c r="AW92" s="90"/>
      <c r="AX92" s="90"/>
      <c r="AY92" s="90"/>
      <c r="AZ92" s="90"/>
      <c r="BA92" s="90"/>
      <c r="BB92" s="90"/>
      <c r="BC92" s="90"/>
      <c r="BD92" s="90"/>
      <c r="BE92" s="90"/>
      <c r="BF92" s="90"/>
      <c r="BG92" s="90"/>
      <c r="BH92" s="90"/>
      <c r="BI92" s="90"/>
      <c r="BJ92" s="90"/>
      <c r="BK92" s="90"/>
      <c r="BL92" s="90"/>
      <c r="BM92" s="90"/>
      <c r="BN92" s="90"/>
      <c r="BO92" s="90"/>
      <c r="BP92" s="90"/>
      <c r="BQ92" s="90"/>
      <c r="BR92" s="90"/>
      <c r="BS92" s="90"/>
      <c r="BT92" s="90"/>
      <c r="BU92" s="90"/>
      <c r="BV92" s="90"/>
      <c r="BW92" s="90"/>
      <c r="BX92" s="90"/>
      <c r="BY92" s="90"/>
      <c r="BZ92" s="90"/>
      <c r="CA92" s="90"/>
      <c r="CB92" s="90"/>
      <c r="CC92" s="90"/>
      <c r="CD92" s="90"/>
      <c r="CE92" s="90"/>
      <c r="CF92" s="90"/>
      <c r="CG92" s="90"/>
      <c r="CH92" s="90"/>
      <c r="CI92" s="90"/>
      <c r="CJ92" s="90"/>
      <c r="CK92" s="90"/>
      <c r="CL92" s="90"/>
      <c r="CM92" s="90"/>
      <c r="CN92" s="90"/>
      <c r="CO92" s="90"/>
      <c r="CP92" s="90"/>
      <c r="CQ92" s="90"/>
      <c r="CR92" s="90"/>
      <c r="CS92" s="90"/>
      <c r="CT92" s="90"/>
      <c r="CU92" s="90"/>
      <c r="CV92" s="90"/>
      <c r="CW92" s="90"/>
      <c r="CX92" s="90"/>
      <c r="CY92" s="90"/>
      <c r="CZ92" s="90"/>
      <c r="DA92" s="90"/>
      <c r="DB92" s="90"/>
      <c r="DC92" s="90"/>
      <c r="DD92" s="90"/>
      <c r="DE92" s="90"/>
      <c r="DF92" s="90"/>
      <c r="DG92" s="90"/>
      <c r="DH92" s="90"/>
      <c r="DI92" s="90"/>
      <c r="DJ92" s="90"/>
      <c r="DK92" s="90"/>
      <c r="DL92" s="90"/>
      <c r="DM92" s="90"/>
      <c r="DN92" s="90"/>
      <c r="DO92" s="90"/>
      <c r="DP92" s="90"/>
      <c r="DQ92" s="90"/>
      <c r="DR92" s="90"/>
      <c r="DS92" s="90"/>
      <c r="DT92" s="90"/>
      <c r="DU92" s="90"/>
      <c r="DV92" s="90"/>
      <c r="DW92" s="90"/>
      <c r="DX92" s="90"/>
      <c r="DY92" s="90"/>
      <c r="DZ92" s="90"/>
      <c r="EA92" s="90"/>
      <c r="EB92" s="90"/>
      <c r="EC92" s="90"/>
      <c r="ED92" s="90"/>
      <c r="EE92" s="90"/>
      <c r="EF92" s="90"/>
      <c r="EG92" s="90"/>
      <c r="EH92" s="90"/>
      <c r="EI92" s="90"/>
      <c r="EJ92" s="90"/>
      <c r="EK92" s="90"/>
      <c r="EL92" s="90"/>
      <c r="EM92" s="90"/>
      <c r="EN92" s="90"/>
      <c r="EO92" s="90"/>
      <c r="EP92" s="90"/>
      <c r="EQ92" s="90"/>
      <c r="ER92" s="90"/>
      <c r="ES92" s="90"/>
      <c r="ET92" s="90"/>
      <c r="EU92" s="90"/>
      <c r="EV92" s="90"/>
      <c r="EW92" s="90"/>
      <c r="EX92" s="90"/>
      <c r="EY92" s="90"/>
    </row>
    <row r="93" ht="15.75" customHeight="1">
      <c r="A93" s="90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0"/>
      <c r="AO93" s="90"/>
      <c r="AP93" s="90"/>
      <c r="AQ93" s="90"/>
      <c r="AR93" s="90"/>
      <c r="AS93" s="90"/>
      <c r="AT93" s="90"/>
      <c r="AU93" s="90"/>
      <c r="AV93" s="90"/>
      <c r="AW93" s="90"/>
      <c r="AX93" s="90"/>
      <c r="AY93" s="90"/>
      <c r="AZ93" s="90"/>
      <c r="BA93" s="90"/>
      <c r="BB93" s="90"/>
      <c r="BC93" s="90"/>
      <c r="BD93" s="90"/>
      <c r="BE93" s="90"/>
      <c r="BF93" s="90"/>
      <c r="BG93" s="90"/>
      <c r="BH93" s="90"/>
      <c r="BI93" s="90"/>
      <c r="BJ93" s="90"/>
      <c r="BK93" s="90"/>
      <c r="BL93" s="90"/>
      <c r="BM93" s="90"/>
      <c r="BN93" s="90"/>
      <c r="BO93" s="90"/>
      <c r="BP93" s="90"/>
      <c r="BQ93" s="90"/>
      <c r="BR93" s="90"/>
      <c r="BS93" s="90"/>
      <c r="BT93" s="90"/>
      <c r="BU93" s="90"/>
      <c r="BV93" s="90"/>
      <c r="BW93" s="90"/>
      <c r="BX93" s="90"/>
      <c r="BY93" s="90"/>
      <c r="BZ93" s="90"/>
      <c r="CA93" s="90"/>
      <c r="CB93" s="90"/>
      <c r="CC93" s="90"/>
      <c r="CD93" s="90"/>
      <c r="CE93" s="90"/>
      <c r="CF93" s="90"/>
      <c r="CG93" s="90"/>
      <c r="CH93" s="90"/>
      <c r="CI93" s="90"/>
      <c r="CJ93" s="90"/>
      <c r="CK93" s="90"/>
      <c r="CL93" s="90"/>
      <c r="CM93" s="90"/>
      <c r="CN93" s="90"/>
      <c r="CO93" s="90"/>
      <c r="CP93" s="90"/>
      <c r="CQ93" s="90"/>
      <c r="CR93" s="90"/>
      <c r="CS93" s="90"/>
      <c r="CT93" s="90"/>
      <c r="CU93" s="90"/>
      <c r="CV93" s="90"/>
      <c r="CW93" s="90"/>
      <c r="CX93" s="90"/>
      <c r="CY93" s="90"/>
      <c r="CZ93" s="90"/>
      <c r="DA93" s="90"/>
      <c r="DB93" s="90"/>
      <c r="DC93" s="90"/>
      <c r="DD93" s="90"/>
      <c r="DE93" s="90"/>
      <c r="DF93" s="90"/>
      <c r="DG93" s="90"/>
      <c r="DH93" s="90"/>
      <c r="DI93" s="90"/>
      <c r="DJ93" s="90"/>
      <c r="DK93" s="90"/>
      <c r="DL93" s="90"/>
      <c r="DM93" s="90"/>
      <c r="DN93" s="90"/>
      <c r="DO93" s="90"/>
      <c r="DP93" s="90"/>
      <c r="DQ93" s="90"/>
      <c r="DR93" s="90"/>
      <c r="DS93" s="90"/>
      <c r="DT93" s="90"/>
      <c r="DU93" s="90"/>
      <c r="DV93" s="90"/>
      <c r="DW93" s="90"/>
      <c r="DX93" s="90"/>
      <c r="DY93" s="90"/>
      <c r="DZ93" s="90"/>
      <c r="EA93" s="90"/>
      <c r="EB93" s="90"/>
      <c r="EC93" s="90"/>
      <c r="ED93" s="90"/>
      <c r="EE93" s="90"/>
      <c r="EF93" s="90"/>
      <c r="EG93" s="90"/>
      <c r="EH93" s="90"/>
      <c r="EI93" s="90"/>
      <c r="EJ93" s="90"/>
      <c r="EK93" s="90"/>
      <c r="EL93" s="90"/>
      <c r="EM93" s="90"/>
      <c r="EN93" s="90"/>
      <c r="EO93" s="90"/>
      <c r="EP93" s="90"/>
      <c r="EQ93" s="90"/>
      <c r="ER93" s="90"/>
      <c r="ES93" s="90"/>
      <c r="ET93" s="90"/>
      <c r="EU93" s="90"/>
      <c r="EV93" s="90"/>
      <c r="EW93" s="90"/>
      <c r="EX93" s="90"/>
      <c r="EY93" s="90"/>
    </row>
    <row r="94" ht="15.75" customHeight="1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  <c r="AQ94" s="90"/>
      <c r="AR94" s="90"/>
      <c r="AS94" s="90"/>
      <c r="AT94" s="90"/>
      <c r="AU94" s="90"/>
      <c r="AV94" s="90"/>
      <c r="AW94" s="90"/>
      <c r="AX94" s="90"/>
      <c r="AY94" s="90"/>
      <c r="AZ94" s="90"/>
      <c r="BA94" s="90"/>
      <c r="BB94" s="90"/>
      <c r="BC94" s="90"/>
      <c r="BD94" s="90"/>
      <c r="BE94" s="90"/>
      <c r="BF94" s="90"/>
      <c r="BG94" s="90"/>
      <c r="BH94" s="90"/>
      <c r="BI94" s="90"/>
      <c r="BJ94" s="90"/>
      <c r="BK94" s="90"/>
      <c r="BL94" s="90"/>
      <c r="BM94" s="90"/>
      <c r="BN94" s="90"/>
      <c r="BO94" s="90"/>
      <c r="BP94" s="90"/>
      <c r="BQ94" s="90"/>
      <c r="BR94" s="90"/>
      <c r="BS94" s="90"/>
      <c r="BT94" s="90"/>
      <c r="BU94" s="90"/>
      <c r="BV94" s="90"/>
      <c r="BW94" s="90"/>
      <c r="BX94" s="90"/>
      <c r="BY94" s="90"/>
      <c r="BZ94" s="90"/>
      <c r="CA94" s="90"/>
      <c r="CB94" s="90"/>
      <c r="CC94" s="90"/>
      <c r="CD94" s="90"/>
      <c r="CE94" s="90"/>
      <c r="CF94" s="90"/>
      <c r="CG94" s="90"/>
      <c r="CH94" s="90"/>
      <c r="CI94" s="90"/>
      <c r="CJ94" s="90"/>
      <c r="CK94" s="90"/>
      <c r="CL94" s="90"/>
      <c r="CM94" s="90"/>
      <c r="CN94" s="90"/>
      <c r="CO94" s="90"/>
      <c r="CP94" s="90"/>
      <c r="CQ94" s="90"/>
      <c r="CR94" s="90"/>
      <c r="CS94" s="90"/>
      <c r="CT94" s="90"/>
      <c r="CU94" s="90"/>
      <c r="CV94" s="90"/>
      <c r="CW94" s="90"/>
      <c r="CX94" s="90"/>
      <c r="CY94" s="90"/>
      <c r="CZ94" s="90"/>
      <c r="DA94" s="90"/>
      <c r="DB94" s="90"/>
      <c r="DC94" s="90"/>
      <c r="DD94" s="90"/>
      <c r="DE94" s="90"/>
      <c r="DF94" s="90"/>
      <c r="DG94" s="90"/>
      <c r="DH94" s="90"/>
      <c r="DI94" s="90"/>
      <c r="DJ94" s="90"/>
      <c r="DK94" s="90"/>
      <c r="DL94" s="90"/>
      <c r="DM94" s="90"/>
      <c r="DN94" s="90"/>
      <c r="DO94" s="90"/>
      <c r="DP94" s="90"/>
      <c r="DQ94" s="90"/>
      <c r="DR94" s="90"/>
      <c r="DS94" s="90"/>
      <c r="DT94" s="90"/>
      <c r="DU94" s="90"/>
      <c r="DV94" s="90"/>
      <c r="DW94" s="90"/>
      <c r="DX94" s="90"/>
      <c r="DY94" s="90"/>
      <c r="DZ94" s="90"/>
      <c r="EA94" s="90"/>
      <c r="EB94" s="90"/>
      <c r="EC94" s="90"/>
      <c r="ED94" s="90"/>
      <c r="EE94" s="90"/>
      <c r="EF94" s="90"/>
      <c r="EG94" s="90"/>
      <c r="EH94" s="90"/>
      <c r="EI94" s="90"/>
      <c r="EJ94" s="90"/>
      <c r="EK94" s="90"/>
      <c r="EL94" s="90"/>
      <c r="EM94" s="90"/>
      <c r="EN94" s="90"/>
      <c r="EO94" s="90"/>
      <c r="EP94" s="90"/>
      <c r="EQ94" s="90"/>
      <c r="ER94" s="90"/>
      <c r="ES94" s="90"/>
      <c r="ET94" s="90"/>
      <c r="EU94" s="90"/>
      <c r="EV94" s="90"/>
      <c r="EW94" s="90"/>
      <c r="EX94" s="90"/>
      <c r="EY94" s="90"/>
    </row>
    <row r="95" ht="15.75" customHeight="1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  <c r="AM95" s="90"/>
      <c r="AN95" s="90"/>
      <c r="AO95" s="90"/>
      <c r="AP95" s="90"/>
      <c r="AQ95" s="90"/>
      <c r="AR95" s="90"/>
      <c r="AS95" s="90"/>
      <c r="AT95" s="90"/>
      <c r="AU95" s="90"/>
      <c r="AV95" s="90"/>
      <c r="AW95" s="90"/>
      <c r="AX95" s="90"/>
      <c r="AY95" s="90"/>
      <c r="AZ95" s="90"/>
      <c r="BA95" s="90"/>
      <c r="BB95" s="90"/>
      <c r="BC95" s="90"/>
      <c r="BD95" s="90"/>
      <c r="BE95" s="90"/>
      <c r="BF95" s="90"/>
      <c r="BG95" s="90"/>
      <c r="BH95" s="90"/>
      <c r="BI95" s="90"/>
      <c r="BJ95" s="90"/>
      <c r="BK95" s="90"/>
      <c r="BL95" s="90"/>
      <c r="BM95" s="90"/>
      <c r="BN95" s="90"/>
      <c r="BO95" s="90"/>
      <c r="BP95" s="90"/>
      <c r="BQ95" s="90"/>
      <c r="BR95" s="90"/>
      <c r="BS95" s="90"/>
      <c r="BT95" s="90"/>
      <c r="BU95" s="90"/>
      <c r="BV95" s="90"/>
      <c r="BW95" s="90"/>
      <c r="BX95" s="90"/>
      <c r="BY95" s="90"/>
      <c r="BZ95" s="90"/>
      <c r="CA95" s="90"/>
      <c r="CB95" s="90"/>
      <c r="CC95" s="90"/>
      <c r="CD95" s="90"/>
      <c r="CE95" s="90"/>
      <c r="CF95" s="90"/>
      <c r="CG95" s="90"/>
      <c r="CH95" s="90"/>
      <c r="CI95" s="90"/>
      <c r="CJ95" s="90"/>
      <c r="CK95" s="90"/>
      <c r="CL95" s="90"/>
      <c r="CM95" s="90"/>
      <c r="CN95" s="90"/>
      <c r="CO95" s="90"/>
      <c r="CP95" s="90"/>
      <c r="CQ95" s="90"/>
      <c r="CR95" s="90"/>
      <c r="CS95" s="90"/>
      <c r="CT95" s="90"/>
      <c r="CU95" s="90"/>
      <c r="CV95" s="90"/>
      <c r="CW95" s="90"/>
      <c r="CX95" s="90"/>
      <c r="CY95" s="90"/>
      <c r="CZ95" s="90"/>
      <c r="DA95" s="90"/>
      <c r="DB95" s="90"/>
      <c r="DC95" s="90"/>
      <c r="DD95" s="90"/>
      <c r="DE95" s="90"/>
      <c r="DF95" s="90"/>
      <c r="DG95" s="90"/>
      <c r="DH95" s="90"/>
      <c r="DI95" s="90"/>
      <c r="DJ95" s="90"/>
      <c r="DK95" s="90"/>
      <c r="DL95" s="90"/>
      <c r="DM95" s="90"/>
      <c r="DN95" s="90"/>
      <c r="DO95" s="90"/>
      <c r="DP95" s="90"/>
      <c r="DQ95" s="90"/>
      <c r="DR95" s="90"/>
      <c r="DS95" s="90"/>
      <c r="DT95" s="90"/>
      <c r="DU95" s="90"/>
      <c r="DV95" s="90"/>
      <c r="DW95" s="90"/>
      <c r="DX95" s="90"/>
      <c r="DY95" s="90"/>
      <c r="DZ95" s="90"/>
      <c r="EA95" s="90"/>
      <c r="EB95" s="90"/>
      <c r="EC95" s="90"/>
      <c r="ED95" s="90"/>
      <c r="EE95" s="90"/>
      <c r="EF95" s="90"/>
      <c r="EG95" s="90"/>
      <c r="EH95" s="90"/>
      <c r="EI95" s="90"/>
      <c r="EJ95" s="90"/>
      <c r="EK95" s="90"/>
      <c r="EL95" s="90"/>
      <c r="EM95" s="90"/>
      <c r="EN95" s="90"/>
      <c r="EO95" s="90"/>
      <c r="EP95" s="90"/>
      <c r="EQ95" s="90"/>
      <c r="ER95" s="90"/>
      <c r="ES95" s="90"/>
      <c r="ET95" s="90"/>
      <c r="EU95" s="90"/>
      <c r="EV95" s="90"/>
      <c r="EW95" s="90"/>
      <c r="EX95" s="90"/>
      <c r="EY95" s="90"/>
    </row>
    <row r="96" ht="15.75" customHeight="1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90"/>
      <c r="AQ96" s="90"/>
      <c r="AR96" s="90"/>
      <c r="AS96" s="90"/>
      <c r="AT96" s="90"/>
      <c r="AU96" s="90"/>
      <c r="AV96" s="90"/>
      <c r="AW96" s="90"/>
      <c r="AX96" s="90"/>
      <c r="AY96" s="90"/>
      <c r="AZ96" s="90"/>
      <c r="BA96" s="90"/>
      <c r="BB96" s="90"/>
      <c r="BC96" s="90"/>
      <c r="BD96" s="90"/>
      <c r="BE96" s="90"/>
      <c r="BF96" s="90"/>
      <c r="BG96" s="90"/>
      <c r="BH96" s="90"/>
      <c r="BI96" s="90"/>
      <c r="BJ96" s="90"/>
      <c r="BK96" s="90"/>
      <c r="BL96" s="90"/>
      <c r="BM96" s="90"/>
      <c r="BN96" s="90"/>
      <c r="BO96" s="90"/>
      <c r="BP96" s="90"/>
      <c r="BQ96" s="90"/>
      <c r="BR96" s="90"/>
      <c r="BS96" s="90"/>
      <c r="BT96" s="90"/>
      <c r="BU96" s="90"/>
      <c r="BV96" s="90"/>
      <c r="BW96" s="90"/>
      <c r="BX96" s="90"/>
      <c r="BY96" s="90"/>
      <c r="BZ96" s="90"/>
      <c r="CA96" s="90"/>
      <c r="CB96" s="90"/>
      <c r="CC96" s="90"/>
      <c r="CD96" s="90"/>
      <c r="CE96" s="90"/>
      <c r="CF96" s="90"/>
      <c r="CG96" s="90"/>
      <c r="CH96" s="90"/>
      <c r="CI96" s="90"/>
      <c r="CJ96" s="90"/>
      <c r="CK96" s="90"/>
      <c r="CL96" s="90"/>
      <c r="CM96" s="90"/>
      <c r="CN96" s="90"/>
      <c r="CO96" s="90"/>
      <c r="CP96" s="90"/>
      <c r="CQ96" s="90"/>
      <c r="CR96" s="90"/>
      <c r="CS96" s="90"/>
      <c r="CT96" s="90"/>
      <c r="CU96" s="90"/>
      <c r="CV96" s="90"/>
      <c r="CW96" s="90"/>
      <c r="CX96" s="90"/>
      <c r="CY96" s="90"/>
      <c r="CZ96" s="90"/>
      <c r="DA96" s="90"/>
      <c r="DB96" s="90"/>
      <c r="DC96" s="90"/>
      <c r="DD96" s="90"/>
      <c r="DE96" s="90"/>
      <c r="DF96" s="90"/>
      <c r="DG96" s="90"/>
      <c r="DH96" s="90"/>
      <c r="DI96" s="90"/>
      <c r="DJ96" s="90"/>
      <c r="DK96" s="90"/>
      <c r="DL96" s="90"/>
      <c r="DM96" s="90"/>
      <c r="DN96" s="90"/>
      <c r="DO96" s="90"/>
      <c r="DP96" s="90"/>
      <c r="DQ96" s="90"/>
      <c r="DR96" s="90"/>
      <c r="DS96" s="90"/>
      <c r="DT96" s="90"/>
      <c r="DU96" s="90"/>
      <c r="DV96" s="90"/>
      <c r="DW96" s="90"/>
      <c r="DX96" s="90"/>
      <c r="DY96" s="90"/>
      <c r="DZ96" s="90"/>
      <c r="EA96" s="90"/>
      <c r="EB96" s="90"/>
      <c r="EC96" s="90"/>
      <c r="ED96" s="90"/>
      <c r="EE96" s="90"/>
      <c r="EF96" s="90"/>
      <c r="EG96" s="90"/>
      <c r="EH96" s="90"/>
      <c r="EI96" s="90"/>
      <c r="EJ96" s="90"/>
      <c r="EK96" s="90"/>
      <c r="EL96" s="90"/>
      <c r="EM96" s="90"/>
      <c r="EN96" s="90"/>
      <c r="EO96" s="90"/>
      <c r="EP96" s="90"/>
      <c r="EQ96" s="90"/>
      <c r="ER96" s="90"/>
      <c r="ES96" s="90"/>
      <c r="ET96" s="90"/>
      <c r="EU96" s="90"/>
      <c r="EV96" s="90"/>
      <c r="EW96" s="90"/>
      <c r="EX96" s="90"/>
      <c r="EY96" s="90"/>
    </row>
    <row r="97" ht="15.75" customHeight="1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0"/>
      <c r="AQ97" s="90"/>
      <c r="AR97" s="90"/>
      <c r="AS97" s="90"/>
      <c r="AT97" s="90"/>
      <c r="AU97" s="90"/>
      <c r="AV97" s="90"/>
      <c r="AW97" s="90"/>
      <c r="AX97" s="90"/>
      <c r="AY97" s="90"/>
      <c r="AZ97" s="90"/>
      <c r="BA97" s="90"/>
      <c r="BB97" s="90"/>
      <c r="BC97" s="90"/>
      <c r="BD97" s="90"/>
      <c r="BE97" s="90"/>
      <c r="BF97" s="90"/>
      <c r="BG97" s="90"/>
      <c r="BH97" s="90"/>
      <c r="BI97" s="90"/>
      <c r="BJ97" s="90"/>
      <c r="BK97" s="90"/>
      <c r="BL97" s="90"/>
      <c r="BM97" s="90"/>
      <c r="BN97" s="90"/>
      <c r="BO97" s="90"/>
      <c r="BP97" s="90"/>
      <c r="BQ97" s="90"/>
      <c r="BR97" s="90"/>
      <c r="BS97" s="90"/>
      <c r="BT97" s="90"/>
      <c r="BU97" s="90"/>
      <c r="BV97" s="90"/>
      <c r="BW97" s="90"/>
      <c r="BX97" s="90"/>
      <c r="BY97" s="90"/>
      <c r="BZ97" s="90"/>
      <c r="CA97" s="90"/>
      <c r="CB97" s="90"/>
      <c r="CC97" s="90"/>
      <c r="CD97" s="90"/>
      <c r="CE97" s="90"/>
      <c r="CF97" s="90"/>
      <c r="CG97" s="90"/>
      <c r="CH97" s="90"/>
      <c r="CI97" s="90"/>
      <c r="CJ97" s="90"/>
      <c r="CK97" s="90"/>
      <c r="CL97" s="90"/>
      <c r="CM97" s="90"/>
      <c r="CN97" s="90"/>
      <c r="CO97" s="90"/>
      <c r="CP97" s="90"/>
      <c r="CQ97" s="90"/>
      <c r="CR97" s="90"/>
      <c r="CS97" s="90"/>
      <c r="CT97" s="90"/>
      <c r="CU97" s="90"/>
      <c r="CV97" s="90"/>
      <c r="CW97" s="90"/>
      <c r="CX97" s="90"/>
      <c r="CY97" s="90"/>
      <c r="CZ97" s="90"/>
      <c r="DA97" s="90"/>
      <c r="DB97" s="90"/>
      <c r="DC97" s="90"/>
      <c r="DD97" s="90"/>
      <c r="DE97" s="90"/>
      <c r="DF97" s="90"/>
      <c r="DG97" s="90"/>
      <c r="DH97" s="90"/>
      <c r="DI97" s="90"/>
      <c r="DJ97" s="90"/>
      <c r="DK97" s="90"/>
      <c r="DL97" s="90"/>
      <c r="DM97" s="90"/>
      <c r="DN97" s="90"/>
      <c r="DO97" s="90"/>
      <c r="DP97" s="90"/>
      <c r="DQ97" s="90"/>
      <c r="DR97" s="90"/>
      <c r="DS97" s="90"/>
      <c r="DT97" s="90"/>
      <c r="DU97" s="90"/>
      <c r="DV97" s="90"/>
      <c r="DW97" s="90"/>
      <c r="DX97" s="90"/>
      <c r="DY97" s="90"/>
      <c r="DZ97" s="90"/>
      <c r="EA97" s="90"/>
      <c r="EB97" s="90"/>
      <c r="EC97" s="90"/>
      <c r="ED97" s="90"/>
      <c r="EE97" s="90"/>
      <c r="EF97" s="90"/>
      <c r="EG97" s="90"/>
      <c r="EH97" s="90"/>
      <c r="EI97" s="90"/>
      <c r="EJ97" s="90"/>
      <c r="EK97" s="90"/>
      <c r="EL97" s="90"/>
      <c r="EM97" s="90"/>
      <c r="EN97" s="90"/>
      <c r="EO97" s="90"/>
      <c r="EP97" s="90"/>
      <c r="EQ97" s="90"/>
      <c r="ER97" s="90"/>
      <c r="ES97" s="90"/>
      <c r="ET97" s="90"/>
      <c r="EU97" s="90"/>
      <c r="EV97" s="90"/>
      <c r="EW97" s="90"/>
      <c r="EX97" s="90"/>
      <c r="EY97" s="90"/>
    </row>
    <row r="98" ht="15.75" customHeight="1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0"/>
      <c r="AO98" s="90"/>
      <c r="AP98" s="90"/>
      <c r="AQ98" s="90"/>
      <c r="AR98" s="90"/>
      <c r="AS98" s="90"/>
      <c r="AT98" s="90"/>
      <c r="AU98" s="90"/>
      <c r="AV98" s="90"/>
      <c r="AW98" s="90"/>
      <c r="AX98" s="90"/>
      <c r="AY98" s="90"/>
      <c r="AZ98" s="90"/>
      <c r="BA98" s="90"/>
      <c r="BB98" s="90"/>
      <c r="BC98" s="90"/>
      <c r="BD98" s="90"/>
      <c r="BE98" s="90"/>
      <c r="BF98" s="90"/>
      <c r="BG98" s="90"/>
      <c r="BH98" s="90"/>
      <c r="BI98" s="90"/>
      <c r="BJ98" s="90"/>
      <c r="BK98" s="90"/>
      <c r="BL98" s="90"/>
      <c r="BM98" s="90"/>
      <c r="BN98" s="90"/>
      <c r="BO98" s="90"/>
      <c r="BP98" s="90"/>
      <c r="BQ98" s="90"/>
      <c r="BR98" s="90"/>
      <c r="BS98" s="90"/>
      <c r="BT98" s="90"/>
      <c r="BU98" s="90"/>
      <c r="BV98" s="90"/>
      <c r="BW98" s="90"/>
      <c r="BX98" s="90"/>
      <c r="BY98" s="90"/>
      <c r="BZ98" s="90"/>
      <c r="CA98" s="90"/>
      <c r="CB98" s="90"/>
      <c r="CC98" s="90"/>
      <c r="CD98" s="90"/>
      <c r="CE98" s="90"/>
      <c r="CF98" s="90"/>
      <c r="CG98" s="90"/>
      <c r="CH98" s="90"/>
      <c r="CI98" s="90"/>
      <c r="CJ98" s="90"/>
      <c r="CK98" s="90"/>
      <c r="CL98" s="90"/>
      <c r="CM98" s="90"/>
      <c r="CN98" s="90"/>
      <c r="CO98" s="90"/>
      <c r="CP98" s="90"/>
      <c r="CQ98" s="90"/>
      <c r="CR98" s="90"/>
      <c r="CS98" s="90"/>
      <c r="CT98" s="90"/>
      <c r="CU98" s="90"/>
      <c r="CV98" s="90"/>
      <c r="CW98" s="90"/>
      <c r="CX98" s="90"/>
      <c r="CY98" s="90"/>
      <c r="CZ98" s="90"/>
      <c r="DA98" s="90"/>
      <c r="DB98" s="90"/>
      <c r="DC98" s="90"/>
      <c r="DD98" s="90"/>
      <c r="DE98" s="90"/>
      <c r="DF98" s="90"/>
      <c r="DG98" s="90"/>
      <c r="DH98" s="90"/>
      <c r="DI98" s="90"/>
      <c r="DJ98" s="90"/>
      <c r="DK98" s="90"/>
      <c r="DL98" s="90"/>
      <c r="DM98" s="90"/>
      <c r="DN98" s="90"/>
      <c r="DO98" s="90"/>
      <c r="DP98" s="90"/>
      <c r="DQ98" s="90"/>
      <c r="DR98" s="90"/>
      <c r="DS98" s="90"/>
      <c r="DT98" s="90"/>
      <c r="DU98" s="90"/>
      <c r="DV98" s="90"/>
      <c r="DW98" s="90"/>
      <c r="DX98" s="90"/>
      <c r="DY98" s="90"/>
      <c r="DZ98" s="90"/>
      <c r="EA98" s="90"/>
      <c r="EB98" s="90"/>
      <c r="EC98" s="90"/>
      <c r="ED98" s="90"/>
      <c r="EE98" s="90"/>
      <c r="EF98" s="90"/>
      <c r="EG98" s="90"/>
      <c r="EH98" s="90"/>
      <c r="EI98" s="90"/>
      <c r="EJ98" s="90"/>
      <c r="EK98" s="90"/>
      <c r="EL98" s="90"/>
      <c r="EM98" s="90"/>
      <c r="EN98" s="90"/>
      <c r="EO98" s="90"/>
      <c r="EP98" s="90"/>
      <c r="EQ98" s="90"/>
      <c r="ER98" s="90"/>
      <c r="ES98" s="90"/>
      <c r="ET98" s="90"/>
      <c r="EU98" s="90"/>
      <c r="EV98" s="90"/>
      <c r="EW98" s="90"/>
      <c r="EX98" s="90"/>
      <c r="EY98" s="90"/>
    </row>
    <row r="99" ht="15.75" customHeight="1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0"/>
      <c r="AO99" s="90"/>
      <c r="AP99" s="90"/>
      <c r="AQ99" s="90"/>
      <c r="AR99" s="90"/>
      <c r="AS99" s="90"/>
      <c r="AT99" s="90"/>
      <c r="AU99" s="90"/>
      <c r="AV99" s="90"/>
      <c r="AW99" s="90"/>
      <c r="AX99" s="90"/>
      <c r="AY99" s="90"/>
      <c r="AZ99" s="90"/>
      <c r="BA99" s="90"/>
      <c r="BB99" s="90"/>
      <c r="BC99" s="90"/>
      <c r="BD99" s="90"/>
      <c r="BE99" s="90"/>
      <c r="BF99" s="90"/>
      <c r="BG99" s="90"/>
      <c r="BH99" s="90"/>
      <c r="BI99" s="90"/>
      <c r="BJ99" s="90"/>
      <c r="BK99" s="90"/>
      <c r="BL99" s="90"/>
      <c r="BM99" s="90"/>
      <c r="BN99" s="90"/>
      <c r="BO99" s="90"/>
      <c r="BP99" s="90"/>
      <c r="BQ99" s="90"/>
      <c r="BR99" s="90"/>
      <c r="BS99" s="90"/>
      <c r="BT99" s="90"/>
      <c r="BU99" s="90"/>
      <c r="BV99" s="90"/>
      <c r="BW99" s="90"/>
      <c r="BX99" s="90"/>
      <c r="BY99" s="90"/>
      <c r="BZ99" s="90"/>
      <c r="CA99" s="90"/>
      <c r="CB99" s="90"/>
      <c r="CC99" s="90"/>
      <c r="CD99" s="90"/>
      <c r="CE99" s="90"/>
      <c r="CF99" s="90"/>
      <c r="CG99" s="90"/>
      <c r="CH99" s="90"/>
      <c r="CI99" s="90"/>
      <c r="CJ99" s="90"/>
      <c r="CK99" s="90"/>
      <c r="CL99" s="90"/>
      <c r="CM99" s="90"/>
      <c r="CN99" s="90"/>
      <c r="CO99" s="90"/>
      <c r="CP99" s="90"/>
      <c r="CQ99" s="90"/>
      <c r="CR99" s="90"/>
      <c r="CS99" s="90"/>
      <c r="CT99" s="90"/>
      <c r="CU99" s="90"/>
      <c r="CV99" s="90"/>
      <c r="CW99" s="90"/>
      <c r="CX99" s="90"/>
      <c r="CY99" s="90"/>
      <c r="CZ99" s="90"/>
      <c r="DA99" s="90"/>
      <c r="DB99" s="90"/>
      <c r="DC99" s="90"/>
      <c r="DD99" s="90"/>
      <c r="DE99" s="90"/>
      <c r="DF99" s="90"/>
      <c r="DG99" s="90"/>
      <c r="DH99" s="90"/>
      <c r="DI99" s="90"/>
      <c r="DJ99" s="90"/>
      <c r="DK99" s="90"/>
      <c r="DL99" s="90"/>
      <c r="DM99" s="90"/>
      <c r="DN99" s="90"/>
      <c r="DO99" s="90"/>
      <c r="DP99" s="90"/>
      <c r="DQ99" s="90"/>
      <c r="DR99" s="90"/>
      <c r="DS99" s="90"/>
      <c r="DT99" s="90"/>
      <c r="DU99" s="90"/>
      <c r="DV99" s="90"/>
      <c r="DW99" s="90"/>
      <c r="DX99" s="90"/>
      <c r="DY99" s="90"/>
      <c r="DZ99" s="90"/>
      <c r="EA99" s="90"/>
      <c r="EB99" s="90"/>
      <c r="EC99" s="90"/>
      <c r="ED99" s="90"/>
      <c r="EE99" s="90"/>
      <c r="EF99" s="90"/>
      <c r="EG99" s="90"/>
      <c r="EH99" s="90"/>
      <c r="EI99" s="90"/>
      <c r="EJ99" s="90"/>
      <c r="EK99" s="90"/>
      <c r="EL99" s="90"/>
      <c r="EM99" s="90"/>
      <c r="EN99" s="90"/>
      <c r="EO99" s="90"/>
      <c r="EP99" s="90"/>
      <c r="EQ99" s="90"/>
      <c r="ER99" s="90"/>
      <c r="ES99" s="90"/>
      <c r="ET99" s="90"/>
      <c r="EU99" s="90"/>
      <c r="EV99" s="90"/>
      <c r="EW99" s="90"/>
      <c r="EX99" s="90"/>
      <c r="EY99" s="90"/>
    </row>
    <row r="100" ht="15.75" customHeight="1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0"/>
      <c r="AP100" s="90"/>
      <c r="AQ100" s="90"/>
      <c r="AR100" s="90"/>
      <c r="AS100" s="90"/>
      <c r="AT100" s="90"/>
      <c r="AU100" s="90"/>
      <c r="AV100" s="90"/>
      <c r="AW100" s="90"/>
      <c r="AX100" s="90"/>
      <c r="AY100" s="90"/>
      <c r="AZ100" s="90"/>
      <c r="BA100" s="90"/>
      <c r="BB100" s="90"/>
      <c r="BC100" s="90"/>
      <c r="BD100" s="90"/>
      <c r="BE100" s="90"/>
      <c r="BF100" s="90"/>
      <c r="BG100" s="90"/>
      <c r="BH100" s="90"/>
      <c r="BI100" s="90"/>
      <c r="BJ100" s="90"/>
      <c r="BK100" s="90"/>
      <c r="BL100" s="90"/>
      <c r="BM100" s="90"/>
      <c r="BN100" s="90"/>
      <c r="BO100" s="90"/>
      <c r="BP100" s="90"/>
      <c r="BQ100" s="90"/>
      <c r="BR100" s="90"/>
      <c r="BS100" s="90"/>
      <c r="BT100" s="90"/>
      <c r="BU100" s="90"/>
      <c r="BV100" s="90"/>
      <c r="BW100" s="90"/>
      <c r="BX100" s="90"/>
      <c r="BY100" s="90"/>
      <c r="BZ100" s="90"/>
      <c r="CA100" s="90"/>
      <c r="CB100" s="90"/>
      <c r="CC100" s="90"/>
      <c r="CD100" s="90"/>
      <c r="CE100" s="90"/>
      <c r="CF100" s="90"/>
      <c r="CG100" s="90"/>
      <c r="CH100" s="90"/>
      <c r="CI100" s="90"/>
      <c r="CJ100" s="90"/>
      <c r="CK100" s="90"/>
      <c r="CL100" s="90"/>
      <c r="CM100" s="90"/>
      <c r="CN100" s="90"/>
      <c r="CO100" s="90"/>
      <c r="CP100" s="90"/>
      <c r="CQ100" s="90"/>
      <c r="CR100" s="90"/>
      <c r="CS100" s="90"/>
      <c r="CT100" s="90"/>
      <c r="CU100" s="90"/>
      <c r="CV100" s="90"/>
      <c r="CW100" s="90"/>
      <c r="CX100" s="90"/>
      <c r="CY100" s="90"/>
      <c r="CZ100" s="90"/>
      <c r="DA100" s="90"/>
      <c r="DB100" s="90"/>
      <c r="DC100" s="90"/>
      <c r="DD100" s="90"/>
      <c r="DE100" s="90"/>
      <c r="DF100" s="90"/>
      <c r="DG100" s="90"/>
      <c r="DH100" s="90"/>
      <c r="DI100" s="90"/>
      <c r="DJ100" s="90"/>
      <c r="DK100" s="90"/>
      <c r="DL100" s="90"/>
      <c r="DM100" s="90"/>
      <c r="DN100" s="90"/>
      <c r="DO100" s="90"/>
      <c r="DP100" s="90"/>
      <c r="DQ100" s="90"/>
      <c r="DR100" s="90"/>
      <c r="DS100" s="90"/>
      <c r="DT100" s="90"/>
      <c r="DU100" s="90"/>
      <c r="DV100" s="90"/>
      <c r="DW100" s="90"/>
      <c r="DX100" s="90"/>
      <c r="DY100" s="90"/>
      <c r="DZ100" s="90"/>
      <c r="EA100" s="90"/>
      <c r="EB100" s="90"/>
      <c r="EC100" s="90"/>
      <c r="ED100" s="90"/>
      <c r="EE100" s="90"/>
      <c r="EF100" s="90"/>
      <c r="EG100" s="90"/>
      <c r="EH100" s="90"/>
      <c r="EI100" s="90"/>
      <c r="EJ100" s="90"/>
      <c r="EK100" s="90"/>
      <c r="EL100" s="90"/>
      <c r="EM100" s="90"/>
      <c r="EN100" s="90"/>
      <c r="EO100" s="90"/>
      <c r="EP100" s="90"/>
      <c r="EQ100" s="90"/>
      <c r="ER100" s="90"/>
      <c r="ES100" s="90"/>
      <c r="ET100" s="90"/>
      <c r="EU100" s="90"/>
      <c r="EV100" s="90"/>
      <c r="EW100" s="90"/>
      <c r="EX100" s="90"/>
      <c r="EY100" s="90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</sheetData>
  <mergeCells count="120">
    <mergeCell ref="A1:E1"/>
    <mergeCell ref="M1:Q1"/>
    <mergeCell ref="Y1:AC1"/>
    <mergeCell ref="AK1:AO1"/>
    <mergeCell ref="A2:B2"/>
    <mergeCell ref="M2:N2"/>
    <mergeCell ref="Y2:Z2"/>
    <mergeCell ref="AK2:AL2"/>
    <mergeCell ref="CG33:CH33"/>
    <mergeCell ref="CS33:CT33"/>
    <mergeCell ref="AE1:AI1"/>
    <mergeCell ref="AE2:AF2"/>
    <mergeCell ref="A31:B31"/>
    <mergeCell ref="BU32:BV32"/>
    <mergeCell ref="M33:N33"/>
    <mergeCell ref="Y33:Z33"/>
    <mergeCell ref="AQ33:AR33"/>
    <mergeCell ref="BO34:BP34"/>
    <mergeCell ref="CA34:CB34"/>
    <mergeCell ref="CM34:CN34"/>
    <mergeCell ref="CY34:CZ34"/>
    <mergeCell ref="DE34:DF34"/>
    <mergeCell ref="G34:H34"/>
    <mergeCell ref="S34:T34"/>
    <mergeCell ref="AE34:AF34"/>
    <mergeCell ref="AK34:AL34"/>
    <mergeCell ref="AW34:AX34"/>
    <mergeCell ref="BC34:BD34"/>
    <mergeCell ref="BI34:BJ34"/>
    <mergeCell ref="BI1:BM1"/>
    <mergeCell ref="BI2:BJ2"/>
    <mergeCell ref="BU1:BY1"/>
    <mergeCell ref="BU2:BV2"/>
    <mergeCell ref="AQ1:AT1"/>
    <mergeCell ref="BC1:BG1"/>
    <mergeCell ref="BO1:BS1"/>
    <mergeCell ref="CA1:CE1"/>
    <mergeCell ref="AQ2:AR2"/>
    <mergeCell ref="BC2:BD2"/>
    <mergeCell ref="BO2:BP2"/>
    <mergeCell ref="CA2:CB2"/>
    <mergeCell ref="CY1:DC1"/>
    <mergeCell ref="CY2:CZ2"/>
    <mergeCell ref="DK1:DO1"/>
    <mergeCell ref="DK2:DL2"/>
    <mergeCell ref="CG1:CK1"/>
    <mergeCell ref="CS1:CW1"/>
    <mergeCell ref="DE1:DI1"/>
    <mergeCell ref="DQ1:DU1"/>
    <mergeCell ref="CG2:CH2"/>
    <mergeCell ref="CS2:CT2"/>
    <mergeCell ref="DE2:DF2"/>
    <mergeCell ref="DQ2:DR2"/>
    <mergeCell ref="FA1:FE1"/>
    <mergeCell ref="FA2:FB2"/>
    <mergeCell ref="FA33:FB33"/>
    <mergeCell ref="FM33:FN33"/>
    <mergeCell ref="DW1:EA1"/>
    <mergeCell ref="EI1:EM1"/>
    <mergeCell ref="EU1:EY1"/>
    <mergeCell ref="FG1:FK1"/>
    <mergeCell ref="DW2:DX2"/>
    <mergeCell ref="EI2:EJ2"/>
    <mergeCell ref="EU2:EV2"/>
    <mergeCell ref="FG2:FH2"/>
    <mergeCell ref="EI34:EJ34"/>
    <mergeCell ref="EU34:EV34"/>
    <mergeCell ref="FG34:FH34"/>
    <mergeCell ref="EO1:ES1"/>
    <mergeCell ref="EO2:EP2"/>
    <mergeCell ref="EO31:EP31"/>
    <mergeCell ref="DK33:DL33"/>
    <mergeCell ref="DW33:DX33"/>
    <mergeCell ref="DQ34:DR34"/>
    <mergeCell ref="EC34:ED34"/>
    <mergeCell ref="GE1:GI1"/>
    <mergeCell ref="GE2:GF2"/>
    <mergeCell ref="GE33:GF33"/>
    <mergeCell ref="FS34:FT34"/>
    <mergeCell ref="FY34:FZ34"/>
    <mergeCell ref="GK34:GL34"/>
    <mergeCell ref="FM1:FQ1"/>
    <mergeCell ref="FY1:GC1"/>
    <mergeCell ref="GK1:GO1"/>
    <mergeCell ref="GW1:HA1"/>
    <mergeCell ref="FM2:FN2"/>
    <mergeCell ref="FY2:FZ2"/>
    <mergeCell ref="GK2:GL2"/>
    <mergeCell ref="GW2:GX2"/>
    <mergeCell ref="HO34:HP34"/>
    <mergeCell ref="IA34:IB34"/>
    <mergeCell ref="GQ1:GU1"/>
    <mergeCell ref="GQ2:GR2"/>
    <mergeCell ref="HI31:HJ31"/>
    <mergeCell ref="GQ33:GR33"/>
    <mergeCell ref="HU33:HV33"/>
    <mergeCell ref="GW34:GX34"/>
    <mergeCell ref="HC34:HD34"/>
    <mergeCell ref="G1:K1"/>
    <mergeCell ref="G2:H2"/>
    <mergeCell ref="S1:W1"/>
    <mergeCell ref="S2:T2"/>
    <mergeCell ref="AW1:AZ1"/>
    <mergeCell ref="AW2:AX2"/>
    <mergeCell ref="CM1:CQ1"/>
    <mergeCell ref="CM2:CN2"/>
    <mergeCell ref="EC1:EG1"/>
    <mergeCell ref="EC2:ED2"/>
    <mergeCell ref="FS1:FW1"/>
    <mergeCell ref="FS2:FT2"/>
    <mergeCell ref="HU1:HY1"/>
    <mergeCell ref="HU2:HV2"/>
    <mergeCell ref="HC1:HG1"/>
    <mergeCell ref="HI1:HM1"/>
    <mergeCell ref="HO1:HS1"/>
    <mergeCell ref="IA1:IE1"/>
    <mergeCell ref="HC2:HD2"/>
    <mergeCell ref="HI2:HJ2"/>
    <mergeCell ref="HO2:HP2"/>
    <mergeCell ref="IA2:IB2"/>
  </mergeCells>
  <conditionalFormatting sqref="GZ3:GZ33">
    <cfRule type="cellIs" dxfId="2" priority="1" operator="greaterThanOrEqual">
      <formula>$F3</formula>
    </cfRule>
  </conditionalFormatting>
  <conditionalFormatting sqref="GZ3:GZ33">
    <cfRule type="cellIs" dxfId="3" priority="2" operator="lessThan">
      <formula>$F3</formula>
    </cfRule>
  </conditionalFormatting>
  <conditionalFormatting sqref="HL3:HL30">
    <cfRule type="expression" dxfId="0" priority="3">
      <formula>$D3&gt;=$F3</formula>
    </cfRule>
  </conditionalFormatting>
  <conditionalFormatting sqref="HL3:HL30">
    <cfRule type="expression" dxfId="1" priority="4">
      <formula>$D3&lt;$F3</formula>
    </cfRule>
  </conditionalFormatting>
  <conditionalFormatting sqref="HR3:HR33">
    <cfRule type="expression" dxfId="0" priority="5">
      <formula>$D3&gt;=$F3</formula>
    </cfRule>
  </conditionalFormatting>
  <conditionalFormatting sqref="HR3:HR33">
    <cfRule type="expression" dxfId="1" priority="6">
      <formula>$D3&lt;$F3</formula>
    </cfRule>
  </conditionalFormatting>
  <conditionalFormatting sqref="HX3:HX32">
    <cfRule type="expression" dxfId="0" priority="7">
      <formula>$D3&gt;=$F3</formula>
    </cfRule>
  </conditionalFormatting>
  <conditionalFormatting sqref="HX3:HX32">
    <cfRule type="expression" dxfId="1" priority="8">
      <formula>$D3&lt;$F3</formula>
    </cfRule>
  </conditionalFormatting>
  <conditionalFormatting sqref="ID3:ID33">
    <cfRule type="expression" dxfId="0" priority="9">
      <formula>$D3&gt;=$F3</formula>
    </cfRule>
  </conditionalFormatting>
  <conditionalFormatting sqref="ID3:ID33">
    <cfRule type="expression" dxfId="1" priority="10">
      <formula>$D3&lt;$F3</formula>
    </cfRule>
  </conditionalFormatting>
  <printOptions/>
  <pageMargins bottom="0.7875" footer="0.0" header="0.0" left="0.511805555555556" right="0.511805555555556" top="0.78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16" t="s">
        <v>52</v>
      </c>
      <c r="B1" s="124" t="s">
        <v>53</v>
      </c>
    </row>
    <row r="2">
      <c r="A2" s="125">
        <v>46082.0</v>
      </c>
      <c r="B2" s="124">
        <v>4694.977760000001</v>
      </c>
    </row>
    <row r="3">
      <c r="A3" s="125">
        <v>46083.0</v>
      </c>
      <c r="B3" s="124">
        <v>2600.963115384616</v>
      </c>
    </row>
    <row r="4">
      <c r="A4" s="125">
        <v>46084.0</v>
      </c>
      <c r="B4" s="124">
        <v>2691.103461538462</v>
      </c>
    </row>
    <row r="5">
      <c r="A5" s="125">
        <v>46085.0</v>
      </c>
      <c r="B5" s="124">
        <v>3000.2225000000003</v>
      </c>
    </row>
    <row r="6">
      <c r="A6" s="125">
        <v>46086.0</v>
      </c>
      <c r="B6" s="124">
        <v>3049.4403076923077</v>
      </c>
    </row>
    <row r="7">
      <c r="A7" s="125">
        <v>46087.0</v>
      </c>
      <c r="B7" s="124">
        <v>3011.8659999999995</v>
      </c>
    </row>
    <row r="8">
      <c r="A8" s="125">
        <v>46088.0</v>
      </c>
      <c r="B8" s="124">
        <v>4793.871076923077</v>
      </c>
    </row>
    <row r="9">
      <c r="A9" s="125">
        <v>46089.0</v>
      </c>
      <c r="B9" s="124">
        <v>4694.977760000001</v>
      </c>
    </row>
    <row r="10">
      <c r="A10" s="125">
        <v>46090.0</v>
      </c>
      <c r="B10" s="124">
        <v>2600.963115384616</v>
      </c>
    </row>
    <row r="11">
      <c r="A11" s="125">
        <v>46091.0</v>
      </c>
      <c r="B11" s="124">
        <v>2691.103461538462</v>
      </c>
    </row>
    <row r="12">
      <c r="A12" s="125">
        <v>46092.0</v>
      </c>
      <c r="B12" s="124">
        <v>3000.2225000000003</v>
      </c>
    </row>
    <row r="13">
      <c r="A13" s="125">
        <v>46093.0</v>
      </c>
      <c r="B13" s="124">
        <v>3049.4403076923077</v>
      </c>
    </row>
    <row r="14">
      <c r="A14" s="125">
        <v>46094.0</v>
      </c>
      <c r="B14" s="124">
        <v>3011.8659999999995</v>
      </c>
    </row>
    <row r="15">
      <c r="A15" s="125">
        <v>46095.0</v>
      </c>
      <c r="B15" s="124">
        <v>4793.871076923077</v>
      </c>
    </row>
    <row r="16">
      <c r="A16" s="125">
        <v>46096.0</v>
      </c>
      <c r="B16" s="124">
        <v>4694.977760000001</v>
      </c>
    </row>
    <row r="17">
      <c r="A17" s="125">
        <v>46097.0</v>
      </c>
      <c r="B17" s="124">
        <v>2600.963115384616</v>
      </c>
    </row>
    <row r="18">
      <c r="A18" s="125">
        <v>46098.0</v>
      </c>
      <c r="B18" s="124">
        <v>2691.103461538462</v>
      </c>
    </row>
    <row r="19">
      <c r="A19" s="125">
        <v>46099.0</v>
      </c>
      <c r="B19" s="124">
        <v>3000.2225000000003</v>
      </c>
    </row>
    <row r="20">
      <c r="A20" s="125">
        <v>46100.0</v>
      </c>
      <c r="B20" s="124">
        <v>3049.4403076923077</v>
      </c>
    </row>
    <row r="21">
      <c r="A21" s="125">
        <v>46101.0</v>
      </c>
      <c r="B21" s="124">
        <v>3011.8659999999995</v>
      </c>
    </row>
    <row r="22">
      <c r="A22" s="125">
        <v>46102.0</v>
      </c>
      <c r="B22" s="124">
        <v>4793.871076923077</v>
      </c>
    </row>
    <row r="23">
      <c r="A23" s="125">
        <v>46103.0</v>
      </c>
      <c r="B23" s="124">
        <v>4694.977760000001</v>
      </c>
    </row>
    <row r="24">
      <c r="A24" s="125">
        <v>46104.0</v>
      </c>
      <c r="B24" s="124">
        <v>2600.963115384616</v>
      </c>
    </row>
    <row r="25">
      <c r="A25" s="125">
        <v>46105.0</v>
      </c>
      <c r="B25" s="124">
        <v>2691.103461538462</v>
      </c>
    </row>
    <row r="26">
      <c r="A26" s="125">
        <v>46106.0</v>
      </c>
      <c r="B26" s="124">
        <v>3000.2225000000003</v>
      </c>
    </row>
    <row r="27">
      <c r="A27" s="125">
        <v>46107.0</v>
      </c>
      <c r="B27" s="124">
        <v>3049.4403076923077</v>
      </c>
    </row>
    <row r="28">
      <c r="A28" s="125">
        <v>46108.0</v>
      </c>
      <c r="B28" s="124">
        <v>3011.8659999999995</v>
      </c>
    </row>
    <row r="29">
      <c r="A29" s="125">
        <v>46109.0</v>
      </c>
      <c r="B29" s="124">
        <v>4793.871076923077</v>
      </c>
    </row>
    <row r="30">
      <c r="A30" s="125">
        <v>46110.0</v>
      </c>
      <c r="B30" s="124">
        <v>4694.977760000001</v>
      </c>
    </row>
    <row r="31">
      <c r="A31" s="125">
        <v>46111.0</v>
      </c>
      <c r="B31" s="124">
        <v>2600.963115384616</v>
      </c>
    </row>
    <row r="32">
      <c r="A32" s="125">
        <v>46112.0</v>
      </c>
      <c r="B32" s="124">
        <v>2691.103461538462</v>
      </c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2022-09-14T00:58:00Z</dcterms:created>
  <dc:creator>adriano carvalho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45502BB327544A6988279B5D3611B5AD_13</vt:lpwstr>
  </property>
  <property fmtid="{D5CDD505-2E9C-101B-9397-08002B2CF9AE}" pid="3" name="KSOProductBuildVer">
    <vt:lpwstr>1046-12.2.0.23155</vt:lpwstr>
  </property>
  <property fmtid="{D5CDD505-2E9C-101B-9397-08002B2CF9AE}" pid="4" name="KSOReadingLayout">
    <vt:bool>false</vt:bool>
  </property>
</Properties>
</file>