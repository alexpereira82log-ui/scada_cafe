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lho" sheetId="1" state="visible" r:id="rId2"/>
    <sheet name="backup" sheetId="2" state="visible" r:id="rId3"/>
    <sheet name="Calculo " sheetId="3" state="visible" r:id="rId4"/>
    <sheet name="Calculo mensal" sheetId="4" state="visible" r:id="rId5"/>
    <sheet name="Anteriores" sheetId="5" state="visible" r:id="rId6"/>
    <sheet name="Página1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<sst xmlns="http://schemas.openxmlformats.org/spreadsheetml/2006/main" count="1678" uniqueCount="54">
  <si>
    <t xml:space="preserve">META JULHO</t>
  </si>
  <si>
    <t xml:space="preserve">FATURAMENTO BRUTO</t>
  </si>
  <si>
    <t xml:space="preserve">Dia</t>
  </si>
  <si>
    <t xml:space="preserve">Meta</t>
  </si>
  <si>
    <t xml:space="preserve">Realizado</t>
  </si>
  <si>
    <t xml:space="preserve">Meta negativa</t>
  </si>
  <si>
    <t xml:space="preserve">Nova</t>
  </si>
  <si>
    <t xml:space="preserve">quarta-feira</t>
  </si>
  <si>
    <t xml:space="preserve">Análises</t>
  </si>
  <si>
    <t xml:space="preserve">quinta-feira</t>
  </si>
  <si>
    <t xml:space="preserve">Acompanhamento meta diária</t>
  </si>
  <si>
    <t xml:space="preserve">sexta-feira</t>
  </si>
  <si>
    <t xml:space="preserve">Meta Dia</t>
  </si>
  <si>
    <t xml:space="preserve">sábado</t>
  </si>
  <si>
    <t xml:space="preserve">Hora</t>
  </si>
  <si>
    <t xml:space="preserve">Parciais</t>
  </si>
  <si>
    <t xml:space="preserve">Déficit</t>
  </si>
  <si>
    <t xml:space="preserve">domingo</t>
  </si>
  <si>
    <t xml:space="preserve">segunda-feira</t>
  </si>
  <si>
    <t xml:space="preserve">Meta semanal</t>
  </si>
  <si>
    <t xml:space="preserve">terça-feira</t>
  </si>
  <si>
    <t xml:space="preserve">Total</t>
  </si>
  <si>
    <t xml:space="preserve">Porcentagem</t>
  </si>
  <si>
    <t xml:space="preserve">Valor Porcentagem</t>
  </si>
  <si>
    <t xml:space="preserve">Diferença</t>
  </si>
  <si>
    <t xml:space="preserve">Dia da Semana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</si>
  <si>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</si>
  <si>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</si>
  <si>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</si>
  <si>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</si>
  <si>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</si>
  <si>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</si>
  <si>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</si>
  <si>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</si>
  <si>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</si>
  <si>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</si>
  <si>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</si>
  <si>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Janeiro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</si>
  <si>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</si>
  <si>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</si>
  <si>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</si>
  <si>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</si>
  <si>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</si>
  <si>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</si>
  <si>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Máximo</t>
  </si>
  <si>
    <t xml:space="preserve">Mínimo</t>
  </si>
  <si>
    <t xml:space="preserve">Dias</t>
  </si>
  <si>
    <t xml:space="preserve">Média</t>
  </si>
  <si>
    <t xml:space="preserve">Ponderada</t>
  </si>
  <si>
    <t xml:space="preserve">Crescimento </t>
  </si>
  <si>
    <t xml:space="preserve">Anterior</t>
  </si>
  <si>
    <t xml:space="preserve">%</t>
  </si>
  <si>
    <t xml:space="preserve">data</t>
  </si>
  <si>
    <t xml:space="preserve">meta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</si>
</sst>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-&quot;R$ &quot;* #,##0.00_-;&quot;-R$ &quot;* #,##0.00_-;_-&quot;R$ &quot;* \-??_-;_-@"/>
    <numFmt numFmtId="166" formatCode="_([$R$ -416]* #,##0.00_);_([$R$ -416]* \(#,##0.00\);_([$R$ -416]* \-??_);_(@_)"/>
    <numFmt numFmtId="167" formatCode="_-* #,##0.00_-;\-* #,##0.00_-;_-* \-??_-;_-@"/>
    <numFmt numFmtId="168" formatCode="_(&quot;R$ &quot;* #,##0.00_);_(&quot;R$ &quot;* \(#,##0.00\);_(&quot;R$ &quot;* \-??_);_(@_)"/>
    <numFmt numFmtId="169" formatCode="hh:mm:ss"/>
    <numFmt numFmtId="170" formatCode="General"/>
    <numFmt numFmtId="171" formatCode="#,##0.00"/>
    <numFmt numFmtId="172" formatCode="&quot;R$&quot;#,##0.00;[RED]&quot;-R$&quot;#,##0.00"/>
    <numFmt numFmtId="173" formatCode="0%"/>
    <numFmt numFmtId="174" formatCode="_-* #,##0.00_-;\-* #,##0.00_-;_-* \-??_-;_-@"/>
    <numFmt numFmtId="175" formatCode="0.00%"/>
    <numFmt numFmtId="176" formatCode="mmm/yy"/>
    <numFmt numFmtId="177" formatCode="yyyy\-mm\-dd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2"/>
      <color rgb="FFA6A6A6"/>
      <name val="Calibri"/>
      <family val="0"/>
      <charset val="1"/>
    </font>
    <font>
      <b val="true"/>
      <sz val="12"/>
      <color rgb="FF990000"/>
      <name val="Calibri"/>
      <family val="0"/>
      <charset val="1"/>
    </font>
    <font>
      <sz val="12"/>
      <color rgb="FFFF0000"/>
      <name val="Calibri"/>
      <family val="0"/>
      <charset val="1"/>
    </font>
    <font>
      <sz val="12"/>
      <color rgb="FFFF0000"/>
      <name val="Roboto"/>
      <family val="0"/>
      <charset val="1"/>
    </font>
    <font>
      <u val="single"/>
      <sz val="12"/>
      <color rgb="FF000000"/>
      <name val="Calibri"/>
      <family val="0"/>
      <charset val="1"/>
    </font>
    <font>
      <sz val="12"/>
      <color rgb="FF000000"/>
      <name val="Arial"/>
      <family val="0"/>
      <charset val="1"/>
    </font>
    <font>
      <u val="single"/>
      <sz val="12"/>
      <color rgb="FF000000"/>
      <name val="Arial"/>
      <family val="0"/>
      <charset val="1"/>
    </font>
    <font>
      <sz val="12"/>
      <color rgb="FFFF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84807"/>
        <bgColor rgb="FF993366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2"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274E13"/>
      </font>
      <fill>
        <patternFill>
          <bgColor rgb="FFFFFFFF"/>
        </patternFill>
      </fill>
    </dxf>
    <dxf>
      <font>
        <b val="1"/>
        <color rgb="FF990000"/>
      </font>
      <fill>
        <patternFill>
          <bgColor rgb="FF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274E13"/>
      </font>
      <fill>
        <patternFill>
          <bgColor rgb="FFFFFFFF"/>
        </patternFill>
      </fill>
    </dxf>
    <dxf>
      <font>
        <b val="1"/>
        <color rgb="FF990000"/>
      </font>
      <fill>
        <patternFill>
          <bgColor rgb="FFFFFFFF"/>
        </patternFill>
      </fill>
    </dxf>
    <dxf>
      <font>
        <b val="1"/>
        <color rgb="FF274E13"/>
      </font>
      <fill>
        <patternFill>
          <bgColor rgb="FFFFFFFF"/>
        </patternFill>
      </fill>
    </dxf>
    <dxf>
      <font>
        <b val="1"/>
        <color rgb="FF990000"/>
      </font>
      <fill>
        <patternFill>
          <bgColor rgb="FF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274E13"/>
      </font>
      <fill>
        <patternFill>
          <bgColor rgb="FFFFFFFF"/>
        </patternFill>
      </fill>
    </dxf>
    <dxf>
      <font>
        <b val="1"/>
        <color rgb="FF990000"/>
      </font>
      <fill>
        <patternFill>
          <bgColor rgb="FF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  <dxf>
      <font>
        <b val="1"/>
        <color rgb="FF38761D"/>
      </font>
      <fill>
        <patternFill>
          <bgColor rgb="00FFFFFF"/>
        </patternFill>
      </fill>
    </dxf>
    <dxf>
      <font>
        <b val="1"/>
        <color rgb="FF990000"/>
      </font>
      <fill>
        <patternFill>
          <b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274E13"/>
      <rgbColor rgb="FF98480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6" activeCellId="0" sqref="A3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13.28"/>
    <col collapsed="false" customWidth="true" hidden="false" outlineLevel="0" max="3" min="3" style="0" width="16.71"/>
    <col collapsed="false" customWidth="true" hidden="false" outlineLevel="0" max="4" min="4" style="0" width="16.57"/>
    <col collapsed="false" customWidth="true" hidden="true" outlineLevel="0" max="5" min="5" style="0" width="4"/>
    <col collapsed="false" customWidth="true" hidden="false" outlineLevel="0" max="6" min="6" style="0" width="14.28"/>
    <col collapsed="false" customWidth="true" hidden="false" outlineLevel="0" max="7" min="7" style="0" width="13.57"/>
    <col collapsed="false" customWidth="true" hidden="false" outlineLevel="0" max="8" min="8" style="0" width="14.71"/>
    <col collapsed="false" customWidth="true" hidden="false" outlineLevel="0" max="9" min="9" style="0" width="19.14"/>
    <col collapsed="false" customWidth="true" hidden="false" outlineLevel="0" max="10" min="10" style="0" width="3"/>
    <col collapsed="false" customWidth="true" hidden="false" outlineLevel="0" max="11" min="11" style="0" width="2.86"/>
    <col collapsed="false" customWidth="true" hidden="false" outlineLevel="0" max="12" min="12" style="0" width="8.85"/>
    <col collapsed="false" customWidth="true" hidden="false" outlineLevel="0" max="13" min="13" style="0" width="14.14"/>
    <col collapsed="false" customWidth="true" hidden="false" outlineLevel="0" max="14" min="14" style="0" width="9"/>
    <col collapsed="false" customWidth="true" hidden="false" outlineLevel="0" max="15" min="15" style="0" width="14.14"/>
    <col collapsed="false" customWidth="true" hidden="false" outlineLevel="0" max="16" min="16" style="0" width="2.57"/>
    <col collapsed="false" customWidth="true" hidden="false" outlineLevel="0" max="17" min="17" style="0" width="2.43"/>
    <col collapsed="false" customWidth="true" hidden="false" outlineLevel="0" max="18" min="18" style="0" width="11.85"/>
    <col collapsed="false" customWidth="true" hidden="false" outlineLevel="0" max="22" min="19" style="0" width="9.57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2"/>
      <c r="F1" s="3"/>
      <c r="G1" s="4"/>
      <c r="H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5.75" hidden="false" customHeight="false" outlineLevel="0" collapsed="false">
      <c r="A2" s="1"/>
      <c r="B2" s="1"/>
      <c r="C2" s="1"/>
      <c r="D2" s="1"/>
      <c r="E2" s="2"/>
      <c r="F2" s="3"/>
      <c r="G2" s="4"/>
      <c r="H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5" hidden="false" customHeight="true" outlineLevel="0" collapsed="false">
      <c r="A3" s="1" t="s">
        <v>1</v>
      </c>
      <c r="B3" s="1"/>
      <c r="C3" s="1"/>
      <c r="D3" s="1"/>
      <c r="E3" s="2"/>
      <c r="F3" s="3"/>
      <c r="G3" s="4"/>
      <c r="H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5.75" hidden="false" customHeight="false" outlineLevel="0" collapsed="false">
      <c r="A4" s="1"/>
      <c r="B4" s="1"/>
      <c r="C4" s="1"/>
      <c r="D4" s="1"/>
      <c r="E4" s="2"/>
      <c r="F4" s="3"/>
      <c r="G4" s="4"/>
      <c r="H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5.75" hidden="false" customHeight="true" outlineLevel="0" collapsed="false">
      <c r="A5" s="5" t="s">
        <v>2</v>
      </c>
      <c r="B5" s="5"/>
      <c r="C5" s="5" t="s">
        <v>3</v>
      </c>
      <c r="D5" s="6" t="s">
        <v>4</v>
      </c>
      <c r="E5" s="5" t="s">
        <v>5</v>
      </c>
      <c r="F5" s="6" t="s">
        <v>6</v>
      </c>
      <c r="G5" s="4"/>
      <c r="H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5.75" hidden="false" customHeight="false" outlineLevel="0" collapsed="false">
      <c r="A6" s="7" t="n">
        <v>1</v>
      </c>
      <c r="B6" s="7" t="s">
        <v>7</v>
      </c>
      <c r="C6" s="3" t="n">
        <v>3027.79686956522</v>
      </c>
      <c r="D6" s="8"/>
      <c r="E6" s="9" t="n">
        <f aca="false">C6*-1</f>
        <v>-3027.79686956522</v>
      </c>
      <c r="F6" s="10" t="n">
        <f aca="false">C6-('Calculo '!$D$33*'Calculo '!B2)</f>
        <v>3027.79686956522</v>
      </c>
      <c r="G6" s="4"/>
      <c r="H6" s="11"/>
      <c r="J6" s="12"/>
      <c r="K6" s="13" t="s">
        <v>8</v>
      </c>
      <c r="L6" s="14"/>
      <c r="M6" s="14"/>
      <c r="N6" s="14"/>
      <c r="O6" s="15"/>
      <c r="P6" s="16"/>
      <c r="Q6" s="16"/>
      <c r="R6" s="16"/>
      <c r="S6" s="16"/>
      <c r="T6" s="16"/>
      <c r="U6" s="4"/>
      <c r="V6" s="12"/>
    </row>
    <row r="7" customFormat="false" ht="15.75" hidden="false" customHeight="false" outlineLevel="0" collapsed="false">
      <c r="A7" s="7" t="n">
        <v>2</v>
      </c>
      <c r="B7" s="7" t="s">
        <v>9</v>
      </c>
      <c r="C7" s="3" t="n">
        <v>2657.19025</v>
      </c>
      <c r="D7" s="8"/>
      <c r="E7" s="17" t="n">
        <f aca="false">C7*-1</f>
        <v>-2657.19025</v>
      </c>
      <c r="F7" s="10" t="n">
        <f aca="false">C7-('Calculo '!$D$33*'Calculo '!B3)</f>
        <v>2657.19025</v>
      </c>
      <c r="G7" s="4"/>
      <c r="H7" s="11"/>
      <c r="J7" s="4"/>
      <c r="K7" s="18"/>
      <c r="L7" s="19" t="s">
        <v>10</v>
      </c>
      <c r="M7" s="4"/>
      <c r="N7" s="4"/>
      <c r="O7" s="20"/>
      <c r="P7" s="16"/>
      <c r="Q7" s="16"/>
      <c r="R7" s="16"/>
      <c r="S7" s="16"/>
      <c r="T7" s="16"/>
      <c r="U7" s="4"/>
      <c r="V7" s="12"/>
    </row>
    <row r="8" customFormat="false" ht="15.75" hidden="false" customHeight="false" outlineLevel="0" collapsed="false">
      <c r="A8" s="7" t="n">
        <v>3</v>
      </c>
      <c r="B8" s="7" t="s">
        <v>11</v>
      </c>
      <c r="C8" s="21" t="n">
        <v>3044.063</v>
      </c>
      <c r="D8" s="8"/>
      <c r="E8" s="17" t="n">
        <f aca="false">C8*-1</f>
        <v>-3044.063</v>
      </c>
      <c r="F8" s="10" t="n">
        <f aca="false">C8-('Calculo '!$D$33*'Calculo '!B4)</f>
        <v>3044.063</v>
      </c>
      <c r="G8" s="4"/>
      <c r="H8" s="4"/>
      <c r="J8" s="4"/>
      <c r="K8" s="22"/>
      <c r="L8" s="16" t="s">
        <v>12</v>
      </c>
      <c r="M8" s="23" t="n">
        <f aca="false" t="array" ref="M8:M8">INDEX(F2:F36,MATCH(1,INDEX((D2:D36="")*(F2:F36&lt;&gt;""),0),0))</f>
        <v>3027.79686956522</v>
      </c>
      <c r="N8" s="16"/>
      <c r="O8" s="20"/>
      <c r="P8" s="16"/>
      <c r="Q8" s="16"/>
      <c r="R8" s="16"/>
      <c r="S8" s="16"/>
      <c r="T8" s="16"/>
      <c r="U8" s="4"/>
      <c r="V8" s="12"/>
    </row>
    <row r="9" customFormat="false" ht="15.75" hidden="false" customHeight="false" outlineLevel="0" collapsed="false">
      <c r="A9" s="7" t="n">
        <v>4</v>
      </c>
      <c r="B9" s="7" t="s">
        <v>13</v>
      </c>
      <c r="C9" s="3" t="n">
        <v>4893.62958333333</v>
      </c>
      <c r="D9" s="8"/>
      <c r="E9" s="17" t="n">
        <f aca="false">C9*-1</f>
        <v>-4893.62958333333</v>
      </c>
      <c r="F9" s="10" t="n">
        <f aca="false">C9-('Calculo '!$D$33*'Calculo '!B5)</f>
        <v>4893.62958333333</v>
      </c>
      <c r="G9" s="4"/>
      <c r="H9" s="4"/>
      <c r="J9" s="4"/>
      <c r="K9" s="22"/>
      <c r="L9" s="24" t="s">
        <v>14</v>
      </c>
      <c r="M9" s="24" t="s">
        <v>3</v>
      </c>
      <c r="N9" s="24" t="s">
        <v>15</v>
      </c>
      <c r="O9" s="24" t="s">
        <v>16</v>
      </c>
      <c r="P9" s="4"/>
      <c r="Q9" s="16"/>
      <c r="R9" s="16"/>
      <c r="S9" s="16"/>
      <c r="T9" s="16"/>
      <c r="U9" s="4"/>
      <c r="V9" s="12"/>
    </row>
    <row r="10" customFormat="false" ht="15.75" hidden="false" customHeight="false" outlineLevel="0" collapsed="false">
      <c r="A10" s="7" t="n">
        <v>5</v>
      </c>
      <c r="B10" s="7" t="s">
        <v>17</v>
      </c>
      <c r="C10" s="3" t="n">
        <v>4683.77754166667</v>
      </c>
      <c r="D10" s="8"/>
      <c r="E10" s="25" t="n">
        <f aca="false">C10*-1</f>
        <v>-4683.77754166667</v>
      </c>
      <c r="F10" s="10" t="n">
        <f aca="false">C10-('Calculo '!$D$33*'Calculo '!B6)</f>
        <v>4683.77754166667</v>
      </c>
      <c r="G10" s="4"/>
      <c r="H10" s="4"/>
      <c r="J10" s="4"/>
      <c r="K10" s="26"/>
      <c r="L10" s="27" t="n">
        <v>0.458333333333333</v>
      </c>
      <c r="M10" s="10" t="n">
        <f aca="false">M8/COUNT(L10:L22)</f>
        <v>252.316405797101</v>
      </c>
      <c r="N10" s="28"/>
      <c r="O10" s="29" t="n">
        <f aca="false">M10-N10</f>
        <v>252.316405797101</v>
      </c>
      <c r="P10" s="16"/>
      <c r="Q10" s="16"/>
      <c r="R10" s="16"/>
      <c r="S10" s="16"/>
      <c r="T10" s="16"/>
      <c r="U10" s="16"/>
      <c r="V10" s="12"/>
    </row>
    <row r="11" customFormat="false" ht="15.75" hidden="false" customHeight="false" outlineLevel="0" collapsed="false">
      <c r="A11" s="7" t="n">
        <v>6</v>
      </c>
      <c r="B11" s="7" t="s">
        <v>18</v>
      </c>
      <c r="C11" s="3" t="n">
        <v>2218.21966666667</v>
      </c>
      <c r="D11" s="8"/>
      <c r="E11" s="17" t="n">
        <f aca="false">C11*-1</f>
        <v>-2218.21966666667</v>
      </c>
      <c r="F11" s="10" t="n">
        <f aca="false">C11-('Calculo '!$D$33*'Calculo '!B7)</f>
        <v>2218.21966666667</v>
      </c>
      <c r="G11" s="4" t="s">
        <v>19</v>
      </c>
      <c r="H11" s="30" t="n">
        <f aca="false">SUM(C6:C12)</f>
        <v>23012.3076612319</v>
      </c>
      <c r="I11" s="31" t="str">
        <f aca="false">IF(H12&gt;0,"Parabéns!!!","-")</f>
        <v>-</v>
      </c>
      <c r="J11" s="4"/>
      <c r="K11" s="26"/>
      <c r="L11" s="27" t="n">
        <v>0.5</v>
      </c>
      <c r="M11" s="10" t="n">
        <f aca="false">M10*2</f>
        <v>504.632811594203</v>
      </c>
      <c r="N11" s="28"/>
      <c r="O11" s="29" t="n">
        <f aca="false">M11-N11</f>
        <v>504.632811594203</v>
      </c>
      <c r="P11" s="16"/>
      <c r="Q11" s="16"/>
      <c r="R11" s="16"/>
      <c r="S11" s="16"/>
      <c r="T11" s="16"/>
      <c r="U11" s="16"/>
      <c r="V11" s="12"/>
    </row>
    <row r="12" customFormat="false" ht="15.75" hidden="false" customHeight="false" outlineLevel="0" collapsed="false">
      <c r="A12" s="7" t="n">
        <v>7</v>
      </c>
      <c r="B12" s="7" t="s">
        <v>20</v>
      </c>
      <c r="C12" s="32" t="n">
        <v>2487.63075</v>
      </c>
      <c r="D12" s="8"/>
      <c r="E12" s="17" t="n">
        <f aca="false">C12*-1</f>
        <v>-2487.63075</v>
      </c>
      <c r="F12" s="10" t="n">
        <f aca="false">C12-('Calculo '!$D$33*'Calculo '!B8)</f>
        <v>2487.63075</v>
      </c>
      <c r="G12" s="33" t="str">
        <f aca="false">IF(H12&gt;0,"Superávit","Déficit")</f>
        <v>Déficit</v>
      </c>
      <c r="H12" s="34" t="n">
        <f aca="false">SUM(D6:D12)-H11</f>
        <v>-23012.3076612319</v>
      </c>
      <c r="I12" s="35"/>
      <c r="J12" s="4"/>
      <c r="K12" s="26"/>
      <c r="L12" s="27" t="n">
        <v>0.541666666666667</v>
      </c>
      <c r="M12" s="10" t="n">
        <f aca="false">M11+$M$10</f>
        <v>756.949217391304</v>
      </c>
      <c r="N12" s="28"/>
      <c r="O12" s="29" t="n">
        <f aca="false">M12-N12</f>
        <v>756.949217391304</v>
      </c>
      <c r="P12" s="16"/>
      <c r="Q12" s="16"/>
      <c r="R12" s="16"/>
      <c r="S12" s="16"/>
      <c r="T12" s="16"/>
      <c r="U12" s="4"/>
      <c r="V12" s="12"/>
    </row>
    <row r="13" customFormat="false" ht="15.75" hidden="false" customHeight="false" outlineLevel="0" collapsed="false">
      <c r="A13" s="7" t="n">
        <v>8</v>
      </c>
      <c r="B13" s="7" t="s">
        <v>7</v>
      </c>
      <c r="C13" s="3" t="n">
        <v>3027.79686956522</v>
      </c>
      <c r="D13" s="8"/>
      <c r="E13" s="17" t="n">
        <f aca="false">C13*-1</f>
        <v>-3027.79686956522</v>
      </c>
      <c r="F13" s="10" t="n">
        <f aca="false">C13-('Calculo '!$D$33*'Calculo '!B9)</f>
        <v>3027.79686956522</v>
      </c>
      <c r="G13" s="4"/>
      <c r="H13" s="4"/>
      <c r="J13" s="4"/>
      <c r="K13" s="26"/>
      <c r="L13" s="27" t="n">
        <v>0.583333333333333</v>
      </c>
      <c r="M13" s="10" t="n">
        <f aca="false">M12+$M$10</f>
        <v>1009.26562318841</v>
      </c>
      <c r="N13" s="28"/>
      <c r="O13" s="29" t="n">
        <f aca="false">M13-N13</f>
        <v>1009.26562318841</v>
      </c>
      <c r="P13" s="4"/>
      <c r="Q13" s="4"/>
      <c r="R13" s="4"/>
      <c r="S13" s="4"/>
      <c r="T13" s="4"/>
      <c r="U13" s="4"/>
      <c r="V13" s="4"/>
    </row>
    <row r="14" customFormat="false" ht="15.75" hidden="false" customHeight="false" outlineLevel="0" collapsed="false">
      <c r="A14" s="7" t="n">
        <v>9</v>
      </c>
      <c r="B14" s="7" t="s">
        <v>9</v>
      </c>
      <c r="C14" s="3" t="n">
        <v>2657.19025</v>
      </c>
      <c r="D14" s="8"/>
      <c r="E14" s="17" t="n">
        <f aca="false">C14*-1</f>
        <v>-2657.19025</v>
      </c>
      <c r="F14" s="10" t="n">
        <f aca="false">C14-('Calculo '!$D$33*'Calculo '!B10)</f>
        <v>2657.19025</v>
      </c>
      <c r="G14" s="4"/>
      <c r="H14" s="4"/>
      <c r="J14" s="4"/>
      <c r="K14" s="26"/>
      <c r="L14" s="27" t="n">
        <v>0.625</v>
      </c>
      <c r="M14" s="10" t="n">
        <f aca="false">M13+$M$10</f>
        <v>1261.58202898551</v>
      </c>
      <c r="N14" s="28"/>
      <c r="O14" s="29" t="n">
        <f aca="false">M14-N14</f>
        <v>1261.58202898551</v>
      </c>
      <c r="P14" s="4"/>
      <c r="Q14" s="4"/>
      <c r="R14" s="4"/>
      <c r="S14" s="4"/>
      <c r="T14" s="4"/>
      <c r="U14" s="4"/>
      <c r="V14" s="4"/>
    </row>
    <row r="15" customFormat="false" ht="15.75" hidden="false" customHeight="false" outlineLevel="0" collapsed="false">
      <c r="A15" s="7" t="n">
        <v>10</v>
      </c>
      <c r="B15" s="7" t="s">
        <v>11</v>
      </c>
      <c r="C15" s="21" t="n">
        <v>3044.063</v>
      </c>
      <c r="D15" s="36"/>
      <c r="E15" s="17" t="n">
        <f aca="false">C15*-1</f>
        <v>-3044.063</v>
      </c>
      <c r="F15" s="10" t="n">
        <f aca="false">C15-('Calculo '!$D$33*'Calculo '!B11)</f>
        <v>3044.063</v>
      </c>
      <c r="G15" s="4"/>
      <c r="H15" s="4"/>
      <c r="J15" s="4"/>
      <c r="K15" s="26"/>
      <c r="L15" s="27" t="n">
        <v>0.666666666666667</v>
      </c>
      <c r="M15" s="10" t="n">
        <f aca="false">M14+$M$10</f>
        <v>1513.89843478261</v>
      </c>
      <c r="N15" s="28"/>
      <c r="O15" s="29" t="n">
        <f aca="false">M15-N15</f>
        <v>1513.89843478261</v>
      </c>
      <c r="P15" s="4"/>
      <c r="Q15" s="4"/>
      <c r="R15" s="4"/>
      <c r="S15" s="4"/>
      <c r="T15" s="4"/>
      <c r="U15" s="4"/>
      <c r="V15" s="4"/>
    </row>
    <row r="16" customFormat="false" ht="13.5" hidden="false" customHeight="true" outlineLevel="0" collapsed="false">
      <c r="A16" s="7" t="n">
        <v>11</v>
      </c>
      <c r="B16" s="7" t="s">
        <v>13</v>
      </c>
      <c r="C16" s="3" t="n">
        <v>4893.62958333333</v>
      </c>
      <c r="D16" s="36"/>
      <c r="E16" s="17" t="n">
        <f aca="false">C16*-1</f>
        <v>-4893.62958333333</v>
      </c>
      <c r="F16" s="10" t="n">
        <f aca="false">C16-('Calculo '!$D$33*'Calculo '!B12)</f>
        <v>4893.62958333333</v>
      </c>
      <c r="G16" s="4"/>
      <c r="H16" s="4"/>
      <c r="I16" s="4"/>
      <c r="J16" s="4"/>
      <c r="K16" s="26"/>
      <c r="L16" s="27" t="n">
        <v>0.708333333333333</v>
      </c>
      <c r="M16" s="10" t="n">
        <f aca="false">M15+$M$10</f>
        <v>1766.21484057971</v>
      </c>
      <c r="N16" s="28"/>
      <c r="O16" s="29" t="n">
        <f aca="false">M16-N16</f>
        <v>1766.21484057971</v>
      </c>
      <c r="P16" s="4"/>
      <c r="Q16" s="4"/>
      <c r="R16" s="4"/>
      <c r="S16" s="4"/>
      <c r="T16" s="4"/>
      <c r="U16" s="4"/>
      <c r="V16" s="4"/>
    </row>
    <row r="17" customFormat="false" ht="15.75" hidden="false" customHeight="false" outlineLevel="0" collapsed="false">
      <c r="A17" s="7" t="n">
        <v>12</v>
      </c>
      <c r="B17" s="7" t="s">
        <v>17</v>
      </c>
      <c r="C17" s="3" t="n">
        <v>4683.77754166667</v>
      </c>
      <c r="D17" s="8"/>
      <c r="E17" s="17" t="n">
        <f aca="false">C17*-1</f>
        <v>-4683.77754166667</v>
      </c>
      <c r="F17" s="10" t="n">
        <f aca="false">C17-('Calculo '!$D$33*'Calculo '!B13)</f>
        <v>4683.77754166667</v>
      </c>
      <c r="G17" s="4"/>
      <c r="H17" s="4"/>
      <c r="I17" s="4"/>
      <c r="J17" s="4"/>
      <c r="K17" s="26"/>
      <c r="L17" s="27" t="n">
        <v>0.75</v>
      </c>
      <c r="M17" s="10" t="n">
        <f aca="false">M16+$M$10</f>
        <v>2018.53124637681</v>
      </c>
      <c r="N17" s="28"/>
      <c r="O17" s="29" t="n">
        <f aca="false">M17-N17</f>
        <v>2018.53124637681</v>
      </c>
      <c r="P17" s="4"/>
      <c r="Q17" s="4"/>
      <c r="R17" s="4"/>
      <c r="S17" s="4"/>
      <c r="T17" s="4"/>
      <c r="U17" s="4"/>
      <c r="V17" s="4"/>
    </row>
    <row r="18" customFormat="false" ht="15.75" hidden="false" customHeight="false" outlineLevel="0" collapsed="false">
      <c r="A18" s="7" t="n">
        <v>13</v>
      </c>
      <c r="B18" s="7" t="s">
        <v>18</v>
      </c>
      <c r="C18" s="3" t="n">
        <v>2218.21966666667</v>
      </c>
      <c r="D18" s="8"/>
      <c r="E18" s="17" t="n">
        <f aca="false">C18*-1</f>
        <v>-2218.21966666667</v>
      </c>
      <c r="F18" s="10" t="n">
        <f aca="false">C18-('Calculo '!$D$33*'Calculo '!B14)</f>
        <v>2218.21966666667</v>
      </c>
      <c r="J18" s="4"/>
      <c r="K18" s="26"/>
      <c r="L18" s="27" t="n">
        <v>0.791666666666667</v>
      </c>
      <c r="M18" s="10" t="n">
        <f aca="false">M17+$M$10</f>
        <v>2270.84765217391</v>
      </c>
      <c r="N18" s="28"/>
      <c r="O18" s="29" t="n">
        <f aca="false">M18-N18</f>
        <v>2270.84765217391</v>
      </c>
      <c r="P18" s="4"/>
      <c r="Q18" s="4"/>
      <c r="R18" s="4"/>
      <c r="S18" s="4"/>
      <c r="T18" s="4"/>
      <c r="U18" s="4"/>
      <c r="V18" s="4"/>
    </row>
    <row r="19" customFormat="false" ht="15.75" hidden="false" customHeight="false" outlineLevel="0" collapsed="false">
      <c r="A19" s="7" t="n">
        <v>14</v>
      </c>
      <c r="B19" s="7" t="s">
        <v>20</v>
      </c>
      <c r="C19" s="32" t="n">
        <v>2487.63075</v>
      </c>
      <c r="D19" s="8"/>
      <c r="E19" s="17" t="n">
        <f aca="false">C19*-1</f>
        <v>-2487.63075</v>
      </c>
      <c r="F19" s="10" t="n">
        <f aca="false">C19-('Calculo '!$D$33*'Calculo '!B15)</f>
        <v>2487.63075</v>
      </c>
      <c r="G19" s="4" t="s">
        <v>19</v>
      </c>
      <c r="H19" s="30" t="n">
        <f aca="false">SUM(C13:C20)</f>
        <v>26040.1045307971</v>
      </c>
      <c r="I19" s="31" t="str">
        <f aca="false">IF(H20&gt;0,"Parabéns!!!","-")</f>
        <v>-</v>
      </c>
      <c r="J19" s="4"/>
      <c r="K19" s="26"/>
      <c r="L19" s="27" t="n">
        <v>0.833333333333333</v>
      </c>
      <c r="M19" s="10" t="n">
        <f aca="false">M18+$M$10</f>
        <v>2523.16405797101</v>
      </c>
      <c r="N19" s="28"/>
      <c r="O19" s="29" t="n">
        <f aca="false">M19-N19</f>
        <v>2523.16405797101</v>
      </c>
      <c r="P19" s="4"/>
      <c r="Q19" s="4"/>
      <c r="R19" s="4"/>
      <c r="S19" s="4"/>
      <c r="T19" s="4"/>
      <c r="U19" s="4"/>
      <c r="V19" s="4"/>
    </row>
    <row r="20" customFormat="false" ht="15.75" hidden="false" customHeight="false" outlineLevel="0" collapsed="false">
      <c r="A20" s="7" t="n">
        <v>15</v>
      </c>
      <c r="B20" s="7" t="s">
        <v>7</v>
      </c>
      <c r="C20" s="3" t="n">
        <v>3027.79686956522</v>
      </c>
      <c r="D20" s="8"/>
      <c r="E20" s="17" t="n">
        <f aca="false">C20*-1</f>
        <v>-3027.79686956522</v>
      </c>
      <c r="F20" s="10" t="n">
        <f aca="false">C20-('Calculo '!$D$33*'Calculo '!B16)</f>
        <v>3027.79686956522</v>
      </c>
      <c r="G20" s="33" t="str">
        <f aca="false">IF(H20&gt;0,"Superávit","Déficit")</f>
        <v>Déficit</v>
      </c>
      <c r="H20" s="34" t="n">
        <f aca="false">SUM(D13:D20)-H19</f>
        <v>-26040.1045307971</v>
      </c>
      <c r="I20" s="35"/>
      <c r="J20" s="4"/>
      <c r="K20" s="26"/>
      <c r="L20" s="27" t="n">
        <v>0.875</v>
      </c>
      <c r="M20" s="10" t="n">
        <f aca="false">M19+$M$10</f>
        <v>2775.48046376812</v>
      </c>
      <c r="N20" s="28"/>
      <c r="O20" s="29" t="n">
        <f aca="false">M20-N20</f>
        <v>2775.48046376812</v>
      </c>
      <c r="P20" s="4"/>
      <c r="Q20" s="4"/>
      <c r="R20" s="4"/>
      <c r="S20" s="4"/>
      <c r="T20" s="4"/>
      <c r="U20" s="4"/>
      <c r="V20" s="4"/>
    </row>
    <row r="21" customFormat="false" ht="15.75" hidden="false" customHeight="true" outlineLevel="0" collapsed="false">
      <c r="A21" s="7" t="n">
        <v>16</v>
      </c>
      <c r="B21" s="7" t="s">
        <v>9</v>
      </c>
      <c r="C21" s="3" t="n">
        <v>2657.19025</v>
      </c>
      <c r="D21" s="8"/>
      <c r="E21" s="17" t="n">
        <f aca="false">C21*-1</f>
        <v>-2657.19025</v>
      </c>
      <c r="F21" s="10" t="n">
        <f aca="false">C21-('Calculo '!$D$33*'Calculo '!B17)</f>
        <v>2657.19025</v>
      </c>
      <c r="G21" s="4"/>
      <c r="H21" s="4"/>
      <c r="J21" s="4"/>
      <c r="K21" s="26"/>
      <c r="L21" s="27" t="n">
        <v>0.916666666666667</v>
      </c>
      <c r="M21" s="10" t="n">
        <f aca="false">M20+$M$10</f>
        <v>3027.79686956522</v>
      </c>
      <c r="N21" s="28"/>
      <c r="O21" s="29" t="n">
        <f aca="false">M21-N21</f>
        <v>3027.79686956522</v>
      </c>
      <c r="P21" s="4"/>
      <c r="Q21" s="4"/>
      <c r="R21" s="4"/>
      <c r="S21" s="4"/>
      <c r="T21" s="4"/>
      <c r="U21" s="4"/>
      <c r="V21" s="4"/>
    </row>
    <row r="22" customFormat="false" ht="15.75" hidden="false" customHeight="true" outlineLevel="0" collapsed="false">
      <c r="A22" s="7" t="n">
        <v>17</v>
      </c>
      <c r="B22" s="7" t="s">
        <v>11</v>
      </c>
      <c r="C22" s="21" t="n">
        <v>3044.063</v>
      </c>
      <c r="D22" s="8"/>
      <c r="E22" s="17" t="n">
        <f aca="false">C22*-1</f>
        <v>-3044.063</v>
      </c>
      <c r="F22" s="10" t="n">
        <f aca="false">C22-('Calculo '!$D$33*'Calculo '!B18)</f>
        <v>3044.063</v>
      </c>
      <c r="G22" s="4"/>
      <c r="H22" s="4"/>
      <c r="J22" s="4"/>
      <c r="K22" s="37"/>
      <c r="L22" s="4"/>
      <c r="M22" s="4"/>
      <c r="N22" s="4"/>
      <c r="O22" s="20"/>
      <c r="P22" s="4"/>
      <c r="Q22" s="4"/>
      <c r="R22" s="4"/>
      <c r="S22" s="4"/>
      <c r="T22" s="4"/>
      <c r="U22" s="4"/>
      <c r="V22" s="4"/>
    </row>
    <row r="23" customFormat="false" ht="15.75" hidden="false" customHeight="true" outlineLevel="0" collapsed="false">
      <c r="A23" s="7" t="n">
        <v>18</v>
      </c>
      <c r="B23" s="7" t="s">
        <v>13</v>
      </c>
      <c r="C23" s="3" t="n">
        <v>4893.62958333333</v>
      </c>
      <c r="D23" s="8"/>
      <c r="E23" s="17" t="n">
        <f aca="false">C23*-1</f>
        <v>-4893.62958333333</v>
      </c>
      <c r="F23" s="10" t="n">
        <f aca="false">C23-('Calculo '!$D$33*'Calculo '!B19)</f>
        <v>4893.62958333333</v>
      </c>
      <c r="G23" s="4"/>
      <c r="H23" s="4"/>
      <c r="I23" s="4"/>
      <c r="J23" s="4"/>
      <c r="K23" s="37"/>
      <c r="L23" s="4"/>
      <c r="M23" s="4"/>
      <c r="N23" s="4"/>
      <c r="O23" s="20"/>
      <c r="P23" s="4"/>
      <c r="Q23" s="4"/>
      <c r="R23" s="4"/>
      <c r="S23" s="4"/>
      <c r="T23" s="4"/>
      <c r="U23" s="4"/>
      <c r="V23" s="4"/>
    </row>
    <row r="24" customFormat="false" ht="15.75" hidden="false" customHeight="true" outlineLevel="0" collapsed="false">
      <c r="A24" s="7" t="n">
        <v>19</v>
      </c>
      <c r="B24" s="7" t="s">
        <v>17</v>
      </c>
      <c r="C24" s="3" t="n">
        <v>4683.77754166667</v>
      </c>
      <c r="D24" s="8"/>
      <c r="E24" s="17" t="n">
        <f aca="false">C24*-1</f>
        <v>-4683.77754166667</v>
      </c>
      <c r="F24" s="10" t="n">
        <f aca="false">C24-('Calculo '!$D$33*'Calculo '!B20)</f>
        <v>4683.77754166667</v>
      </c>
      <c r="G24" s="4"/>
      <c r="H24" s="4"/>
      <c r="I24" s="4"/>
      <c r="J24" s="4"/>
      <c r="K24" s="37"/>
      <c r="L24" s="4"/>
      <c r="M24" s="4"/>
      <c r="N24" s="4"/>
      <c r="O24" s="20"/>
      <c r="P24" s="4"/>
      <c r="Q24" s="4"/>
      <c r="R24" s="4"/>
      <c r="S24" s="4"/>
      <c r="T24" s="4"/>
      <c r="U24" s="4"/>
      <c r="V24" s="4"/>
    </row>
    <row r="25" customFormat="false" ht="15.75" hidden="false" customHeight="true" outlineLevel="0" collapsed="false">
      <c r="A25" s="7" t="n">
        <v>20</v>
      </c>
      <c r="B25" s="7" t="s">
        <v>18</v>
      </c>
      <c r="C25" s="3" t="n">
        <v>2218.21966666667</v>
      </c>
      <c r="D25" s="8"/>
      <c r="E25" s="17" t="n">
        <f aca="false">C25*-1</f>
        <v>-2218.21966666667</v>
      </c>
      <c r="F25" s="10" t="n">
        <f aca="false">C25-('Calculo '!$D$33*'Calculo '!B21)</f>
        <v>2218.21966666667</v>
      </c>
      <c r="J25" s="4"/>
      <c r="K25" s="37"/>
      <c r="L25" s="4"/>
      <c r="M25" s="4"/>
      <c r="N25" s="4"/>
      <c r="O25" s="20"/>
      <c r="P25" s="4"/>
      <c r="Q25" s="4"/>
      <c r="R25" s="4"/>
      <c r="S25" s="4"/>
      <c r="T25" s="4"/>
      <c r="U25" s="4"/>
      <c r="V25" s="4"/>
    </row>
    <row r="26" customFormat="false" ht="15.75" hidden="false" customHeight="true" outlineLevel="0" collapsed="false">
      <c r="A26" s="7" t="n">
        <v>21</v>
      </c>
      <c r="B26" s="7" t="s">
        <v>20</v>
      </c>
      <c r="C26" s="32" t="n">
        <v>2487.63075</v>
      </c>
      <c r="D26" s="8"/>
      <c r="E26" s="17" t="n">
        <f aca="false">C26*-1</f>
        <v>-2487.63075</v>
      </c>
      <c r="F26" s="10" t="n">
        <f aca="false">C26-('Calculo '!$D$33*'Calculo '!B22)</f>
        <v>2487.63075</v>
      </c>
      <c r="J26" s="4"/>
      <c r="K26" s="37"/>
      <c r="L26" s="4"/>
      <c r="M26" s="4"/>
      <c r="N26" s="4"/>
      <c r="O26" s="20"/>
      <c r="P26" s="4"/>
      <c r="Q26" s="4"/>
      <c r="R26" s="4"/>
      <c r="S26" s="4"/>
      <c r="T26" s="4"/>
      <c r="U26" s="4"/>
      <c r="V26" s="4"/>
    </row>
    <row r="27" customFormat="false" ht="15.75" hidden="false" customHeight="true" outlineLevel="0" collapsed="false">
      <c r="A27" s="7" t="n">
        <v>22</v>
      </c>
      <c r="B27" s="7" t="s">
        <v>7</v>
      </c>
      <c r="C27" s="3" t="n">
        <v>3027.79686956522</v>
      </c>
      <c r="D27" s="8"/>
      <c r="E27" s="17" t="n">
        <f aca="false">C27*-1</f>
        <v>-3027.79686956522</v>
      </c>
      <c r="F27" s="10" t="n">
        <f aca="false">C27-('Calculo '!$D$33*'Calculo '!B23)</f>
        <v>3027.79686956522</v>
      </c>
      <c r="G27" s="4" t="s">
        <v>19</v>
      </c>
      <c r="H27" s="30" t="n">
        <f aca="false">SUM(C21:C28)</f>
        <v>25669.4979112319</v>
      </c>
      <c r="I27" s="31" t="str">
        <f aca="false">IF(H28&gt;0,"Parabéns!!!","-")</f>
        <v>-</v>
      </c>
      <c r="J27" s="4"/>
      <c r="K27" s="38"/>
      <c r="L27" s="39"/>
      <c r="M27" s="4"/>
      <c r="N27" s="4"/>
      <c r="O27" s="20"/>
      <c r="P27" s="4"/>
      <c r="Q27" s="4"/>
      <c r="R27" s="4"/>
      <c r="S27" s="4"/>
      <c r="T27" s="4"/>
      <c r="U27" s="4"/>
      <c r="V27" s="4"/>
    </row>
    <row r="28" customFormat="false" ht="15.75" hidden="false" customHeight="true" outlineLevel="0" collapsed="false">
      <c r="A28" s="7" t="n">
        <v>23</v>
      </c>
      <c r="B28" s="7" t="s">
        <v>9</v>
      </c>
      <c r="C28" s="3" t="n">
        <v>2657.19025</v>
      </c>
      <c r="D28" s="8"/>
      <c r="E28" s="17" t="n">
        <f aca="false">C28*-1</f>
        <v>-2657.19025</v>
      </c>
      <c r="F28" s="10" t="n">
        <f aca="false">C28-('Calculo '!$D$33*'Calculo '!B24)</f>
        <v>2657.19025</v>
      </c>
      <c r="G28" s="33" t="str">
        <f aca="false">IF(H28&gt;0,"Superávit","Déficit")</f>
        <v>Déficit</v>
      </c>
      <c r="H28" s="34" t="n">
        <f aca="false">SUM(D21:D28)-H27</f>
        <v>-25669.4979112319</v>
      </c>
      <c r="I28" s="35"/>
      <c r="J28" s="4"/>
      <c r="K28" s="37"/>
      <c r="L28" s="4"/>
      <c r="M28" s="16"/>
      <c r="N28" s="16"/>
      <c r="O28" s="40"/>
      <c r="P28" s="4"/>
      <c r="Q28" s="4"/>
      <c r="R28" s="4"/>
      <c r="S28" s="4"/>
      <c r="T28" s="4"/>
      <c r="U28" s="4"/>
      <c r="V28" s="4"/>
    </row>
    <row r="29" customFormat="false" ht="15.75" hidden="false" customHeight="true" outlineLevel="0" collapsed="false">
      <c r="A29" s="7" t="n">
        <v>24</v>
      </c>
      <c r="B29" s="7" t="s">
        <v>11</v>
      </c>
      <c r="C29" s="21" t="n">
        <v>3044.063</v>
      </c>
      <c r="D29" s="8"/>
      <c r="E29" s="17" t="n">
        <f aca="false">C29*-1</f>
        <v>-3044.063</v>
      </c>
      <c r="F29" s="10" t="n">
        <f aca="false">C29-('Calculo '!$D$33*'Calculo '!B25)</f>
        <v>3044.063</v>
      </c>
      <c r="G29" s="4"/>
      <c r="H29" s="4"/>
      <c r="J29" s="4"/>
      <c r="K29" s="41"/>
      <c r="L29" s="42"/>
      <c r="M29" s="16"/>
      <c r="N29" s="16"/>
      <c r="O29" s="40"/>
      <c r="P29" s="4"/>
      <c r="Q29" s="4"/>
      <c r="R29" s="4"/>
      <c r="S29" s="4"/>
      <c r="T29" s="4"/>
      <c r="U29" s="4"/>
      <c r="V29" s="4"/>
    </row>
    <row r="30" customFormat="false" ht="15.75" hidden="false" customHeight="true" outlineLevel="0" collapsed="false">
      <c r="A30" s="7" t="n">
        <v>25</v>
      </c>
      <c r="B30" s="7" t="s">
        <v>13</v>
      </c>
      <c r="C30" s="3" t="n">
        <v>4893.62958333333</v>
      </c>
      <c r="D30" s="36"/>
      <c r="E30" s="17" t="n">
        <f aca="false">C30*-1</f>
        <v>-4893.62958333333</v>
      </c>
      <c r="F30" s="10" t="n">
        <f aca="false">C30-('Calculo '!$D$33*'Calculo '!B26)</f>
        <v>4893.62958333333</v>
      </c>
      <c r="G30" s="4"/>
      <c r="H30" s="4"/>
      <c r="I30" s="4"/>
      <c r="J30" s="4"/>
      <c r="K30" s="37"/>
      <c r="L30" s="42"/>
      <c r="M30" s="16"/>
      <c r="N30" s="16"/>
      <c r="O30" s="40"/>
      <c r="P30" s="4"/>
      <c r="Q30" s="4"/>
      <c r="R30" s="4"/>
      <c r="S30" s="4"/>
      <c r="T30" s="4"/>
      <c r="U30" s="4"/>
      <c r="V30" s="4"/>
    </row>
    <row r="31" customFormat="false" ht="15.75" hidden="false" customHeight="true" outlineLevel="0" collapsed="false">
      <c r="A31" s="7" t="n">
        <v>26</v>
      </c>
      <c r="B31" s="7" t="s">
        <v>17</v>
      </c>
      <c r="C31" s="3" t="n">
        <v>4683.77754166667</v>
      </c>
      <c r="D31" s="8"/>
      <c r="E31" s="17" t="n">
        <f aca="false">C31*-1</f>
        <v>-4683.77754166667</v>
      </c>
      <c r="F31" s="10" t="n">
        <f aca="false">C31-('Calculo '!$D$33*'Calculo '!B27)</f>
        <v>4683.77754166667</v>
      </c>
      <c r="G31" s="4"/>
      <c r="H31" s="39"/>
      <c r="J31" s="4"/>
      <c r="K31" s="37"/>
      <c r="L31" s="42"/>
      <c r="M31" s="16"/>
      <c r="N31" s="16"/>
      <c r="O31" s="40"/>
      <c r="P31" s="4"/>
      <c r="Q31" s="4"/>
      <c r="R31" s="4"/>
      <c r="S31" s="4"/>
      <c r="T31" s="4"/>
      <c r="U31" s="4"/>
      <c r="V31" s="4"/>
    </row>
    <row r="32" customFormat="false" ht="15.75" hidden="false" customHeight="true" outlineLevel="0" collapsed="false">
      <c r="A32" s="7" t="n">
        <v>27</v>
      </c>
      <c r="B32" s="7" t="s">
        <v>18</v>
      </c>
      <c r="C32" s="3" t="n">
        <v>2218.21966666667</v>
      </c>
      <c r="D32" s="8"/>
      <c r="E32" s="17" t="n">
        <f aca="false">C32*-1</f>
        <v>-2218.21966666667</v>
      </c>
      <c r="F32" s="10" t="n">
        <f aca="false">C32-('Calculo '!$D$33*'Calculo '!B28)</f>
        <v>2218.21966666667</v>
      </c>
      <c r="J32" s="4"/>
      <c r="K32" s="37"/>
      <c r="L32" s="42"/>
      <c r="M32" s="16"/>
      <c r="N32" s="16"/>
      <c r="O32" s="40"/>
      <c r="P32" s="4"/>
      <c r="Q32" s="4"/>
      <c r="R32" s="4"/>
      <c r="S32" s="4"/>
      <c r="T32" s="4"/>
      <c r="U32" s="4"/>
      <c r="V32" s="4"/>
    </row>
    <row r="33" customFormat="false" ht="15.75" hidden="false" customHeight="true" outlineLevel="0" collapsed="false">
      <c r="A33" s="7" t="n">
        <v>28</v>
      </c>
      <c r="B33" s="7" t="s">
        <v>20</v>
      </c>
      <c r="C33" s="32" t="n">
        <v>2487.63075</v>
      </c>
      <c r="D33" s="8"/>
      <c r="E33" s="17" t="n">
        <f aca="false">C33*-1</f>
        <v>-2487.63075</v>
      </c>
      <c r="F33" s="10" t="n">
        <f aca="false">C33-('Calculo '!$D$33*'Calculo '!B29)</f>
        <v>2487.63075</v>
      </c>
      <c r="J33" s="4"/>
      <c r="K33" s="37"/>
      <c r="L33" s="42"/>
      <c r="M33" s="16"/>
      <c r="N33" s="16"/>
      <c r="O33" s="20"/>
      <c r="P33" s="4"/>
      <c r="Q33" s="4"/>
      <c r="R33" s="4"/>
      <c r="S33" s="4"/>
      <c r="T33" s="4"/>
      <c r="U33" s="4"/>
      <c r="V33" s="4"/>
    </row>
    <row r="34" customFormat="false" ht="15.75" hidden="false" customHeight="true" outlineLevel="0" collapsed="false">
      <c r="A34" s="7" t="n">
        <v>29</v>
      </c>
      <c r="B34" s="7" t="s">
        <v>7</v>
      </c>
      <c r="C34" s="3" t="n">
        <v>3027.79686956522</v>
      </c>
      <c r="D34" s="8"/>
      <c r="E34" s="17"/>
      <c r="F34" s="10" t="n">
        <f aca="false">C34-('Calculo '!$D$33*'Calculo '!B30)</f>
        <v>3027.79686956522</v>
      </c>
      <c r="J34" s="4"/>
      <c r="K34" s="37"/>
      <c r="L34" s="42"/>
      <c r="M34" s="16"/>
      <c r="N34" s="16"/>
      <c r="O34" s="20"/>
      <c r="P34" s="4"/>
      <c r="Q34" s="4"/>
      <c r="R34" s="4"/>
      <c r="S34" s="4"/>
      <c r="T34" s="4"/>
      <c r="U34" s="4"/>
      <c r="V34" s="4"/>
    </row>
    <row r="35" customFormat="false" ht="15.75" hidden="false" customHeight="true" outlineLevel="0" collapsed="false">
      <c r="A35" s="7" t="n">
        <v>30</v>
      </c>
      <c r="B35" s="7" t="s">
        <v>9</v>
      </c>
      <c r="C35" s="3" t="n">
        <v>2657.19025</v>
      </c>
      <c r="D35" s="8"/>
      <c r="E35" s="17"/>
      <c r="F35" s="10" t="n">
        <f aca="false">C35-('Calculo '!$D$33*'Calculo '!B31)</f>
        <v>2657.19025</v>
      </c>
      <c r="G35" s="4" t="s">
        <v>19</v>
      </c>
      <c r="H35" s="30" t="n">
        <f aca="false">SUM(C29:C36)</f>
        <v>26056.3706612319</v>
      </c>
      <c r="I35" s="31" t="str">
        <f aca="false">IF(H28&gt;0,"Parabéns!!!","-")</f>
        <v>-</v>
      </c>
      <c r="J35" s="4"/>
      <c r="K35" s="37"/>
      <c r="L35" s="42"/>
      <c r="M35" s="16"/>
      <c r="N35" s="16"/>
      <c r="O35" s="40"/>
      <c r="P35" s="4"/>
      <c r="Q35" s="4"/>
      <c r="R35" s="4"/>
      <c r="S35" s="4"/>
      <c r="T35" s="4"/>
      <c r="U35" s="4"/>
      <c r="V35" s="4"/>
    </row>
    <row r="36" customFormat="false" ht="15.75" hidden="false" customHeight="true" outlineLevel="0" collapsed="false">
      <c r="A36" s="7" t="n">
        <v>31</v>
      </c>
      <c r="B36" s="7" t="s">
        <v>11</v>
      </c>
      <c r="C36" s="21" t="n">
        <v>3044.063</v>
      </c>
      <c r="D36" s="8"/>
      <c r="E36" s="17"/>
      <c r="F36" s="10" t="n">
        <f aca="false">C36-('Calculo '!$D$33*'Calculo '!B32)</f>
        <v>3044.063</v>
      </c>
      <c r="G36" s="33" t="str">
        <f aca="false">IF(H36&gt;0,"Superávit","Déficit")</f>
        <v>Déficit</v>
      </c>
      <c r="H36" s="34" t="n">
        <f aca="false">SUM(D29:D36)-H35</f>
        <v>-26056.3706612319</v>
      </c>
      <c r="I36" s="35"/>
      <c r="J36" s="4"/>
      <c r="K36" s="37"/>
      <c r="L36" s="42"/>
      <c r="M36" s="4"/>
      <c r="N36" s="4"/>
      <c r="O36" s="20"/>
      <c r="P36" s="4"/>
      <c r="Q36" s="4"/>
      <c r="R36" s="4"/>
      <c r="S36" s="4"/>
      <c r="T36" s="4"/>
      <c r="U36" s="4"/>
      <c r="V36" s="4"/>
    </row>
    <row r="37" customFormat="false" ht="15.75" hidden="false" customHeight="true" outlineLevel="0" collapsed="false">
      <c r="A37" s="5" t="s">
        <v>21</v>
      </c>
      <c r="B37" s="5"/>
      <c r="C37" s="43" t="n">
        <f aca="false">SUM(C6:C36)</f>
        <v>100778.280764493</v>
      </c>
      <c r="D37" s="44" t="n">
        <f aca="false">SUM(D6:D36)</f>
        <v>0</v>
      </c>
      <c r="E37" s="2"/>
      <c r="F37" s="10"/>
      <c r="G37" s="12"/>
      <c r="H37" s="45"/>
      <c r="J37" s="4"/>
      <c r="K37" s="37"/>
      <c r="L37" s="4"/>
      <c r="M37" s="46"/>
      <c r="N37" s="4"/>
      <c r="O37" s="20"/>
      <c r="P37" s="4"/>
      <c r="Q37" s="4"/>
      <c r="R37" s="4"/>
      <c r="S37" s="4"/>
      <c r="T37" s="4"/>
      <c r="U37" s="4"/>
      <c r="V37" s="4"/>
    </row>
    <row r="38" customFormat="false" ht="15.75" hidden="false" customHeight="true" outlineLevel="0" collapsed="false">
      <c r="A38" s="47" t="str">
        <f aca="false">IF(D38&gt;0,"Superávit","Déficit")</f>
        <v>Déficit</v>
      </c>
      <c r="B38" s="47"/>
      <c r="C38" s="47"/>
      <c r="D38" s="3" t="n">
        <f aca="false">D37-B56</f>
        <v>0</v>
      </c>
      <c r="E38" s="2"/>
      <c r="F38" s="10"/>
      <c r="G38" s="4"/>
      <c r="H38" s="4"/>
      <c r="J38" s="4"/>
      <c r="K38" s="37"/>
      <c r="L38" s="4"/>
      <c r="M38" s="46"/>
      <c r="N38" s="4"/>
      <c r="O38" s="20"/>
      <c r="P38" s="4"/>
      <c r="Q38" s="4"/>
      <c r="R38" s="4"/>
      <c r="S38" s="4"/>
      <c r="T38" s="4"/>
      <c r="U38" s="4"/>
      <c r="V38" s="4"/>
    </row>
    <row r="39" customFormat="false" ht="15.75" hidden="false" customHeight="true" outlineLevel="0" collapsed="false">
      <c r="A39" s="4"/>
      <c r="B39" s="4"/>
      <c r="C39" s="48"/>
      <c r="D39" s="16"/>
      <c r="E39" s="48"/>
      <c r="F39" s="16" t="n">
        <f aca="false">F40+D37</f>
        <v>0</v>
      </c>
      <c r="G39" s="4"/>
      <c r="H39" s="4"/>
      <c r="J39" s="4"/>
      <c r="K39" s="37"/>
      <c r="L39" s="4"/>
      <c r="M39" s="4"/>
      <c r="N39" s="4"/>
      <c r="O39" s="20"/>
      <c r="P39" s="4"/>
      <c r="Q39" s="4"/>
      <c r="R39" s="4"/>
      <c r="S39" s="4"/>
      <c r="T39" s="4"/>
      <c r="U39" s="4"/>
      <c r="V39" s="4"/>
    </row>
    <row r="40" customFormat="false" ht="15.75" hidden="false" customHeight="true" outlineLevel="0" collapsed="false">
      <c r="A40" s="4"/>
      <c r="B40" s="4"/>
      <c r="C40" s="48"/>
      <c r="D40" s="16" t="n">
        <f aca="false">D37/24</f>
        <v>0</v>
      </c>
      <c r="E40" s="48"/>
      <c r="F40" s="16" t="n">
        <f aca="false">D40*6</f>
        <v>0</v>
      </c>
      <c r="G40" s="4"/>
      <c r="H40" s="4"/>
      <c r="J40" s="4"/>
      <c r="K40" s="49"/>
      <c r="L40" s="50"/>
      <c r="M40" s="50"/>
      <c r="N40" s="50"/>
      <c r="O40" s="51"/>
      <c r="P40" s="4"/>
      <c r="Q40" s="4"/>
      <c r="R40" s="4"/>
      <c r="S40" s="4"/>
      <c r="T40" s="4"/>
      <c r="U40" s="4"/>
      <c r="V40" s="4"/>
    </row>
    <row r="41" customFormat="false" ht="15.75" hidden="false" customHeight="true" outlineLevel="0" collapsed="false">
      <c r="A41" s="4"/>
      <c r="B41" s="4"/>
      <c r="C41" s="48"/>
      <c r="D41" s="16"/>
      <c r="E41" s="48"/>
      <c r="F41" s="16"/>
      <c r="G41" s="4"/>
      <c r="H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5.75" hidden="false" customHeight="true" outlineLevel="0" collapsed="false">
      <c r="A42" s="4"/>
      <c r="B42" s="4"/>
      <c r="C42" s="48"/>
      <c r="E42" s="48"/>
      <c r="F42" s="16"/>
      <c r="G42" s="4"/>
      <c r="H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5.75" hidden="false" customHeight="true" outlineLevel="0" collapsed="false">
      <c r="A43" s="4"/>
      <c r="B43" s="4"/>
      <c r="C43" s="48"/>
      <c r="E43" s="48"/>
      <c r="F43" s="16"/>
      <c r="G43" s="4"/>
      <c r="H43" s="4"/>
      <c r="J43" s="3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5.75" hidden="false" customHeight="true" outlineLevel="0" collapsed="false">
      <c r="A44" s="4"/>
      <c r="B44" s="4"/>
      <c r="C44" s="48"/>
      <c r="E44" s="48"/>
      <c r="F44" s="16"/>
      <c r="G44" s="4"/>
      <c r="H44" s="4"/>
      <c r="J44" s="3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5.75" hidden="false" customHeight="true" outlineLevel="0" collapsed="false">
      <c r="A45" s="4"/>
      <c r="B45" s="4"/>
      <c r="C45" s="48"/>
      <c r="E45" s="48"/>
      <c r="F45" s="16"/>
      <c r="G45" s="4"/>
      <c r="H45" s="4"/>
      <c r="J45" s="3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5.75" hidden="false" customHeight="true" outlineLevel="0" collapsed="false">
      <c r="A46" s="4"/>
      <c r="B46" s="4"/>
      <c r="C46" s="48"/>
      <c r="E46" s="48"/>
      <c r="F46" s="16"/>
      <c r="G46" s="4"/>
      <c r="H46" s="4"/>
      <c r="J46" s="3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5.75" hidden="false" customHeight="true" outlineLevel="0" collapsed="false">
      <c r="A47" s="4"/>
      <c r="B47" s="4"/>
      <c r="C47" s="48"/>
      <c r="E47" s="48"/>
      <c r="F47" s="16"/>
      <c r="G47" s="4"/>
      <c r="H47" s="4"/>
      <c r="J47" s="3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5.75" hidden="false" customHeight="true" outlineLevel="0" collapsed="false">
      <c r="A48" s="4"/>
      <c r="B48" s="4"/>
      <c r="C48" s="48"/>
      <c r="E48" s="48"/>
      <c r="F48" s="16"/>
      <c r="G48" s="4"/>
      <c r="H48" s="4"/>
      <c r="J48" s="3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5.75" hidden="false" customHeight="true" outlineLevel="0" collapsed="false">
      <c r="A49" s="4"/>
      <c r="B49" s="4"/>
      <c r="C49" s="48"/>
      <c r="E49" s="48"/>
      <c r="F49" s="16"/>
      <c r="G49" s="4"/>
      <c r="H49" s="4"/>
      <c r="I49" s="52"/>
      <c r="J49" s="3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5.75" hidden="false" customHeight="true" outlineLevel="0" collapsed="false">
      <c r="A50" s="4"/>
      <c r="B50" s="4"/>
      <c r="C50" s="48"/>
      <c r="E50" s="48"/>
      <c r="F50" s="16"/>
      <c r="G50" s="4"/>
      <c r="I50" s="52"/>
      <c r="J50" s="3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5.75" hidden="false" customHeight="true" outlineLevel="0" collapsed="false">
      <c r="A51" s="4"/>
      <c r="B51" s="4"/>
      <c r="C51" s="48"/>
      <c r="E51" s="48"/>
      <c r="F51" s="16"/>
      <c r="G51" s="4"/>
      <c r="I51" s="52"/>
      <c r="J51" s="3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5.75" hidden="false" customHeight="true" outlineLevel="0" collapsed="false">
      <c r="A52" s="4"/>
      <c r="B52" s="4"/>
      <c r="C52" s="48"/>
      <c r="E52" s="48"/>
      <c r="F52" s="16"/>
      <c r="G52" s="4"/>
      <c r="I52" s="52"/>
      <c r="J52" s="3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5.75" hidden="false" customHeight="true" outlineLevel="0" collapsed="false">
      <c r="A53" s="4"/>
      <c r="B53" s="4"/>
      <c r="C53" s="48"/>
      <c r="E53" s="48"/>
      <c r="F53" s="16"/>
      <c r="G53" s="4"/>
      <c r="I53" s="52"/>
      <c r="J53" s="3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5.75" hidden="false" customHeight="true" outlineLevel="0" collapsed="false">
      <c r="A54" s="4"/>
      <c r="B54" s="4"/>
      <c r="C54" s="48"/>
      <c r="E54" s="48"/>
      <c r="F54" s="16"/>
      <c r="G54" s="4"/>
      <c r="I54" s="52"/>
      <c r="J54" s="3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5.75" hidden="false" customHeight="true" outlineLevel="0" collapsed="false">
      <c r="A55" s="4"/>
      <c r="B55" s="4"/>
      <c r="C55" s="48"/>
      <c r="E55" s="48"/>
      <c r="F55" s="16"/>
      <c r="G55" s="4"/>
      <c r="H55" s="4"/>
      <c r="I55" s="52"/>
      <c r="J55" s="3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5.75" hidden="false" customHeight="true" outlineLevel="0" collapsed="false">
      <c r="A56" s="4"/>
      <c r="B56" s="4" t="n">
        <f aca="false">SUMIF(D6:D36,"&lt;&gt;",C6:C36)</f>
        <v>0</v>
      </c>
      <c r="C56" s="48"/>
      <c r="E56" s="48"/>
      <c r="F56" s="16"/>
      <c r="G56" s="4"/>
      <c r="H56" s="4"/>
      <c r="I56" s="52"/>
      <c r="J56" s="3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5.75" hidden="false" customHeight="true" outlineLevel="0" collapsed="false">
      <c r="A57" s="4"/>
      <c r="B57" s="4"/>
      <c r="C57" s="48"/>
      <c r="E57" s="48"/>
      <c r="F57" s="16"/>
      <c r="G57" s="4"/>
      <c r="H57" s="4"/>
      <c r="I57" s="52"/>
      <c r="J57" s="3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5.75" hidden="false" customHeight="true" outlineLevel="0" collapsed="false">
      <c r="A58" s="4"/>
      <c r="B58" s="4"/>
      <c r="C58" s="48"/>
      <c r="E58" s="48"/>
      <c r="F58" s="16"/>
      <c r="G58" s="4"/>
      <c r="H58" s="4"/>
      <c r="I58" s="52"/>
      <c r="J58" s="3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5.75" hidden="false" customHeight="true" outlineLevel="0" collapsed="false">
      <c r="A59" s="4"/>
      <c r="B59" s="4"/>
      <c r="C59" s="48"/>
      <c r="E59" s="48"/>
      <c r="F59" s="16"/>
      <c r="G59" s="4"/>
      <c r="H59" s="4"/>
      <c r="I59" s="52"/>
      <c r="J59" s="3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15.75" hidden="false" customHeight="true" outlineLevel="0" collapsed="false">
      <c r="A60" s="4"/>
      <c r="B60" s="4"/>
      <c r="C60" s="48"/>
      <c r="E60" s="48"/>
      <c r="F60" s="16"/>
      <c r="G60" s="4"/>
      <c r="H60" s="4"/>
      <c r="I60" s="52"/>
      <c r="J60" s="3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customFormat="false" ht="15.75" hidden="false" customHeight="true" outlineLevel="0" collapsed="false">
      <c r="A61" s="4"/>
      <c r="B61" s="4"/>
      <c r="C61" s="48"/>
      <c r="E61" s="48"/>
      <c r="F61" s="16"/>
      <c r="G61" s="4"/>
      <c r="H61" s="4"/>
      <c r="I61" s="52"/>
      <c r="J61" s="3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5.75" hidden="false" customHeight="true" outlineLevel="0" collapsed="false">
      <c r="A62" s="4"/>
      <c r="B62" s="4"/>
      <c r="C62" s="48"/>
      <c r="E62" s="48"/>
      <c r="F62" s="16"/>
      <c r="G62" s="4"/>
      <c r="H62" s="4"/>
      <c r="I62" s="52"/>
      <c r="J62" s="3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customFormat="false" ht="15.75" hidden="false" customHeight="true" outlineLevel="0" collapsed="false">
      <c r="A63" s="4"/>
      <c r="B63" s="4"/>
      <c r="C63" s="48"/>
      <c r="E63" s="48"/>
      <c r="F63" s="16"/>
      <c r="G63" s="4"/>
      <c r="H63" s="4"/>
      <c r="I63" s="52"/>
      <c r="J63" s="3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customFormat="false" ht="15.75" hidden="false" customHeight="true" outlineLevel="0" collapsed="false">
      <c r="A64" s="4"/>
      <c r="B64" s="4"/>
      <c r="C64" s="48"/>
      <c r="E64" s="48"/>
      <c r="F64" s="16"/>
      <c r="G64" s="4"/>
      <c r="H64" s="4"/>
      <c r="I64" s="52"/>
      <c r="J64" s="3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customFormat="false" ht="15.75" hidden="false" customHeight="true" outlineLevel="0" collapsed="false">
      <c r="A65" s="4"/>
      <c r="B65" s="4"/>
      <c r="C65" s="48"/>
      <c r="E65" s="48"/>
      <c r="F65" s="16"/>
      <c r="G65" s="53"/>
      <c r="H65" s="4"/>
      <c r="I65" s="52"/>
      <c r="J65" s="3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customFormat="false" ht="15.75" hidden="false" customHeight="true" outlineLevel="0" collapsed="false">
      <c r="A66" s="4"/>
      <c r="B66" s="4"/>
      <c r="C66" s="48"/>
      <c r="E66" s="48"/>
      <c r="F66" s="16"/>
      <c r="G66" s="4"/>
      <c r="H66" s="4"/>
      <c r="I66" s="52"/>
      <c r="J66" s="3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customFormat="false" ht="15.75" hidden="false" customHeight="true" outlineLevel="0" collapsed="false">
      <c r="A67" s="4"/>
      <c r="B67" s="4"/>
      <c r="C67" s="48"/>
      <c r="E67" s="48"/>
      <c r="F67" s="16"/>
      <c r="G67" s="4"/>
      <c r="H67" s="4"/>
      <c r="I67" s="52"/>
      <c r="J67" s="3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customFormat="false" ht="15.75" hidden="false" customHeight="true" outlineLevel="0" collapsed="false">
      <c r="A68" s="4"/>
      <c r="B68" s="4"/>
      <c r="C68" s="48"/>
      <c r="E68" s="48"/>
      <c r="F68" s="16"/>
      <c r="G68" s="4"/>
      <c r="H68" s="4"/>
      <c r="I68" s="52"/>
      <c r="J68" s="3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customFormat="false" ht="15.75" hidden="false" customHeight="true" outlineLevel="0" collapsed="false">
      <c r="A69" s="4"/>
      <c r="B69" s="4"/>
      <c r="C69" s="48"/>
      <c r="E69" s="48"/>
      <c r="F69" s="16"/>
      <c r="G69" s="4"/>
      <c r="H69" s="4"/>
      <c r="I69" s="52"/>
      <c r="J69" s="3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customFormat="false" ht="15.75" hidden="false" customHeight="true" outlineLevel="0" collapsed="false">
      <c r="A70" s="4"/>
      <c r="B70" s="4"/>
      <c r="C70" s="48"/>
      <c r="E70" s="48"/>
      <c r="F70" s="16"/>
      <c r="G70" s="4"/>
      <c r="H70" s="4"/>
      <c r="I70" s="52"/>
      <c r="J70" s="3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customFormat="false" ht="15.75" hidden="false" customHeight="true" outlineLevel="0" collapsed="false">
      <c r="A71" s="4"/>
      <c r="B71" s="4"/>
      <c r="C71" s="48"/>
      <c r="E71" s="48"/>
      <c r="F71" s="16"/>
      <c r="G71" s="4"/>
      <c r="H71" s="4"/>
      <c r="I71" s="52"/>
      <c r="J71" s="3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customFormat="false" ht="15.75" hidden="false" customHeight="true" outlineLevel="0" collapsed="false">
      <c r="A72" s="4"/>
      <c r="B72" s="4"/>
      <c r="C72" s="48"/>
      <c r="D72" s="16"/>
      <c r="E72" s="48"/>
      <c r="F72" s="16"/>
      <c r="G72" s="4"/>
      <c r="H72" s="4"/>
      <c r="I72" s="52"/>
      <c r="J72" s="3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customFormat="false" ht="15.75" hidden="false" customHeight="true" outlineLevel="0" collapsed="false">
      <c r="A73" s="4"/>
      <c r="B73" s="4"/>
      <c r="C73" s="48"/>
      <c r="D73" s="16"/>
      <c r="E73" s="48"/>
      <c r="F73" s="16"/>
      <c r="G73" s="4"/>
      <c r="H73" s="4"/>
      <c r="I73" s="52"/>
      <c r="J73" s="3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customFormat="false" ht="15.75" hidden="false" customHeight="true" outlineLevel="0" collapsed="false">
      <c r="A74" s="4"/>
      <c r="B74" s="4"/>
      <c r="C74" s="48"/>
      <c r="D74" s="16"/>
      <c r="E74" s="48"/>
      <c r="F74" s="16"/>
      <c r="G74" s="4"/>
      <c r="H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customFormat="false" ht="15.75" hidden="false" customHeight="true" outlineLevel="0" collapsed="false">
      <c r="A75" s="4"/>
      <c r="B75" s="4"/>
      <c r="C75" s="48"/>
      <c r="D75" s="16"/>
      <c r="E75" s="48"/>
      <c r="F75" s="16"/>
      <c r="G75" s="4"/>
      <c r="H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customFormat="false" ht="15.75" hidden="false" customHeight="true" outlineLevel="0" collapsed="false">
      <c r="A76" s="4"/>
      <c r="B76" s="4"/>
      <c r="C76" s="48"/>
      <c r="D76" s="16"/>
      <c r="E76" s="48"/>
      <c r="F76" s="16"/>
      <c r="G76" s="4"/>
      <c r="H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customFormat="false" ht="15.75" hidden="false" customHeight="true" outlineLevel="0" collapsed="false">
      <c r="A77" s="4"/>
      <c r="B77" s="4"/>
      <c r="C77" s="48"/>
      <c r="D77" s="16"/>
      <c r="E77" s="48"/>
      <c r="F77" s="16"/>
      <c r="G77" s="4"/>
      <c r="H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customFormat="false" ht="15.75" hidden="false" customHeight="true" outlineLevel="0" collapsed="false">
      <c r="A78" s="4"/>
      <c r="B78" s="4"/>
      <c r="C78" s="48"/>
      <c r="D78" s="16"/>
      <c r="E78" s="48"/>
      <c r="F78" s="16"/>
      <c r="G78" s="4"/>
      <c r="H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customFormat="false" ht="15.75" hidden="false" customHeight="true" outlineLevel="0" collapsed="false">
      <c r="A79" s="4"/>
      <c r="B79" s="4"/>
      <c r="C79" s="48"/>
      <c r="D79" s="16"/>
      <c r="E79" s="48"/>
      <c r="F79" s="16"/>
      <c r="G79" s="4"/>
      <c r="H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5.75" hidden="false" customHeight="true" outlineLevel="0" collapsed="false">
      <c r="A80" s="4"/>
      <c r="B80" s="4"/>
      <c r="C80" s="48"/>
      <c r="D80" s="16"/>
      <c r="E80" s="48"/>
      <c r="F80" s="16"/>
      <c r="G80" s="4"/>
      <c r="H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customFormat="false" ht="15.75" hidden="false" customHeight="true" outlineLevel="0" collapsed="false">
      <c r="A81" s="4"/>
      <c r="B81" s="4"/>
      <c r="C81" s="48"/>
      <c r="D81" s="16"/>
      <c r="E81" s="48"/>
      <c r="F81" s="16"/>
      <c r="G81" s="4"/>
      <c r="H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customFormat="false" ht="15.75" hidden="false" customHeight="true" outlineLevel="0" collapsed="false">
      <c r="A82" s="4"/>
      <c r="B82" s="4"/>
      <c r="C82" s="48"/>
      <c r="D82" s="16"/>
      <c r="E82" s="48"/>
      <c r="F82" s="16"/>
      <c r="G82" s="4"/>
      <c r="H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customFormat="false" ht="15.75" hidden="false" customHeight="true" outlineLevel="0" collapsed="false">
      <c r="A83" s="4"/>
      <c r="B83" s="4"/>
      <c r="C83" s="48"/>
      <c r="D83" s="16"/>
      <c r="E83" s="48"/>
      <c r="F83" s="16"/>
      <c r="G83" s="4"/>
      <c r="H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customFormat="false" ht="15.75" hidden="false" customHeight="true" outlineLevel="0" collapsed="false">
      <c r="A84" s="4"/>
      <c r="B84" s="4"/>
      <c r="C84" s="48"/>
      <c r="D84" s="16"/>
      <c r="E84" s="48"/>
      <c r="F84" s="16"/>
      <c r="G84" s="4"/>
      <c r="H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customFormat="false" ht="15.75" hidden="false" customHeight="true" outlineLevel="0" collapsed="false">
      <c r="A85" s="4"/>
      <c r="B85" s="4"/>
      <c r="C85" s="48"/>
      <c r="D85" s="16"/>
      <c r="E85" s="48"/>
      <c r="F85" s="16"/>
      <c r="G85" s="4"/>
      <c r="H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customFormat="false" ht="15.75" hidden="false" customHeight="true" outlineLevel="0" collapsed="false">
      <c r="A86" s="4"/>
      <c r="B86" s="4"/>
      <c r="C86" s="48"/>
      <c r="D86" s="16"/>
      <c r="E86" s="48"/>
      <c r="F86" s="16"/>
      <c r="G86" s="4"/>
      <c r="H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customFormat="false" ht="15.75" hidden="false" customHeight="true" outlineLevel="0" collapsed="false">
      <c r="A87" s="4"/>
      <c r="B87" s="4"/>
      <c r="C87" s="48"/>
      <c r="D87" s="16"/>
      <c r="E87" s="48"/>
      <c r="F87" s="16"/>
      <c r="G87" s="4"/>
      <c r="H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customFormat="false" ht="15.75" hidden="false" customHeight="true" outlineLevel="0" collapsed="false">
      <c r="A88" s="4"/>
      <c r="B88" s="4"/>
      <c r="C88" s="48"/>
      <c r="D88" s="16"/>
      <c r="E88" s="48"/>
      <c r="F88" s="16"/>
      <c r="G88" s="4"/>
      <c r="H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customFormat="false" ht="15.75" hidden="false" customHeight="true" outlineLevel="0" collapsed="false">
      <c r="A89" s="4"/>
      <c r="B89" s="4"/>
      <c r="C89" s="48"/>
      <c r="D89" s="16"/>
      <c r="E89" s="48"/>
      <c r="F89" s="16"/>
      <c r="G89" s="4"/>
      <c r="H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customFormat="false" ht="15.75" hidden="false" customHeight="true" outlineLevel="0" collapsed="false">
      <c r="A90" s="4"/>
      <c r="B90" s="4"/>
      <c r="C90" s="48"/>
      <c r="D90" s="16"/>
      <c r="E90" s="48"/>
      <c r="F90" s="16"/>
      <c r="G90" s="4"/>
      <c r="H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customFormat="false" ht="15.75" hidden="false" customHeight="true" outlineLevel="0" collapsed="false">
      <c r="A91" s="4"/>
      <c r="B91" s="4"/>
      <c r="C91" s="48"/>
      <c r="D91" s="16"/>
      <c r="E91" s="48"/>
      <c r="F91" s="16"/>
      <c r="G91" s="4"/>
      <c r="H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customFormat="false" ht="15.75" hidden="false" customHeight="true" outlineLevel="0" collapsed="false">
      <c r="A92" s="4"/>
      <c r="B92" s="4"/>
      <c r="C92" s="48"/>
      <c r="D92" s="16"/>
      <c r="E92" s="48"/>
      <c r="F92" s="16"/>
      <c r="G92" s="4"/>
      <c r="H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customFormat="false" ht="15.75" hidden="false" customHeight="true" outlineLevel="0" collapsed="false">
      <c r="A93" s="4"/>
      <c r="B93" s="4"/>
      <c r="C93" s="48"/>
      <c r="D93" s="16"/>
      <c r="E93" s="48"/>
      <c r="F93" s="16"/>
      <c r="G93" s="4"/>
      <c r="H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customFormat="false" ht="15.75" hidden="false" customHeight="true" outlineLevel="0" collapsed="false">
      <c r="A94" s="4"/>
      <c r="B94" s="4"/>
      <c r="C94" s="48"/>
      <c r="D94" s="16"/>
      <c r="E94" s="48"/>
      <c r="F94" s="16"/>
      <c r="G94" s="4"/>
      <c r="H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customFormat="false" ht="15.75" hidden="false" customHeight="true" outlineLevel="0" collapsed="false">
      <c r="A95" s="4"/>
      <c r="B95" s="4"/>
      <c r="C95" s="48"/>
      <c r="D95" s="16"/>
      <c r="E95" s="48"/>
      <c r="F95" s="16"/>
      <c r="G95" s="4"/>
      <c r="H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customFormat="false" ht="15.75" hidden="false" customHeight="true" outlineLevel="0" collapsed="false">
      <c r="A96" s="4"/>
      <c r="B96" s="4"/>
      <c r="C96" s="48"/>
      <c r="D96" s="16"/>
      <c r="E96" s="48"/>
      <c r="F96" s="16"/>
      <c r="G96" s="4"/>
      <c r="H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customFormat="false" ht="15.75" hidden="false" customHeight="true" outlineLevel="0" collapsed="false">
      <c r="A97" s="4"/>
      <c r="B97" s="4"/>
      <c r="C97" s="48"/>
      <c r="D97" s="16"/>
      <c r="E97" s="48"/>
      <c r="F97" s="16"/>
      <c r="G97" s="4"/>
      <c r="H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customFormat="false" ht="15.75" hidden="false" customHeight="true" outlineLevel="0" collapsed="false">
      <c r="A98" s="4"/>
      <c r="B98" s="4"/>
      <c r="C98" s="48"/>
      <c r="D98" s="16"/>
      <c r="E98" s="48"/>
      <c r="F98" s="16"/>
      <c r="G98" s="4"/>
      <c r="H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customFormat="false" ht="15.75" hidden="false" customHeight="true" outlineLevel="0" collapsed="false">
      <c r="A99" s="4"/>
      <c r="B99" s="4"/>
      <c r="C99" s="48"/>
      <c r="D99" s="16"/>
      <c r="E99" s="48"/>
      <c r="F99" s="16"/>
      <c r="G99" s="4"/>
      <c r="H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customFormat="false" ht="15.75" hidden="false" customHeight="true" outlineLevel="0" collapsed="false">
      <c r="A100" s="4"/>
      <c r="B100" s="4"/>
      <c r="C100" s="48"/>
      <c r="D100" s="16"/>
      <c r="E100" s="48"/>
      <c r="F100" s="16"/>
      <c r="G100" s="4"/>
      <c r="H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A1:D2"/>
    <mergeCell ref="F1:F4"/>
    <mergeCell ref="A3:D4"/>
    <mergeCell ref="A5:B5"/>
    <mergeCell ref="A37:B37"/>
    <mergeCell ref="A38:C38"/>
  </mergeCells>
  <conditionalFormatting sqref="D6:D36">
    <cfRule type="expression" priority="2" aboveAverage="0" equalAverage="0" bottom="0" percent="0" rank="0" text="" dxfId="0">
      <formula>$D6&gt;=$F6</formula>
    </cfRule>
    <cfRule type="expression" priority="3" aboveAverage="0" equalAverage="0" bottom="0" percent="0" rank="0" text="" dxfId="1">
      <formula>$D6&lt;$F6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6" activeCellId="0" sqref="A3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13.28"/>
    <col collapsed="false" customWidth="true" hidden="false" outlineLevel="0" max="3" min="3" style="0" width="16.71"/>
    <col collapsed="false" customWidth="true" hidden="false" outlineLevel="0" max="4" min="4" style="0" width="16.57"/>
    <col collapsed="false" customWidth="true" hidden="true" outlineLevel="0" max="5" min="5" style="0" width="4"/>
    <col collapsed="false" customWidth="true" hidden="false" outlineLevel="0" max="6" min="6" style="0" width="14.28"/>
    <col collapsed="false" customWidth="true" hidden="false" outlineLevel="0" max="7" min="7" style="0" width="13.57"/>
    <col collapsed="false" customWidth="true" hidden="false" outlineLevel="0" max="8" min="8" style="0" width="14.71"/>
    <col collapsed="false" customWidth="true" hidden="false" outlineLevel="0" max="9" min="9" style="0" width="19.14"/>
    <col collapsed="false" customWidth="true" hidden="false" outlineLevel="0" max="10" min="10" style="0" width="3"/>
    <col collapsed="false" customWidth="true" hidden="false" outlineLevel="0" max="11" min="11" style="0" width="2.86"/>
    <col collapsed="false" customWidth="true" hidden="false" outlineLevel="0" max="12" min="12" style="0" width="8.85"/>
    <col collapsed="false" customWidth="true" hidden="false" outlineLevel="0" max="13" min="13" style="0" width="14.14"/>
    <col collapsed="false" customWidth="true" hidden="false" outlineLevel="0" max="14" min="14" style="0" width="9"/>
    <col collapsed="false" customWidth="true" hidden="false" outlineLevel="0" max="15" min="15" style="0" width="14.14"/>
    <col collapsed="false" customWidth="true" hidden="false" outlineLevel="0" max="16" min="16" style="0" width="2.57"/>
    <col collapsed="false" customWidth="true" hidden="false" outlineLevel="0" max="17" min="17" style="0" width="2.43"/>
    <col collapsed="false" customWidth="true" hidden="false" outlineLevel="0" max="18" min="18" style="0" width="11.85"/>
    <col collapsed="false" customWidth="true" hidden="false" outlineLevel="0" max="22" min="19" style="0" width="9.57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2"/>
      <c r="F1" s="3"/>
      <c r="G1" s="4"/>
      <c r="H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5.75" hidden="false" customHeight="false" outlineLevel="0" collapsed="false">
      <c r="A2" s="1"/>
      <c r="B2" s="1"/>
      <c r="C2" s="1"/>
      <c r="D2" s="1"/>
      <c r="E2" s="2"/>
      <c r="F2" s="3"/>
      <c r="G2" s="4"/>
      <c r="H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5" hidden="false" customHeight="true" outlineLevel="0" collapsed="false">
      <c r="A3" s="1" t="s">
        <v>1</v>
      </c>
      <c r="B3" s="1"/>
      <c r="C3" s="1"/>
      <c r="D3" s="1"/>
      <c r="E3" s="2"/>
      <c r="F3" s="3"/>
      <c r="G3" s="4"/>
      <c r="H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5.75" hidden="false" customHeight="false" outlineLevel="0" collapsed="false">
      <c r="A4" s="1"/>
      <c r="B4" s="1"/>
      <c r="C4" s="1"/>
      <c r="D4" s="1"/>
      <c r="E4" s="2"/>
      <c r="F4" s="3"/>
      <c r="G4" s="4"/>
      <c r="H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5.75" hidden="false" customHeight="true" outlineLevel="0" collapsed="false">
      <c r="A5" s="5" t="s">
        <v>2</v>
      </c>
      <c r="B5" s="5"/>
      <c r="C5" s="5" t="s">
        <v>3</v>
      </c>
      <c r="D5" s="6" t="s">
        <v>4</v>
      </c>
      <c r="E5" s="5" t="s">
        <v>5</v>
      </c>
      <c r="F5" s="6" t="s">
        <v>6</v>
      </c>
      <c r="G5" s="4"/>
      <c r="H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5.75" hidden="false" customHeight="false" outlineLevel="0" collapsed="false">
      <c r="A6" s="7" t="n">
        <v>1</v>
      </c>
      <c r="B6" s="7" t="s">
        <v>7</v>
      </c>
      <c r="C6" s="3" t="n">
        <v>3027.79686956522</v>
      </c>
      <c r="D6" s="8"/>
      <c r="E6" s="9" t="n">
        <f aca="false">C6*-1</f>
        <v>-3027.79686956522</v>
      </c>
      <c r="F6" s="10" t="n">
        <f aca="false">C6-('Calculo '!$D$33*'Calculo '!B2)</f>
        <v>3027.79686956522</v>
      </c>
      <c r="G6" s="4"/>
      <c r="H6" s="11"/>
      <c r="J6" s="12"/>
      <c r="K6" s="13" t="s">
        <v>8</v>
      </c>
      <c r="L6" s="14"/>
      <c r="M6" s="14"/>
      <c r="N6" s="14"/>
      <c r="O6" s="15"/>
      <c r="P6" s="16"/>
      <c r="Q6" s="16"/>
      <c r="R6" s="16"/>
      <c r="S6" s="16"/>
      <c r="T6" s="16"/>
      <c r="U6" s="4"/>
      <c r="V6" s="12"/>
    </row>
    <row r="7" customFormat="false" ht="15.75" hidden="false" customHeight="false" outlineLevel="0" collapsed="false">
      <c r="A7" s="7" t="n">
        <v>2</v>
      </c>
      <c r="B7" s="7" t="s">
        <v>9</v>
      </c>
      <c r="C7" s="3" t="n">
        <v>2657.19025</v>
      </c>
      <c r="D7" s="8"/>
      <c r="E7" s="17" t="n">
        <f aca="false">C7*-1</f>
        <v>-2657.19025</v>
      </c>
      <c r="F7" s="10" t="n">
        <f aca="false">C7-('Calculo '!$D$33*'Calculo '!B3)</f>
        <v>2657.19025</v>
      </c>
      <c r="G7" s="4"/>
      <c r="H7" s="11"/>
      <c r="J7" s="4"/>
      <c r="K7" s="18"/>
      <c r="L7" s="19" t="s">
        <v>10</v>
      </c>
      <c r="M7" s="4"/>
      <c r="N7" s="4"/>
      <c r="O7" s="20"/>
      <c r="P7" s="16"/>
      <c r="Q7" s="16"/>
      <c r="R7" s="16"/>
      <c r="S7" s="16"/>
      <c r="T7" s="16"/>
      <c r="U7" s="4"/>
      <c r="V7" s="12"/>
    </row>
    <row r="8" customFormat="false" ht="15.75" hidden="false" customHeight="false" outlineLevel="0" collapsed="false">
      <c r="A8" s="7" t="n">
        <v>3</v>
      </c>
      <c r="B8" s="7" t="s">
        <v>11</v>
      </c>
      <c r="C8" s="21" t="n">
        <v>3044.063</v>
      </c>
      <c r="D8" s="8"/>
      <c r="E8" s="17" t="n">
        <f aca="false">C8*-1</f>
        <v>-3044.063</v>
      </c>
      <c r="F8" s="10" t="n">
        <f aca="false">C8-('Calculo '!$D$33*'Calculo '!B4)</f>
        <v>3044.063</v>
      </c>
      <c r="G8" s="4"/>
      <c r="H8" s="4"/>
      <c r="J8" s="4"/>
      <c r="K8" s="22"/>
      <c r="L8" s="16" t="s">
        <v>12</v>
      </c>
      <c r="M8" s="23" t="n">
        <f aca="false" t="array" ref="M8:M8">INDEX(F2:F36,MATCH(1,INDEX((D2:D36="")*(F2:F36&lt;&gt;""),0),0))</f>
        <v>3027.79686956522</v>
      </c>
      <c r="N8" s="16"/>
      <c r="O8" s="20"/>
      <c r="P8" s="16"/>
      <c r="Q8" s="16"/>
      <c r="R8" s="16"/>
      <c r="S8" s="16"/>
      <c r="T8" s="16"/>
      <c r="U8" s="4"/>
      <c r="V8" s="12"/>
    </row>
    <row r="9" customFormat="false" ht="15.75" hidden="false" customHeight="false" outlineLevel="0" collapsed="false">
      <c r="A9" s="7" t="n">
        <v>4</v>
      </c>
      <c r="B9" s="7" t="s">
        <v>13</v>
      </c>
      <c r="C9" s="3" t="n">
        <v>4893.62958333333</v>
      </c>
      <c r="D9" s="8"/>
      <c r="E9" s="17" t="n">
        <f aca="false">C9*-1</f>
        <v>-4893.62958333333</v>
      </c>
      <c r="F9" s="10" t="n">
        <f aca="false">C9-('Calculo '!$D$33*'Calculo '!B5)</f>
        <v>4893.62958333333</v>
      </c>
      <c r="G9" s="4"/>
      <c r="H9" s="4"/>
      <c r="J9" s="4"/>
      <c r="K9" s="22"/>
      <c r="L9" s="24" t="s">
        <v>14</v>
      </c>
      <c r="M9" s="24" t="s">
        <v>3</v>
      </c>
      <c r="N9" s="24" t="s">
        <v>15</v>
      </c>
      <c r="O9" s="24" t="s">
        <v>16</v>
      </c>
      <c r="P9" s="4"/>
      <c r="Q9" s="16"/>
      <c r="R9" s="16"/>
      <c r="S9" s="16"/>
      <c r="T9" s="16"/>
      <c r="U9" s="4"/>
      <c r="V9" s="12"/>
    </row>
    <row r="10" customFormat="false" ht="15.75" hidden="false" customHeight="false" outlineLevel="0" collapsed="false">
      <c r="A10" s="7" t="n">
        <v>5</v>
      </c>
      <c r="B10" s="7" t="s">
        <v>17</v>
      </c>
      <c r="C10" s="3" t="n">
        <v>4683.77754166667</v>
      </c>
      <c r="D10" s="8"/>
      <c r="E10" s="25" t="n">
        <f aca="false">C10*-1</f>
        <v>-4683.77754166667</v>
      </c>
      <c r="F10" s="10" t="n">
        <f aca="false">C10-('Calculo '!$D$33*'Calculo '!B6)</f>
        <v>4683.77754166667</v>
      </c>
      <c r="G10" s="4"/>
      <c r="H10" s="4"/>
      <c r="J10" s="4"/>
      <c r="K10" s="26"/>
      <c r="L10" s="27" t="n">
        <v>0.458333333333333</v>
      </c>
      <c r="M10" s="10" t="n">
        <f aca="false">M8/COUNT(L10:L22)</f>
        <v>252.316405797101</v>
      </c>
      <c r="N10" s="28"/>
      <c r="O10" s="29" t="n">
        <f aca="false">M10-N10</f>
        <v>252.316405797101</v>
      </c>
      <c r="P10" s="16"/>
      <c r="Q10" s="16"/>
      <c r="R10" s="16"/>
      <c r="S10" s="16"/>
      <c r="T10" s="16"/>
      <c r="U10" s="16"/>
      <c r="V10" s="12"/>
    </row>
    <row r="11" customFormat="false" ht="15.75" hidden="false" customHeight="false" outlineLevel="0" collapsed="false">
      <c r="A11" s="7" t="n">
        <v>6</v>
      </c>
      <c r="B11" s="7" t="s">
        <v>18</v>
      </c>
      <c r="C11" s="3" t="n">
        <v>2218.21966666667</v>
      </c>
      <c r="D11" s="8"/>
      <c r="E11" s="17" t="n">
        <f aca="false">C11*-1</f>
        <v>-2218.21966666667</v>
      </c>
      <c r="F11" s="10" t="n">
        <f aca="false">C11-('Calculo '!$D$33*'Calculo '!B7)</f>
        <v>2218.21966666667</v>
      </c>
      <c r="G11" s="4" t="s">
        <v>19</v>
      </c>
      <c r="H11" s="30" t="n">
        <f aca="false">SUM(C6:C12)</f>
        <v>23012.3076612319</v>
      </c>
      <c r="I11" s="31" t="str">
        <f aca="false">IF(H12&gt;0,"Parabéns!!!","-")</f>
        <v>-</v>
      </c>
      <c r="J11" s="4"/>
      <c r="K11" s="26"/>
      <c r="L11" s="27" t="n">
        <v>0.5</v>
      </c>
      <c r="M11" s="10" t="n">
        <f aca="false">M10*2</f>
        <v>504.632811594203</v>
      </c>
      <c r="N11" s="28"/>
      <c r="O11" s="29" t="n">
        <f aca="false">M11-N11</f>
        <v>504.632811594203</v>
      </c>
      <c r="P11" s="16"/>
      <c r="Q11" s="16"/>
      <c r="R11" s="16"/>
      <c r="S11" s="16"/>
      <c r="T11" s="16"/>
      <c r="U11" s="16"/>
      <c r="V11" s="12"/>
    </row>
    <row r="12" customFormat="false" ht="16.5" hidden="false" customHeight="false" outlineLevel="0" collapsed="false">
      <c r="A12" s="7" t="n">
        <v>7</v>
      </c>
      <c r="B12" s="7" t="s">
        <v>20</v>
      </c>
      <c r="C12" s="32" t="n">
        <v>2487.63075</v>
      </c>
      <c r="D12" s="8"/>
      <c r="E12" s="17" t="n">
        <f aca="false">C12*-1</f>
        <v>-2487.63075</v>
      </c>
      <c r="F12" s="10" t="n">
        <f aca="false">C12-('Calculo '!$D$33*'Calculo '!B8)</f>
        <v>2487.63075</v>
      </c>
      <c r="G12" s="33" t="str">
        <f aca="false">IF(H12&gt;0,"Superávit","Déficit")</f>
        <v>Déficit</v>
      </c>
      <c r="H12" s="34" t="n">
        <f aca="false">SUM(D6:D12)-H11</f>
        <v>-23012.3076612319</v>
      </c>
      <c r="I12" s="35"/>
      <c r="J12" s="4"/>
      <c r="K12" s="26"/>
      <c r="L12" s="27" t="n">
        <v>0.541666666666667</v>
      </c>
      <c r="M12" s="10" t="n">
        <f aca="false">M11+$M$10</f>
        <v>756.949217391304</v>
      </c>
      <c r="N12" s="28"/>
      <c r="O12" s="29" t="n">
        <f aca="false">M12-N12</f>
        <v>756.949217391304</v>
      </c>
      <c r="P12" s="16"/>
      <c r="Q12" s="16"/>
      <c r="R12" s="16"/>
      <c r="S12" s="16"/>
      <c r="T12" s="16"/>
      <c r="U12" s="4"/>
      <c r="V12" s="12"/>
    </row>
    <row r="13" customFormat="false" ht="15.75" hidden="false" customHeight="false" outlineLevel="0" collapsed="false">
      <c r="A13" s="7" t="n">
        <v>8</v>
      </c>
      <c r="B13" s="7" t="s">
        <v>7</v>
      </c>
      <c r="C13" s="3" t="n">
        <v>3027.79686956522</v>
      </c>
      <c r="D13" s="8"/>
      <c r="E13" s="17" t="n">
        <f aca="false">C13*-1</f>
        <v>-3027.79686956522</v>
      </c>
      <c r="F13" s="10" t="n">
        <f aca="false">C13-('Calculo '!$D$33*'Calculo '!B9)</f>
        <v>3027.79686956522</v>
      </c>
      <c r="G13" s="4"/>
      <c r="H13" s="4"/>
      <c r="J13" s="4"/>
      <c r="K13" s="26"/>
      <c r="L13" s="27" t="n">
        <v>0.583333333333333</v>
      </c>
      <c r="M13" s="10" t="n">
        <f aca="false">M12+$M$10</f>
        <v>1009.26562318841</v>
      </c>
      <c r="N13" s="28"/>
      <c r="O13" s="29" t="n">
        <f aca="false">M13-N13</f>
        <v>1009.26562318841</v>
      </c>
      <c r="P13" s="4"/>
      <c r="Q13" s="4"/>
      <c r="R13" s="4"/>
      <c r="S13" s="4"/>
      <c r="T13" s="4"/>
      <c r="U13" s="4"/>
      <c r="V13" s="4"/>
    </row>
    <row r="14" customFormat="false" ht="15.75" hidden="false" customHeight="false" outlineLevel="0" collapsed="false">
      <c r="A14" s="7" t="n">
        <v>9</v>
      </c>
      <c r="B14" s="7" t="s">
        <v>9</v>
      </c>
      <c r="C14" s="3" t="n">
        <v>2657.19025</v>
      </c>
      <c r="D14" s="8"/>
      <c r="E14" s="17" t="n">
        <f aca="false">C14*-1</f>
        <v>-2657.19025</v>
      </c>
      <c r="F14" s="10" t="n">
        <f aca="false">C14-('Calculo '!$D$33*'Calculo '!B10)</f>
        <v>2657.19025</v>
      </c>
      <c r="G14" s="4"/>
      <c r="H14" s="4"/>
      <c r="J14" s="4"/>
      <c r="K14" s="26"/>
      <c r="L14" s="27" t="n">
        <v>0.625</v>
      </c>
      <c r="M14" s="10" t="n">
        <f aca="false">M13+$M$10</f>
        <v>1261.58202898551</v>
      </c>
      <c r="N14" s="28"/>
      <c r="O14" s="29" t="n">
        <f aca="false">M14-N14</f>
        <v>1261.58202898551</v>
      </c>
      <c r="P14" s="4"/>
      <c r="Q14" s="4"/>
      <c r="R14" s="4"/>
      <c r="S14" s="4"/>
      <c r="T14" s="4"/>
      <c r="U14" s="4"/>
      <c r="V14" s="4"/>
    </row>
    <row r="15" customFormat="false" ht="15.75" hidden="false" customHeight="false" outlineLevel="0" collapsed="false">
      <c r="A15" s="7" t="n">
        <v>10</v>
      </c>
      <c r="B15" s="7" t="s">
        <v>11</v>
      </c>
      <c r="C15" s="21" t="n">
        <v>3044.063</v>
      </c>
      <c r="D15" s="36"/>
      <c r="E15" s="17" t="n">
        <f aca="false">C15*-1</f>
        <v>-3044.063</v>
      </c>
      <c r="F15" s="10" t="n">
        <f aca="false">C15-('Calculo '!$D$33*'Calculo '!B11)</f>
        <v>3044.063</v>
      </c>
      <c r="G15" s="4"/>
      <c r="H15" s="4"/>
      <c r="J15" s="4"/>
      <c r="K15" s="26"/>
      <c r="L15" s="27" t="n">
        <v>0.666666666666667</v>
      </c>
      <c r="M15" s="10" t="n">
        <f aca="false">M14+$M$10</f>
        <v>1513.89843478261</v>
      </c>
      <c r="N15" s="28"/>
      <c r="O15" s="29" t="n">
        <f aca="false">M15-N15</f>
        <v>1513.89843478261</v>
      </c>
      <c r="P15" s="4"/>
      <c r="Q15" s="4"/>
      <c r="R15" s="4"/>
      <c r="S15" s="4"/>
      <c r="T15" s="4"/>
      <c r="U15" s="4"/>
      <c r="V15" s="4"/>
    </row>
    <row r="16" customFormat="false" ht="13.5" hidden="false" customHeight="true" outlineLevel="0" collapsed="false">
      <c r="A16" s="7" t="n">
        <v>11</v>
      </c>
      <c r="B16" s="7" t="s">
        <v>13</v>
      </c>
      <c r="C16" s="3" t="n">
        <v>4893.62958333333</v>
      </c>
      <c r="D16" s="36"/>
      <c r="E16" s="17" t="n">
        <f aca="false">C16*-1</f>
        <v>-4893.62958333333</v>
      </c>
      <c r="F16" s="10" t="n">
        <f aca="false">C16-('Calculo '!$D$33*'Calculo '!B12)</f>
        <v>4893.62958333333</v>
      </c>
      <c r="G16" s="4"/>
      <c r="H16" s="4"/>
      <c r="I16" s="4"/>
      <c r="J16" s="4"/>
      <c r="K16" s="26"/>
      <c r="L16" s="27" t="n">
        <v>0.708333333333333</v>
      </c>
      <c r="M16" s="10" t="n">
        <f aca="false">M15+$M$10</f>
        <v>1766.21484057971</v>
      </c>
      <c r="N16" s="28"/>
      <c r="O16" s="29" t="n">
        <f aca="false">M16-N16</f>
        <v>1766.21484057971</v>
      </c>
      <c r="P16" s="4"/>
      <c r="Q16" s="4"/>
      <c r="R16" s="4"/>
      <c r="S16" s="4"/>
      <c r="T16" s="4"/>
      <c r="U16" s="4"/>
      <c r="V16" s="4"/>
    </row>
    <row r="17" customFormat="false" ht="15.75" hidden="false" customHeight="false" outlineLevel="0" collapsed="false">
      <c r="A17" s="7" t="n">
        <v>12</v>
      </c>
      <c r="B17" s="7" t="s">
        <v>17</v>
      </c>
      <c r="C17" s="3" t="n">
        <v>4683.77754166667</v>
      </c>
      <c r="D17" s="8"/>
      <c r="E17" s="17" t="n">
        <f aca="false">C17*-1</f>
        <v>-4683.77754166667</v>
      </c>
      <c r="F17" s="10" t="n">
        <f aca="false">C17-('Calculo '!$D$33*'Calculo '!B13)</f>
        <v>4683.77754166667</v>
      </c>
      <c r="G17" s="4"/>
      <c r="H17" s="4"/>
      <c r="I17" s="4"/>
      <c r="J17" s="4"/>
      <c r="K17" s="26"/>
      <c r="L17" s="27" t="n">
        <v>0.75</v>
      </c>
      <c r="M17" s="10" t="n">
        <f aca="false">M16+$M$10</f>
        <v>2018.53124637681</v>
      </c>
      <c r="N17" s="28"/>
      <c r="O17" s="29" t="n">
        <f aca="false">M17-N17</f>
        <v>2018.53124637681</v>
      </c>
      <c r="P17" s="4"/>
      <c r="Q17" s="4"/>
      <c r="R17" s="4"/>
      <c r="S17" s="4"/>
      <c r="T17" s="4"/>
      <c r="U17" s="4"/>
      <c r="V17" s="4"/>
    </row>
    <row r="18" customFormat="false" ht="15.75" hidden="false" customHeight="false" outlineLevel="0" collapsed="false">
      <c r="A18" s="7" t="n">
        <v>13</v>
      </c>
      <c r="B18" s="7" t="s">
        <v>18</v>
      </c>
      <c r="C18" s="3" t="n">
        <v>2218.21966666667</v>
      </c>
      <c r="D18" s="8"/>
      <c r="E18" s="17" t="n">
        <f aca="false">C18*-1</f>
        <v>-2218.21966666667</v>
      </c>
      <c r="F18" s="10" t="n">
        <f aca="false">C18-('Calculo '!$D$33*'Calculo '!B14)</f>
        <v>2218.21966666667</v>
      </c>
      <c r="J18" s="4"/>
      <c r="K18" s="26"/>
      <c r="L18" s="27" t="n">
        <v>0.791666666666667</v>
      </c>
      <c r="M18" s="10" t="n">
        <f aca="false">M17+$M$10</f>
        <v>2270.84765217391</v>
      </c>
      <c r="N18" s="28"/>
      <c r="O18" s="29" t="n">
        <f aca="false">M18-N18</f>
        <v>2270.84765217391</v>
      </c>
      <c r="P18" s="4"/>
      <c r="Q18" s="4"/>
      <c r="R18" s="4"/>
      <c r="S18" s="4"/>
      <c r="T18" s="4"/>
      <c r="U18" s="4"/>
      <c r="V18" s="4"/>
    </row>
    <row r="19" customFormat="false" ht="15.75" hidden="false" customHeight="false" outlineLevel="0" collapsed="false">
      <c r="A19" s="7" t="n">
        <v>14</v>
      </c>
      <c r="B19" s="7" t="s">
        <v>20</v>
      </c>
      <c r="C19" s="32" t="n">
        <v>2487.63075</v>
      </c>
      <c r="D19" s="8"/>
      <c r="E19" s="17" t="n">
        <f aca="false">C19*-1</f>
        <v>-2487.63075</v>
      </c>
      <c r="F19" s="10" t="n">
        <f aca="false">C19-('Calculo '!$D$33*'Calculo '!B15)</f>
        <v>2487.63075</v>
      </c>
      <c r="G19" s="4" t="s">
        <v>19</v>
      </c>
      <c r="H19" s="30" t="n">
        <f aca="false">SUM(C13:C20)</f>
        <v>26040.1045307971</v>
      </c>
      <c r="I19" s="31" t="str">
        <f aca="false">IF(H20&gt;0,"Parabéns!!!","-")</f>
        <v>-</v>
      </c>
      <c r="J19" s="4"/>
      <c r="K19" s="26"/>
      <c r="L19" s="27" t="n">
        <v>0.833333333333333</v>
      </c>
      <c r="M19" s="10" t="n">
        <f aca="false">M18+$M$10</f>
        <v>2523.16405797101</v>
      </c>
      <c r="N19" s="28"/>
      <c r="O19" s="29" t="n">
        <f aca="false">M19-N19</f>
        <v>2523.16405797101</v>
      </c>
      <c r="P19" s="4"/>
      <c r="Q19" s="4"/>
      <c r="R19" s="4"/>
      <c r="S19" s="4"/>
      <c r="T19" s="4"/>
      <c r="U19" s="4"/>
      <c r="V19" s="4"/>
    </row>
    <row r="20" customFormat="false" ht="16.5" hidden="false" customHeight="false" outlineLevel="0" collapsed="false">
      <c r="A20" s="7" t="n">
        <v>15</v>
      </c>
      <c r="B20" s="7" t="s">
        <v>7</v>
      </c>
      <c r="C20" s="3" t="n">
        <v>3027.79686956522</v>
      </c>
      <c r="D20" s="8"/>
      <c r="E20" s="17" t="n">
        <f aca="false">C20*-1</f>
        <v>-3027.79686956522</v>
      </c>
      <c r="F20" s="10" t="n">
        <f aca="false">C20-('Calculo '!$D$33*'Calculo '!B16)</f>
        <v>3027.79686956522</v>
      </c>
      <c r="G20" s="33" t="str">
        <f aca="false">IF(H20&gt;0,"Superávit","Déficit")</f>
        <v>Déficit</v>
      </c>
      <c r="H20" s="34" t="n">
        <f aca="false">SUM(D13:D20)-H19</f>
        <v>-26040.1045307971</v>
      </c>
      <c r="I20" s="35"/>
      <c r="J20" s="4"/>
      <c r="K20" s="26"/>
      <c r="L20" s="27" t="n">
        <v>0.875</v>
      </c>
      <c r="M20" s="10" t="n">
        <f aca="false">M19+$M$10</f>
        <v>2775.48046376812</v>
      </c>
      <c r="N20" s="28"/>
      <c r="O20" s="29" t="n">
        <f aca="false">M20-N20</f>
        <v>2775.48046376812</v>
      </c>
      <c r="P20" s="4"/>
      <c r="Q20" s="4"/>
      <c r="R20" s="4"/>
      <c r="S20" s="4"/>
      <c r="T20" s="4"/>
      <c r="U20" s="4"/>
      <c r="V20" s="4"/>
    </row>
    <row r="21" customFormat="false" ht="15.75" hidden="false" customHeight="true" outlineLevel="0" collapsed="false">
      <c r="A21" s="7" t="n">
        <v>16</v>
      </c>
      <c r="B21" s="7" t="s">
        <v>9</v>
      </c>
      <c r="C21" s="3" t="n">
        <v>2657.19025</v>
      </c>
      <c r="D21" s="8"/>
      <c r="E21" s="17" t="n">
        <f aca="false">C21*-1</f>
        <v>-2657.19025</v>
      </c>
      <c r="F21" s="10" t="n">
        <f aca="false">C21-('Calculo '!$D$33*'Calculo '!B17)</f>
        <v>2657.19025</v>
      </c>
      <c r="G21" s="4"/>
      <c r="H21" s="4"/>
      <c r="J21" s="4"/>
      <c r="K21" s="26"/>
      <c r="L21" s="27" t="n">
        <v>0.916666666666667</v>
      </c>
      <c r="M21" s="10" t="n">
        <f aca="false">M20+$M$10</f>
        <v>3027.79686956522</v>
      </c>
      <c r="N21" s="28"/>
      <c r="O21" s="29" t="n">
        <f aca="false">M21-N21</f>
        <v>3027.79686956522</v>
      </c>
      <c r="P21" s="4"/>
      <c r="Q21" s="4"/>
      <c r="R21" s="4"/>
      <c r="S21" s="4"/>
      <c r="T21" s="4"/>
      <c r="U21" s="4"/>
      <c r="V21" s="4"/>
    </row>
    <row r="22" customFormat="false" ht="15.75" hidden="false" customHeight="true" outlineLevel="0" collapsed="false">
      <c r="A22" s="7" t="n">
        <v>17</v>
      </c>
      <c r="B22" s="7" t="s">
        <v>11</v>
      </c>
      <c r="C22" s="21" t="n">
        <v>3044.063</v>
      </c>
      <c r="D22" s="8"/>
      <c r="E22" s="17" t="n">
        <f aca="false">C22*-1</f>
        <v>-3044.063</v>
      </c>
      <c r="F22" s="10" t="n">
        <f aca="false">C22-('Calculo '!$D$33*'Calculo '!B18)</f>
        <v>3044.063</v>
      </c>
      <c r="G22" s="4"/>
      <c r="H22" s="4"/>
      <c r="J22" s="4"/>
      <c r="K22" s="37"/>
      <c r="L22" s="4"/>
      <c r="M22" s="4"/>
      <c r="N22" s="4"/>
      <c r="O22" s="20"/>
      <c r="P22" s="4"/>
      <c r="Q22" s="4"/>
      <c r="R22" s="4"/>
      <c r="S22" s="4"/>
      <c r="T22" s="4"/>
      <c r="U22" s="4"/>
      <c r="V22" s="4"/>
    </row>
    <row r="23" customFormat="false" ht="15.75" hidden="false" customHeight="true" outlineLevel="0" collapsed="false">
      <c r="A23" s="7" t="n">
        <v>18</v>
      </c>
      <c r="B23" s="7" t="s">
        <v>13</v>
      </c>
      <c r="C23" s="3" t="n">
        <v>4893.62958333333</v>
      </c>
      <c r="D23" s="8"/>
      <c r="E23" s="17" t="n">
        <f aca="false">C23*-1</f>
        <v>-4893.62958333333</v>
      </c>
      <c r="F23" s="10" t="n">
        <f aca="false">C23-('Calculo '!$D$33*'Calculo '!B19)</f>
        <v>4893.62958333333</v>
      </c>
      <c r="G23" s="4"/>
      <c r="H23" s="4"/>
      <c r="I23" s="4"/>
      <c r="J23" s="4"/>
      <c r="K23" s="37"/>
      <c r="L23" s="4"/>
      <c r="M23" s="4"/>
      <c r="N23" s="4"/>
      <c r="O23" s="20"/>
      <c r="P23" s="4"/>
      <c r="Q23" s="4"/>
      <c r="R23" s="4"/>
      <c r="S23" s="4"/>
      <c r="T23" s="4"/>
      <c r="U23" s="4"/>
      <c r="V23" s="4"/>
    </row>
    <row r="24" customFormat="false" ht="15.75" hidden="false" customHeight="true" outlineLevel="0" collapsed="false">
      <c r="A24" s="7" t="n">
        <v>19</v>
      </c>
      <c r="B24" s="7" t="s">
        <v>17</v>
      </c>
      <c r="C24" s="3" t="n">
        <v>4683.77754166667</v>
      </c>
      <c r="D24" s="8"/>
      <c r="E24" s="17" t="n">
        <f aca="false">C24*-1</f>
        <v>-4683.77754166667</v>
      </c>
      <c r="F24" s="10" t="n">
        <f aca="false">C24-('Calculo '!$D$33*'Calculo '!B20)</f>
        <v>4683.77754166667</v>
      </c>
      <c r="G24" s="4"/>
      <c r="H24" s="4"/>
      <c r="I24" s="4"/>
      <c r="J24" s="4"/>
      <c r="K24" s="37"/>
      <c r="L24" s="4"/>
      <c r="M24" s="4"/>
      <c r="N24" s="4"/>
      <c r="O24" s="20"/>
      <c r="P24" s="4"/>
      <c r="Q24" s="4"/>
      <c r="R24" s="4"/>
      <c r="S24" s="4"/>
      <c r="T24" s="4"/>
      <c r="U24" s="4"/>
      <c r="V24" s="4"/>
    </row>
    <row r="25" customFormat="false" ht="15.75" hidden="false" customHeight="true" outlineLevel="0" collapsed="false">
      <c r="A25" s="7" t="n">
        <v>20</v>
      </c>
      <c r="B25" s="7" t="s">
        <v>18</v>
      </c>
      <c r="C25" s="3" t="n">
        <v>2218.21966666667</v>
      </c>
      <c r="D25" s="8"/>
      <c r="E25" s="17" t="n">
        <f aca="false">C25*-1</f>
        <v>-2218.21966666667</v>
      </c>
      <c r="F25" s="10" t="n">
        <f aca="false">C25-('Calculo '!$D$33*'Calculo '!B21)</f>
        <v>2218.21966666667</v>
      </c>
      <c r="J25" s="4"/>
      <c r="K25" s="37"/>
      <c r="L25" s="4"/>
      <c r="M25" s="4"/>
      <c r="N25" s="4"/>
      <c r="O25" s="20"/>
      <c r="P25" s="4"/>
      <c r="Q25" s="4"/>
      <c r="R25" s="4"/>
      <c r="S25" s="4"/>
      <c r="T25" s="4"/>
      <c r="U25" s="4"/>
      <c r="V25" s="4"/>
    </row>
    <row r="26" customFormat="false" ht="15.75" hidden="false" customHeight="true" outlineLevel="0" collapsed="false">
      <c r="A26" s="7" t="n">
        <v>21</v>
      </c>
      <c r="B26" s="7" t="s">
        <v>20</v>
      </c>
      <c r="C26" s="32" t="n">
        <v>2487.63075</v>
      </c>
      <c r="D26" s="8"/>
      <c r="E26" s="17" t="n">
        <f aca="false">C26*-1</f>
        <v>-2487.63075</v>
      </c>
      <c r="F26" s="10" t="n">
        <f aca="false">C26-('Calculo '!$D$33*'Calculo '!B22)</f>
        <v>2487.63075</v>
      </c>
      <c r="J26" s="4"/>
      <c r="K26" s="37"/>
      <c r="L26" s="4"/>
      <c r="M26" s="4"/>
      <c r="N26" s="4"/>
      <c r="O26" s="20"/>
      <c r="P26" s="4"/>
      <c r="Q26" s="4"/>
      <c r="R26" s="4"/>
      <c r="S26" s="4"/>
      <c r="T26" s="4"/>
      <c r="U26" s="4"/>
      <c r="V26" s="4"/>
    </row>
    <row r="27" customFormat="false" ht="15.75" hidden="false" customHeight="true" outlineLevel="0" collapsed="false">
      <c r="A27" s="7" t="n">
        <v>22</v>
      </c>
      <c r="B27" s="7" t="s">
        <v>7</v>
      </c>
      <c r="C27" s="3" t="n">
        <v>3027.79686956522</v>
      </c>
      <c r="D27" s="8"/>
      <c r="E27" s="17" t="n">
        <f aca="false">C27*-1</f>
        <v>-3027.79686956522</v>
      </c>
      <c r="F27" s="10" t="n">
        <f aca="false">C27-('Calculo '!$D$33*'Calculo '!B23)</f>
        <v>3027.79686956522</v>
      </c>
      <c r="G27" s="4" t="s">
        <v>19</v>
      </c>
      <c r="H27" s="30" t="n">
        <f aca="false">SUM(C21:C28)</f>
        <v>25669.4979112319</v>
      </c>
      <c r="I27" s="31" t="str">
        <f aca="false">IF(H28&gt;0,"Parabéns!!!","-")</f>
        <v>-</v>
      </c>
      <c r="J27" s="4"/>
      <c r="K27" s="38"/>
      <c r="L27" s="39"/>
      <c r="M27" s="4"/>
      <c r="N27" s="4"/>
      <c r="O27" s="20"/>
      <c r="P27" s="4"/>
      <c r="Q27" s="4"/>
      <c r="R27" s="4"/>
      <c r="S27" s="4"/>
      <c r="T27" s="4"/>
      <c r="U27" s="4"/>
      <c r="V27" s="4"/>
    </row>
    <row r="28" customFormat="false" ht="15.75" hidden="false" customHeight="true" outlineLevel="0" collapsed="false">
      <c r="A28" s="7" t="n">
        <v>23</v>
      </c>
      <c r="B28" s="7" t="s">
        <v>9</v>
      </c>
      <c r="C28" s="3" t="n">
        <v>2657.19025</v>
      </c>
      <c r="D28" s="8"/>
      <c r="E28" s="17" t="n">
        <f aca="false">C28*-1</f>
        <v>-2657.19025</v>
      </c>
      <c r="F28" s="10" t="n">
        <f aca="false">C28-('Calculo '!$D$33*'Calculo '!B24)</f>
        <v>2657.19025</v>
      </c>
      <c r="G28" s="33" t="str">
        <f aca="false">IF(H28&gt;0,"Superávit","Déficit")</f>
        <v>Déficit</v>
      </c>
      <c r="H28" s="34" t="n">
        <f aca="false">SUM(D21:D28)-H27</f>
        <v>-25669.4979112319</v>
      </c>
      <c r="I28" s="35"/>
      <c r="J28" s="4"/>
      <c r="K28" s="37"/>
      <c r="L28" s="4"/>
      <c r="M28" s="16"/>
      <c r="N28" s="16"/>
      <c r="O28" s="40"/>
      <c r="P28" s="4"/>
      <c r="Q28" s="4"/>
      <c r="R28" s="4"/>
      <c r="S28" s="4"/>
      <c r="T28" s="4"/>
      <c r="U28" s="4"/>
      <c r="V28" s="4"/>
    </row>
    <row r="29" customFormat="false" ht="15.75" hidden="false" customHeight="true" outlineLevel="0" collapsed="false">
      <c r="A29" s="7" t="n">
        <v>24</v>
      </c>
      <c r="B29" s="7" t="s">
        <v>11</v>
      </c>
      <c r="C29" s="21" t="n">
        <v>3044.063</v>
      </c>
      <c r="D29" s="8"/>
      <c r="E29" s="17" t="n">
        <f aca="false">C29*-1</f>
        <v>-3044.063</v>
      </c>
      <c r="F29" s="10" t="n">
        <f aca="false">C29-('Calculo '!$D$33*'Calculo '!B25)</f>
        <v>3044.063</v>
      </c>
      <c r="G29" s="4"/>
      <c r="H29" s="4"/>
      <c r="J29" s="4"/>
      <c r="K29" s="41"/>
      <c r="L29" s="42"/>
      <c r="M29" s="16"/>
      <c r="N29" s="16"/>
      <c r="O29" s="40"/>
      <c r="P29" s="4"/>
      <c r="Q29" s="4"/>
      <c r="R29" s="4"/>
      <c r="S29" s="4"/>
      <c r="T29" s="4"/>
      <c r="U29" s="4"/>
      <c r="V29" s="4"/>
    </row>
    <row r="30" customFormat="false" ht="15.75" hidden="false" customHeight="true" outlineLevel="0" collapsed="false">
      <c r="A30" s="7" t="n">
        <v>25</v>
      </c>
      <c r="B30" s="7" t="s">
        <v>13</v>
      </c>
      <c r="C30" s="3" t="n">
        <v>4893.62958333333</v>
      </c>
      <c r="D30" s="36"/>
      <c r="E30" s="17" t="n">
        <f aca="false">C30*-1</f>
        <v>-4893.62958333333</v>
      </c>
      <c r="F30" s="10" t="n">
        <f aca="false">C30-('Calculo '!$D$33*'Calculo '!B26)</f>
        <v>4893.62958333333</v>
      </c>
      <c r="G30" s="4"/>
      <c r="H30" s="4"/>
      <c r="I30" s="4"/>
      <c r="J30" s="4"/>
      <c r="K30" s="37"/>
      <c r="L30" s="42"/>
      <c r="M30" s="16"/>
      <c r="N30" s="16"/>
      <c r="O30" s="40"/>
      <c r="P30" s="4"/>
      <c r="Q30" s="4"/>
      <c r="R30" s="4"/>
      <c r="S30" s="4"/>
      <c r="T30" s="4"/>
      <c r="U30" s="4"/>
      <c r="V30" s="4"/>
    </row>
    <row r="31" customFormat="false" ht="15.75" hidden="false" customHeight="true" outlineLevel="0" collapsed="false">
      <c r="A31" s="7" t="n">
        <v>26</v>
      </c>
      <c r="B31" s="7" t="s">
        <v>17</v>
      </c>
      <c r="C31" s="3" t="n">
        <v>4683.77754166667</v>
      </c>
      <c r="D31" s="8"/>
      <c r="E31" s="17" t="n">
        <f aca="false">C31*-1</f>
        <v>-4683.77754166667</v>
      </c>
      <c r="F31" s="10" t="n">
        <f aca="false">C31-('Calculo '!$D$33*'Calculo '!B27)</f>
        <v>4683.77754166667</v>
      </c>
      <c r="G31" s="4"/>
      <c r="H31" s="39"/>
      <c r="J31" s="4"/>
      <c r="K31" s="37"/>
      <c r="L31" s="42"/>
      <c r="M31" s="16"/>
      <c r="N31" s="16"/>
      <c r="O31" s="40"/>
      <c r="P31" s="4"/>
      <c r="Q31" s="4"/>
      <c r="R31" s="4"/>
      <c r="S31" s="4"/>
      <c r="T31" s="4"/>
      <c r="U31" s="4"/>
      <c r="V31" s="4"/>
    </row>
    <row r="32" customFormat="false" ht="15.75" hidden="false" customHeight="true" outlineLevel="0" collapsed="false">
      <c r="A32" s="7" t="n">
        <v>27</v>
      </c>
      <c r="B32" s="7" t="s">
        <v>18</v>
      </c>
      <c r="C32" s="3" t="n">
        <v>2218.21966666667</v>
      </c>
      <c r="D32" s="8"/>
      <c r="E32" s="17" t="n">
        <f aca="false">C32*-1</f>
        <v>-2218.21966666667</v>
      </c>
      <c r="F32" s="10" t="n">
        <f aca="false">C32-('Calculo '!$D$33*'Calculo '!B28)</f>
        <v>2218.21966666667</v>
      </c>
      <c r="J32" s="4"/>
      <c r="K32" s="37"/>
      <c r="L32" s="42"/>
      <c r="M32" s="16"/>
      <c r="N32" s="16"/>
      <c r="O32" s="40"/>
      <c r="P32" s="4"/>
      <c r="Q32" s="4"/>
      <c r="R32" s="4"/>
      <c r="S32" s="4"/>
      <c r="T32" s="4"/>
      <c r="U32" s="4"/>
      <c r="V32" s="4"/>
    </row>
    <row r="33" customFormat="false" ht="15.75" hidden="false" customHeight="true" outlineLevel="0" collapsed="false">
      <c r="A33" s="7" t="n">
        <v>28</v>
      </c>
      <c r="B33" s="7" t="s">
        <v>20</v>
      </c>
      <c r="C33" s="32" t="n">
        <v>2487.63075</v>
      </c>
      <c r="D33" s="8"/>
      <c r="E33" s="17" t="n">
        <f aca="false">C33*-1</f>
        <v>-2487.63075</v>
      </c>
      <c r="F33" s="10" t="n">
        <f aca="false">C33-('Calculo '!$D$33*'Calculo '!B29)</f>
        <v>2487.63075</v>
      </c>
      <c r="J33" s="4"/>
      <c r="K33" s="37"/>
      <c r="L33" s="42"/>
      <c r="M33" s="16"/>
      <c r="N33" s="16"/>
      <c r="O33" s="20"/>
      <c r="P33" s="4"/>
      <c r="Q33" s="4"/>
      <c r="R33" s="4"/>
      <c r="S33" s="4"/>
      <c r="T33" s="4"/>
      <c r="U33" s="4"/>
      <c r="V33" s="4"/>
    </row>
    <row r="34" customFormat="false" ht="15.75" hidden="false" customHeight="true" outlineLevel="0" collapsed="false">
      <c r="A34" s="7" t="n">
        <v>29</v>
      </c>
      <c r="B34" s="7" t="s">
        <v>7</v>
      </c>
      <c r="C34" s="3" t="n">
        <v>3027.79686956522</v>
      </c>
      <c r="D34" s="8"/>
      <c r="E34" s="17"/>
      <c r="F34" s="10" t="n">
        <f aca="false">C34-('Calculo '!$D$33*'Calculo '!B30)</f>
        <v>3027.79686956522</v>
      </c>
      <c r="J34" s="4"/>
      <c r="K34" s="37"/>
      <c r="L34" s="42"/>
      <c r="M34" s="16"/>
      <c r="N34" s="16"/>
      <c r="O34" s="20"/>
      <c r="P34" s="4"/>
      <c r="Q34" s="4"/>
      <c r="R34" s="4"/>
      <c r="S34" s="4"/>
      <c r="T34" s="4"/>
      <c r="U34" s="4"/>
      <c r="V34" s="4"/>
    </row>
    <row r="35" customFormat="false" ht="15.75" hidden="false" customHeight="true" outlineLevel="0" collapsed="false">
      <c r="A35" s="7" t="n">
        <v>30</v>
      </c>
      <c r="B35" s="7" t="s">
        <v>9</v>
      </c>
      <c r="C35" s="3" t="n">
        <v>2657.19025</v>
      </c>
      <c r="D35" s="8"/>
      <c r="E35" s="17"/>
      <c r="F35" s="10" t="n">
        <f aca="false">C35-('Calculo '!$D$33*'Calculo '!B31)</f>
        <v>2657.19025</v>
      </c>
      <c r="G35" s="4" t="s">
        <v>19</v>
      </c>
      <c r="H35" s="30" t="n">
        <f aca="false">SUM(C29:C36)</f>
        <v>26056.3706612319</v>
      </c>
      <c r="I35" s="31" t="str">
        <f aca="false">IF(H28&gt;0,"Parabéns!!!","-")</f>
        <v>-</v>
      </c>
      <c r="J35" s="4"/>
      <c r="K35" s="37"/>
      <c r="L35" s="42"/>
      <c r="M35" s="16"/>
      <c r="N35" s="16"/>
      <c r="O35" s="40"/>
      <c r="P35" s="4"/>
      <c r="Q35" s="4"/>
      <c r="R35" s="4"/>
      <c r="S35" s="4"/>
      <c r="T35" s="4"/>
      <c r="U35" s="4"/>
      <c r="V35" s="4"/>
    </row>
    <row r="36" customFormat="false" ht="15.75" hidden="false" customHeight="true" outlineLevel="0" collapsed="false">
      <c r="A36" s="7" t="n">
        <v>30</v>
      </c>
      <c r="B36" s="7" t="s">
        <v>11</v>
      </c>
      <c r="C36" s="21" t="n">
        <v>3044.063</v>
      </c>
      <c r="D36" s="8"/>
      <c r="E36" s="17"/>
      <c r="F36" s="10" t="n">
        <f aca="false">C36-('Calculo '!$D$33*'Calculo '!B32)</f>
        <v>3044.063</v>
      </c>
      <c r="G36" s="33" t="str">
        <f aca="false">IF(H36&gt;0,"Superávit","Déficit")</f>
        <v>Déficit</v>
      </c>
      <c r="H36" s="34" t="n">
        <f aca="false">SUM(D29:D36)-H35</f>
        <v>-26056.3706612319</v>
      </c>
      <c r="I36" s="35"/>
      <c r="J36" s="4"/>
      <c r="K36" s="37"/>
      <c r="L36" s="42"/>
      <c r="M36" s="4"/>
      <c r="N36" s="4"/>
      <c r="O36" s="20"/>
      <c r="P36" s="4"/>
      <c r="Q36" s="4"/>
      <c r="R36" s="4"/>
      <c r="S36" s="4"/>
      <c r="T36" s="4"/>
      <c r="U36" s="4"/>
      <c r="V36" s="4"/>
    </row>
    <row r="37" customFormat="false" ht="15.75" hidden="false" customHeight="true" outlineLevel="0" collapsed="false">
      <c r="A37" s="5" t="s">
        <v>21</v>
      </c>
      <c r="B37" s="5"/>
      <c r="C37" s="43" t="n">
        <f aca="false">SUM(C6:C36)</f>
        <v>100778.280764493</v>
      </c>
      <c r="D37" s="44" t="n">
        <f aca="false">SUM(D6:D36)</f>
        <v>0</v>
      </c>
      <c r="E37" s="2"/>
      <c r="F37" s="10"/>
      <c r="G37" s="12"/>
      <c r="H37" s="45"/>
      <c r="J37" s="4"/>
      <c r="K37" s="37"/>
      <c r="L37" s="4"/>
      <c r="M37" s="46"/>
      <c r="N37" s="4"/>
      <c r="O37" s="20"/>
      <c r="P37" s="4"/>
      <c r="Q37" s="4"/>
      <c r="R37" s="4"/>
      <c r="S37" s="4"/>
      <c r="T37" s="4"/>
      <c r="U37" s="4"/>
      <c r="V37" s="4"/>
    </row>
    <row r="38" customFormat="false" ht="15.75" hidden="false" customHeight="true" outlineLevel="0" collapsed="false">
      <c r="A38" s="47" t="str">
        <f aca="false">IF(D38&gt;0,"Superávit","Déficit")</f>
        <v>Déficit</v>
      </c>
      <c r="B38" s="47"/>
      <c r="C38" s="47"/>
      <c r="D38" s="3" t="n">
        <f aca="false">D37-B56</f>
        <v>0</v>
      </c>
      <c r="E38" s="2"/>
      <c r="F38" s="10"/>
      <c r="G38" s="4"/>
      <c r="H38" s="4"/>
      <c r="J38" s="4"/>
      <c r="K38" s="37"/>
      <c r="L38" s="4"/>
      <c r="M38" s="46"/>
      <c r="N38" s="4"/>
      <c r="O38" s="20"/>
      <c r="P38" s="4"/>
      <c r="Q38" s="4"/>
      <c r="R38" s="4"/>
      <c r="S38" s="4"/>
      <c r="T38" s="4"/>
      <c r="U38" s="4"/>
      <c r="V38" s="4"/>
    </row>
    <row r="39" customFormat="false" ht="15.75" hidden="false" customHeight="true" outlineLevel="0" collapsed="false">
      <c r="A39" s="4"/>
      <c r="B39" s="4"/>
      <c r="C39" s="48"/>
      <c r="D39" s="16"/>
      <c r="E39" s="48"/>
      <c r="F39" s="16" t="n">
        <f aca="false">F40+D37</f>
        <v>0</v>
      </c>
      <c r="G39" s="4"/>
      <c r="H39" s="4"/>
      <c r="J39" s="4"/>
      <c r="K39" s="37"/>
      <c r="L39" s="4"/>
      <c r="M39" s="4"/>
      <c r="N39" s="4"/>
      <c r="O39" s="20"/>
      <c r="P39" s="4"/>
      <c r="Q39" s="4"/>
      <c r="R39" s="4"/>
      <c r="S39" s="4"/>
      <c r="T39" s="4"/>
      <c r="U39" s="4"/>
      <c r="V39" s="4"/>
    </row>
    <row r="40" customFormat="false" ht="15.75" hidden="false" customHeight="true" outlineLevel="0" collapsed="false">
      <c r="A40" s="4"/>
      <c r="B40" s="4"/>
      <c r="C40" s="48"/>
      <c r="D40" s="16" t="n">
        <f aca="false">D37/24</f>
        <v>0</v>
      </c>
      <c r="E40" s="48"/>
      <c r="F40" s="16" t="n">
        <f aca="false">D40*6</f>
        <v>0</v>
      </c>
      <c r="G40" s="4"/>
      <c r="H40" s="4"/>
      <c r="J40" s="4"/>
      <c r="K40" s="49"/>
      <c r="L40" s="50"/>
      <c r="M40" s="50"/>
      <c r="N40" s="50"/>
      <c r="O40" s="51"/>
      <c r="P40" s="4"/>
      <c r="Q40" s="4"/>
      <c r="R40" s="4"/>
      <c r="S40" s="4"/>
      <c r="T40" s="4"/>
      <c r="U40" s="4"/>
      <c r="V40" s="4"/>
    </row>
    <row r="41" customFormat="false" ht="15.75" hidden="false" customHeight="true" outlineLevel="0" collapsed="false">
      <c r="A41" s="4"/>
      <c r="B41" s="4"/>
      <c r="C41" s="48"/>
      <c r="D41" s="16"/>
      <c r="E41" s="48"/>
      <c r="F41" s="16"/>
      <c r="G41" s="4"/>
      <c r="H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5.75" hidden="false" customHeight="true" outlineLevel="0" collapsed="false">
      <c r="A42" s="4"/>
      <c r="B42" s="4"/>
      <c r="C42" s="48"/>
      <c r="E42" s="48"/>
      <c r="F42" s="16"/>
      <c r="G42" s="4"/>
      <c r="H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5.75" hidden="false" customHeight="true" outlineLevel="0" collapsed="false">
      <c r="A43" s="4"/>
      <c r="B43" s="4"/>
      <c r="C43" s="48"/>
      <c r="E43" s="48"/>
      <c r="F43" s="16"/>
      <c r="G43" s="4"/>
      <c r="H43" s="4"/>
      <c r="J43" s="3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5.75" hidden="false" customHeight="true" outlineLevel="0" collapsed="false">
      <c r="A44" s="4"/>
      <c r="B44" s="4"/>
      <c r="C44" s="48"/>
      <c r="E44" s="48"/>
      <c r="F44" s="16"/>
      <c r="G44" s="4"/>
      <c r="H44" s="4"/>
      <c r="J44" s="3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5.75" hidden="false" customHeight="true" outlineLevel="0" collapsed="false">
      <c r="A45" s="4"/>
      <c r="B45" s="4"/>
      <c r="C45" s="48"/>
      <c r="E45" s="48"/>
      <c r="F45" s="16"/>
      <c r="G45" s="4"/>
      <c r="H45" s="4"/>
      <c r="J45" s="3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5.75" hidden="false" customHeight="true" outlineLevel="0" collapsed="false">
      <c r="A46" s="4"/>
      <c r="B46" s="4"/>
      <c r="C46" s="48"/>
      <c r="E46" s="48"/>
      <c r="F46" s="16"/>
      <c r="G46" s="4"/>
      <c r="H46" s="4"/>
      <c r="J46" s="3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5.75" hidden="false" customHeight="true" outlineLevel="0" collapsed="false">
      <c r="A47" s="4"/>
      <c r="B47" s="4"/>
      <c r="C47" s="48"/>
      <c r="E47" s="48"/>
      <c r="F47" s="16"/>
      <c r="G47" s="4"/>
      <c r="H47" s="4"/>
      <c r="J47" s="3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5.75" hidden="false" customHeight="true" outlineLevel="0" collapsed="false">
      <c r="A48" s="4"/>
      <c r="B48" s="4"/>
      <c r="C48" s="48"/>
      <c r="E48" s="48"/>
      <c r="F48" s="16"/>
      <c r="G48" s="4"/>
      <c r="H48" s="4"/>
      <c r="J48" s="3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5.75" hidden="false" customHeight="true" outlineLevel="0" collapsed="false">
      <c r="A49" s="4"/>
      <c r="B49" s="4"/>
      <c r="C49" s="48"/>
      <c r="E49" s="48"/>
      <c r="F49" s="16"/>
      <c r="G49" s="4"/>
      <c r="H49" s="4"/>
      <c r="I49" s="52"/>
      <c r="J49" s="3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5.75" hidden="false" customHeight="true" outlineLevel="0" collapsed="false">
      <c r="A50" s="4"/>
      <c r="B50" s="4"/>
      <c r="C50" s="48"/>
      <c r="E50" s="48"/>
      <c r="F50" s="16"/>
      <c r="G50" s="4"/>
      <c r="I50" s="52"/>
      <c r="J50" s="3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5.75" hidden="false" customHeight="true" outlineLevel="0" collapsed="false">
      <c r="A51" s="4"/>
      <c r="B51" s="4"/>
      <c r="C51" s="48"/>
      <c r="E51" s="48"/>
      <c r="F51" s="16"/>
      <c r="G51" s="4"/>
      <c r="I51" s="52"/>
      <c r="J51" s="3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5.75" hidden="false" customHeight="true" outlineLevel="0" collapsed="false">
      <c r="A52" s="4"/>
      <c r="B52" s="4"/>
      <c r="C52" s="48"/>
      <c r="E52" s="48"/>
      <c r="F52" s="16"/>
      <c r="G52" s="4"/>
      <c r="I52" s="52"/>
      <c r="J52" s="3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5.75" hidden="false" customHeight="true" outlineLevel="0" collapsed="false">
      <c r="A53" s="4"/>
      <c r="B53" s="4"/>
      <c r="C53" s="48"/>
      <c r="E53" s="48"/>
      <c r="F53" s="16"/>
      <c r="G53" s="4"/>
      <c r="I53" s="52"/>
      <c r="J53" s="3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5.75" hidden="false" customHeight="true" outlineLevel="0" collapsed="false">
      <c r="A54" s="4"/>
      <c r="B54" s="4"/>
      <c r="C54" s="48"/>
      <c r="E54" s="48"/>
      <c r="F54" s="16"/>
      <c r="G54" s="4"/>
      <c r="I54" s="52"/>
      <c r="J54" s="3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5.75" hidden="false" customHeight="true" outlineLevel="0" collapsed="false">
      <c r="A55" s="4"/>
      <c r="B55" s="4"/>
      <c r="C55" s="48"/>
      <c r="E55" s="48"/>
      <c r="F55" s="16"/>
      <c r="G55" s="4"/>
      <c r="H55" s="4"/>
      <c r="I55" s="52"/>
      <c r="J55" s="3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5.75" hidden="false" customHeight="true" outlineLevel="0" collapsed="false">
      <c r="A56" s="4"/>
      <c r="B56" s="4" t="n">
        <f aca="false">SUMIF(D6:D36,"&lt;&gt;",C6:C36)</f>
        <v>0</v>
      </c>
      <c r="C56" s="48"/>
      <c r="E56" s="48"/>
      <c r="F56" s="16"/>
      <c r="G56" s="4"/>
      <c r="H56" s="4"/>
      <c r="I56" s="52"/>
      <c r="J56" s="3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5.75" hidden="false" customHeight="true" outlineLevel="0" collapsed="false">
      <c r="A57" s="4"/>
      <c r="B57" s="4"/>
      <c r="C57" s="48"/>
      <c r="E57" s="48"/>
      <c r="F57" s="16"/>
      <c r="G57" s="4"/>
      <c r="H57" s="4"/>
      <c r="I57" s="52"/>
      <c r="J57" s="3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5.75" hidden="false" customHeight="true" outlineLevel="0" collapsed="false">
      <c r="A58" s="4"/>
      <c r="B58" s="4"/>
      <c r="C58" s="48"/>
      <c r="E58" s="48"/>
      <c r="F58" s="16"/>
      <c r="G58" s="4"/>
      <c r="H58" s="4"/>
      <c r="I58" s="52"/>
      <c r="J58" s="3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5.75" hidden="false" customHeight="true" outlineLevel="0" collapsed="false">
      <c r="A59" s="4"/>
      <c r="B59" s="4"/>
      <c r="C59" s="48"/>
      <c r="E59" s="48"/>
      <c r="F59" s="16"/>
      <c r="G59" s="4"/>
      <c r="H59" s="4"/>
      <c r="I59" s="52"/>
      <c r="J59" s="3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15.75" hidden="false" customHeight="true" outlineLevel="0" collapsed="false">
      <c r="A60" s="4"/>
      <c r="B60" s="4"/>
      <c r="C60" s="48"/>
      <c r="E60" s="48"/>
      <c r="F60" s="16"/>
      <c r="G60" s="4"/>
      <c r="H60" s="4"/>
      <c r="I60" s="52"/>
      <c r="J60" s="3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customFormat="false" ht="15.75" hidden="false" customHeight="true" outlineLevel="0" collapsed="false">
      <c r="A61" s="4"/>
      <c r="B61" s="4"/>
      <c r="C61" s="48"/>
      <c r="E61" s="48"/>
      <c r="F61" s="16"/>
      <c r="G61" s="4"/>
      <c r="H61" s="4"/>
      <c r="I61" s="52"/>
      <c r="J61" s="3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5.75" hidden="false" customHeight="true" outlineLevel="0" collapsed="false">
      <c r="A62" s="4"/>
      <c r="B62" s="4"/>
      <c r="C62" s="48"/>
      <c r="E62" s="48"/>
      <c r="F62" s="16"/>
      <c r="G62" s="4"/>
      <c r="H62" s="4"/>
      <c r="I62" s="52"/>
      <c r="J62" s="3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customFormat="false" ht="15.75" hidden="false" customHeight="true" outlineLevel="0" collapsed="false">
      <c r="A63" s="4"/>
      <c r="B63" s="4"/>
      <c r="C63" s="48"/>
      <c r="E63" s="48"/>
      <c r="F63" s="16"/>
      <c r="G63" s="4"/>
      <c r="H63" s="4"/>
      <c r="I63" s="52"/>
      <c r="J63" s="3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customFormat="false" ht="15.75" hidden="false" customHeight="true" outlineLevel="0" collapsed="false">
      <c r="A64" s="4"/>
      <c r="B64" s="4"/>
      <c r="C64" s="48"/>
      <c r="E64" s="48"/>
      <c r="F64" s="16"/>
      <c r="G64" s="4"/>
      <c r="H64" s="4"/>
      <c r="I64" s="52"/>
      <c r="J64" s="3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customFormat="false" ht="15.75" hidden="false" customHeight="true" outlineLevel="0" collapsed="false">
      <c r="A65" s="4"/>
      <c r="B65" s="4"/>
      <c r="C65" s="48"/>
      <c r="E65" s="48"/>
      <c r="F65" s="16"/>
      <c r="G65" s="53"/>
      <c r="H65" s="4"/>
      <c r="I65" s="52"/>
      <c r="J65" s="3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customFormat="false" ht="15.75" hidden="false" customHeight="true" outlineLevel="0" collapsed="false">
      <c r="A66" s="4"/>
      <c r="B66" s="4"/>
      <c r="C66" s="48"/>
      <c r="E66" s="48"/>
      <c r="F66" s="16"/>
      <c r="G66" s="4"/>
      <c r="H66" s="4"/>
      <c r="I66" s="52"/>
      <c r="J66" s="3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customFormat="false" ht="15.75" hidden="false" customHeight="true" outlineLevel="0" collapsed="false">
      <c r="A67" s="4"/>
      <c r="B67" s="4"/>
      <c r="C67" s="48"/>
      <c r="E67" s="48"/>
      <c r="F67" s="16"/>
      <c r="G67" s="4"/>
      <c r="H67" s="4"/>
      <c r="I67" s="52"/>
      <c r="J67" s="3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customFormat="false" ht="15.75" hidden="false" customHeight="true" outlineLevel="0" collapsed="false">
      <c r="A68" s="4"/>
      <c r="B68" s="4"/>
      <c r="C68" s="48"/>
      <c r="E68" s="48"/>
      <c r="F68" s="16"/>
      <c r="G68" s="4"/>
      <c r="H68" s="4"/>
      <c r="I68" s="52"/>
      <c r="J68" s="3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customFormat="false" ht="15.75" hidden="false" customHeight="true" outlineLevel="0" collapsed="false">
      <c r="A69" s="4"/>
      <c r="B69" s="4"/>
      <c r="C69" s="48"/>
      <c r="E69" s="48"/>
      <c r="F69" s="16"/>
      <c r="G69" s="4"/>
      <c r="H69" s="4"/>
      <c r="I69" s="52"/>
      <c r="J69" s="3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customFormat="false" ht="15.75" hidden="false" customHeight="true" outlineLevel="0" collapsed="false">
      <c r="A70" s="4"/>
      <c r="B70" s="4"/>
      <c r="C70" s="48"/>
      <c r="E70" s="48"/>
      <c r="F70" s="16"/>
      <c r="G70" s="4"/>
      <c r="H70" s="4"/>
      <c r="I70" s="52"/>
      <c r="J70" s="3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customFormat="false" ht="15.75" hidden="false" customHeight="true" outlineLevel="0" collapsed="false">
      <c r="A71" s="4"/>
      <c r="B71" s="4"/>
      <c r="C71" s="48"/>
      <c r="E71" s="48"/>
      <c r="F71" s="16"/>
      <c r="G71" s="4"/>
      <c r="H71" s="4"/>
      <c r="I71" s="52"/>
      <c r="J71" s="3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customFormat="false" ht="15.75" hidden="false" customHeight="true" outlineLevel="0" collapsed="false">
      <c r="A72" s="4"/>
      <c r="B72" s="4"/>
      <c r="C72" s="48"/>
      <c r="D72" s="16"/>
      <c r="E72" s="48"/>
      <c r="F72" s="16"/>
      <c r="G72" s="4"/>
      <c r="H72" s="4"/>
      <c r="I72" s="52"/>
      <c r="J72" s="3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customFormat="false" ht="15.75" hidden="false" customHeight="true" outlineLevel="0" collapsed="false">
      <c r="A73" s="4"/>
      <c r="B73" s="4"/>
      <c r="C73" s="48"/>
      <c r="D73" s="16"/>
      <c r="E73" s="48"/>
      <c r="F73" s="16"/>
      <c r="G73" s="4"/>
      <c r="H73" s="4"/>
      <c r="I73" s="52"/>
      <c r="J73" s="3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customFormat="false" ht="15.75" hidden="false" customHeight="true" outlineLevel="0" collapsed="false">
      <c r="A74" s="4"/>
      <c r="B74" s="4"/>
      <c r="C74" s="48"/>
      <c r="D74" s="16"/>
      <c r="E74" s="48"/>
      <c r="F74" s="16"/>
      <c r="G74" s="4"/>
      <c r="H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customFormat="false" ht="15.75" hidden="false" customHeight="true" outlineLevel="0" collapsed="false">
      <c r="A75" s="4"/>
      <c r="B75" s="4"/>
      <c r="C75" s="48"/>
      <c r="D75" s="16"/>
      <c r="E75" s="48"/>
      <c r="F75" s="16"/>
      <c r="G75" s="4"/>
      <c r="H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customFormat="false" ht="15.75" hidden="false" customHeight="true" outlineLevel="0" collapsed="false">
      <c r="A76" s="4"/>
      <c r="B76" s="4"/>
      <c r="C76" s="48"/>
      <c r="D76" s="16"/>
      <c r="E76" s="48"/>
      <c r="F76" s="16"/>
      <c r="G76" s="4"/>
      <c r="H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customFormat="false" ht="15.75" hidden="false" customHeight="true" outlineLevel="0" collapsed="false">
      <c r="A77" s="4"/>
      <c r="B77" s="4"/>
      <c r="C77" s="48"/>
      <c r="D77" s="16"/>
      <c r="E77" s="48"/>
      <c r="F77" s="16"/>
      <c r="G77" s="4"/>
      <c r="H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customFormat="false" ht="15.75" hidden="false" customHeight="true" outlineLevel="0" collapsed="false">
      <c r="A78" s="4"/>
      <c r="B78" s="4"/>
      <c r="C78" s="48"/>
      <c r="D78" s="16"/>
      <c r="E78" s="48"/>
      <c r="F78" s="16"/>
      <c r="G78" s="4"/>
      <c r="H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customFormat="false" ht="15.75" hidden="false" customHeight="true" outlineLevel="0" collapsed="false">
      <c r="A79" s="4"/>
      <c r="B79" s="4"/>
      <c r="C79" s="48"/>
      <c r="D79" s="16"/>
      <c r="E79" s="48"/>
      <c r="F79" s="16"/>
      <c r="G79" s="4"/>
      <c r="H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5.75" hidden="false" customHeight="true" outlineLevel="0" collapsed="false">
      <c r="A80" s="4"/>
      <c r="B80" s="4"/>
      <c r="C80" s="48"/>
      <c r="D80" s="16"/>
      <c r="E80" s="48"/>
      <c r="F80" s="16"/>
      <c r="G80" s="4"/>
      <c r="H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customFormat="false" ht="15.75" hidden="false" customHeight="true" outlineLevel="0" collapsed="false">
      <c r="A81" s="4"/>
      <c r="B81" s="4"/>
      <c r="C81" s="48"/>
      <c r="D81" s="16"/>
      <c r="E81" s="48"/>
      <c r="F81" s="16"/>
      <c r="G81" s="4"/>
      <c r="H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customFormat="false" ht="15.75" hidden="false" customHeight="true" outlineLevel="0" collapsed="false">
      <c r="A82" s="4"/>
      <c r="B82" s="4"/>
      <c r="C82" s="48"/>
      <c r="D82" s="16"/>
      <c r="E82" s="48"/>
      <c r="F82" s="16"/>
      <c r="G82" s="4"/>
      <c r="H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customFormat="false" ht="15.75" hidden="false" customHeight="true" outlineLevel="0" collapsed="false">
      <c r="A83" s="4"/>
      <c r="B83" s="4"/>
      <c r="C83" s="48"/>
      <c r="D83" s="16"/>
      <c r="E83" s="48"/>
      <c r="F83" s="16"/>
      <c r="G83" s="4"/>
      <c r="H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customFormat="false" ht="15.75" hidden="false" customHeight="true" outlineLevel="0" collapsed="false">
      <c r="A84" s="4"/>
      <c r="B84" s="4"/>
      <c r="C84" s="48"/>
      <c r="D84" s="16"/>
      <c r="E84" s="48"/>
      <c r="F84" s="16"/>
      <c r="G84" s="4"/>
      <c r="H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customFormat="false" ht="15.75" hidden="false" customHeight="true" outlineLevel="0" collapsed="false">
      <c r="A85" s="4"/>
      <c r="B85" s="4"/>
      <c r="C85" s="48"/>
      <c r="D85" s="16"/>
      <c r="E85" s="48"/>
      <c r="F85" s="16"/>
      <c r="G85" s="4"/>
      <c r="H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customFormat="false" ht="15.75" hidden="false" customHeight="true" outlineLevel="0" collapsed="false">
      <c r="A86" s="4"/>
      <c r="B86" s="4"/>
      <c r="C86" s="48"/>
      <c r="D86" s="16"/>
      <c r="E86" s="48"/>
      <c r="F86" s="16"/>
      <c r="G86" s="4"/>
      <c r="H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customFormat="false" ht="15.75" hidden="false" customHeight="true" outlineLevel="0" collapsed="false">
      <c r="A87" s="4"/>
      <c r="B87" s="4"/>
      <c r="C87" s="48"/>
      <c r="D87" s="16"/>
      <c r="E87" s="48"/>
      <c r="F87" s="16"/>
      <c r="G87" s="4"/>
      <c r="H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customFormat="false" ht="15.75" hidden="false" customHeight="true" outlineLevel="0" collapsed="false">
      <c r="A88" s="4"/>
      <c r="B88" s="4"/>
      <c r="C88" s="48"/>
      <c r="D88" s="16"/>
      <c r="E88" s="48"/>
      <c r="F88" s="16"/>
      <c r="G88" s="4"/>
      <c r="H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customFormat="false" ht="15.75" hidden="false" customHeight="true" outlineLevel="0" collapsed="false">
      <c r="A89" s="4"/>
      <c r="B89" s="4"/>
      <c r="C89" s="48"/>
      <c r="D89" s="16"/>
      <c r="E89" s="48"/>
      <c r="F89" s="16"/>
      <c r="G89" s="4"/>
      <c r="H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customFormat="false" ht="15.75" hidden="false" customHeight="true" outlineLevel="0" collapsed="false">
      <c r="A90" s="4"/>
      <c r="B90" s="4"/>
      <c r="C90" s="48"/>
      <c r="D90" s="16"/>
      <c r="E90" s="48"/>
      <c r="F90" s="16"/>
      <c r="G90" s="4"/>
      <c r="H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customFormat="false" ht="15.75" hidden="false" customHeight="true" outlineLevel="0" collapsed="false">
      <c r="A91" s="4"/>
      <c r="B91" s="4"/>
      <c r="C91" s="48"/>
      <c r="D91" s="16"/>
      <c r="E91" s="48"/>
      <c r="F91" s="16"/>
      <c r="G91" s="4"/>
      <c r="H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customFormat="false" ht="15.75" hidden="false" customHeight="true" outlineLevel="0" collapsed="false">
      <c r="A92" s="4"/>
      <c r="B92" s="4"/>
      <c r="C92" s="48"/>
      <c r="D92" s="16"/>
      <c r="E92" s="48"/>
      <c r="F92" s="16"/>
      <c r="G92" s="4"/>
      <c r="H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customFormat="false" ht="15.75" hidden="false" customHeight="true" outlineLevel="0" collapsed="false">
      <c r="A93" s="4"/>
      <c r="B93" s="4"/>
      <c r="C93" s="48"/>
      <c r="D93" s="16"/>
      <c r="E93" s="48"/>
      <c r="F93" s="16"/>
      <c r="G93" s="4"/>
      <c r="H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customFormat="false" ht="15.75" hidden="false" customHeight="true" outlineLevel="0" collapsed="false">
      <c r="A94" s="4"/>
      <c r="B94" s="4"/>
      <c r="C94" s="48"/>
      <c r="D94" s="16"/>
      <c r="E94" s="48"/>
      <c r="F94" s="16"/>
      <c r="G94" s="4"/>
      <c r="H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customFormat="false" ht="15.75" hidden="false" customHeight="true" outlineLevel="0" collapsed="false">
      <c r="A95" s="4"/>
      <c r="B95" s="4"/>
      <c r="C95" s="48"/>
      <c r="D95" s="16"/>
      <c r="E95" s="48"/>
      <c r="F95" s="16"/>
      <c r="G95" s="4"/>
      <c r="H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customFormat="false" ht="15.75" hidden="false" customHeight="true" outlineLevel="0" collapsed="false">
      <c r="A96" s="4"/>
      <c r="B96" s="4"/>
      <c r="C96" s="48"/>
      <c r="D96" s="16"/>
      <c r="E96" s="48"/>
      <c r="F96" s="16"/>
      <c r="G96" s="4"/>
      <c r="H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customFormat="false" ht="15.75" hidden="false" customHeight="true" outlineLevel="0" collapsed="false">
      <c r="A97" s="4"/>
      <c r="B97" s="4"/>
      <c r="C97" s="48"/>
      <c r="D97" s="16"/>
      <c r="E97" s="48"/>
      <c r="F97" s="16"/>
      <c r="G97" s="4"/>
      <c r="H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customFormat="false" ht="15.75" hidden="false" customHeight="true" outlineLevel="0" collapsed="false">
      <c r="A98" s="4"/>
      <c r="B98" s="4"/>
      <c r="C98" s="48"/>
      <c r="D98" s="16"/>
      <c r="E98" s="48"/>
      <c r="F98" s="16"/>
      <c r="G98" s="4"/>
      <c r="H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customFormat="false" ht="15.75" hidden="false" customHeight="true" outlineLevel="0" collapsed="false">
      <c r="A99" s="4"/>
      <c r="B99" s="4"/>
      <c r="C99" s="48"/>
      <c r="D99" s="16"/>
      <c r="E99" s="48"/>
      <c r="F99" s="16"/>
      <c r="G99" s="4"/>
      <c r="H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customFormat="false" ht="15.75" hidden="false" customHeight="true" outlineLevel="0" collapsed="false">
      <c r="A100" s="4"/>
      <c r="B100" s="4"/>
      <c r="C100" s="48"/>
      <c r="D100" s="16"/>
      <c r="E100" s="48"/>
      <c r="F100" s="16"/>
      <c r="G100" s="4"/>
      <c r="H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algorithmName="SHA-512" hashValue="NWHenSv2EeOkpLOFYHEDmXvjYWap4ViE4ocHNeyhvve5LSa//nVj8MuLXB+OFcIqBFFCkh3aMBJAcVb4G2LcDQ==" saltValue="2vHMxNMl4qYnxeY49xH0mA==" spinCount="100000" sheet="true" objects="true" scenarios="true"/>
  <mergeCells count="6">
    <mergeCell ref="A1:D2"/>
    <mergeCell ref="F1:F4"/>
    <mergeCell ref="A3:D4"/>
    <mergeCell ref="A5:B5"/>
    <mergeCell ref="A37:B37"/>
    <mergeCell ref="A38:C38"/>
  </mergeCells>
  <conditionalFormatting sqref="D6:D36">
    <cfRule type="expression" priority="2" aboveAverage="0" equalAverage="0" bottom="0" percent="0" rank="0" text="" dxfId="2">
      <formula>$D6&gt;=$F6</formula>
    </cfRule>
    <cfRule type="expression" priority="3" aboveAverage="0" equalAverage="0" bottom="0" percent="0" rank="0" text="" dxfId="3">
      <formula>$D6&lt;$F6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.57"/>
    <col collapsed="false" customWidth="true" hidden="false" outlineLevel="0" max="3" min="3" style="0" width="12.14"/>
    <col collapsed="false" customWidth="true" hidden="false" outlineLevel="0" max="4" min="4" style="0" width="6.57"/>
    <col collapsed="false" customWidth="true" hidden="false" outlineLevel="0" max="6" min="5" style="0" width="6"/>
  </cols>
  <sheetData>
    <row r="1" customFormat="false" ht="15" hidden="false" customHeight="false" outlineLevel="0" collapsed="false">
      <c r="B1" s="54" t="s">
        <v>22</v>
      </c>
      <c r="C1" s="55" t="s">
        <v>23</v>
      </c>
      <c r="D1" s="56" t="s">
        <v>24</v>
      </c>
    </row>
    <row r="2" customFormat="false" ht="15" hidden="false" customHeight="false" outlineLevel="0" collapsed="false">
      <c r="A2" s="56" t="n">
        <v>1</v>
      </c>
      <c r="B2" s="54" t="n">
        <f aca="false">Julho!C6/'Calculo '!C2</f>
        <v>0.0300441409259683</v>
      </c>
      <c r="C2" s="55" t="n">
        <f aca="false">Julho!$C$37-Julho!$D$37+E2</f>
        <v>100778.280764493</v>
      </c>
      <c r="D2" s="56" t="n">
        <f aca="false">SUMIF(Julho!C6:D6,"&lt;&gt;",Julho!D6:E6)</f>
        <v>0</v>
      </c>
      <c r="E2" s="56" t="n">
        <f aca="false">SUM(D2)</f>
        <v>0</v>
      </c>
    </row>
    <row r="3" customFormat="false" ht="15" hidden="false" customHeight="false" outlineLevel="0" collapsed="false">
      <c r="A3" s="56" t="n">
        <v>2</v>
      </c>
      <c r="B3" s="54" t="n">
        <f aca="false">Julho!C7/'Calculo '!C3</f>
        <v>0.026366695580068</v>
      </c>
      <c r="C3" s="55" t="n">
        <f aca="false">Julho!$C$37-Julho!$D$37+E3</f>
        <v>100778.280764493</v>
      </c>
      <c r="D3" s="56" t="n">
        <f aca="false">SUMIF(Julho!C7:D7,"&lt;&gt;",Julho!D7:E7)</f>
        <v>0</v>
      </c>
      <c r="E3" s="56" t="n">
        <f aca="false">SUM($D$2:D3)</f>
        <v>0</v>
      </c>
    </row>
    <row r="4" customFormat="false" ht="15" hidden="false" customHeight="false" outlineLevel="0" collapsed="false">
      <c r="A4" s="56" t="n">
        <v>3</v>
      </c>
      <c r="B4" s="54" t="n">
        <f aca="false">Julho!C8/'Calculo '!C4</f>
        <v>0.0302055460453193</v>
      </c>
      <c r="C4" s="55" t="n">
        <f aca="false">Julho!$C$37-Julho!$D$37+E4</f>
        <v>100778.280764493</v>
      </c>
      <c r="D4" s="56" t="n">
        <f aca="false">SUMIF(Julho!C8:D8,"&lt;&gt;",Julho!D8:E8)</f>
        <v>0</v>
      </c>
      <c r="E4" s="56" t="n">
        <f aca="false">SUM($D$2:D4)</f>
        <v>0</v>
      </c>
    </row>
    <row r="5" customFormat="false" ht="15" hidden="false" customHeight="false" outlineLevel="0" collapsed="false">
      <c r="A5" s="56" t="n">
        <v>4</v>
      </c>
      <c r="B5" s="54" t="n">
        <f aca="false">Julho!C9/'Calculo '!C5</f>
        <v>0.0485583753385234</v>
      </c>
      <c r="C5" s="55" t="n">
        <f aca="false">Julho!$C$37-Julho!$D$37+E5</f>
        <v>100778.280764493</v>
      </c>
      <c r="D5" s="56" t="n">
        <f aca="false">SUMIF(Julho!C9:D9,"&lt;&gt;",Julho!D9:E9)</f>
        <v>0</v>
      </c>
      <c r="E5" s="56" t="n">
        <f aca="false">SUM($D$2:D5)</f>
        <v>0</v>
      </c>
    </row>
    <row r="6" customFormat="false" ht="15" hidden="false" customHeight="false" outlineLevel="0" collapsed="false">
      <c r="A6" s="56" t="n">
        <v>5</v>
      </c>
      <c r="B6" s="54" t="n">
        <f aca="false">Julho!C10/'Calculo '!C6</f>
        <v>0.0464760611724675</v>
      </c>
      <c r="C6" s="55" t="n">
        <f aca="false">Julho!$C$37-Julho!$D$37+E6</f>
        <v>100778.280764493</v>
      </c>
      <c r="D6" s="56" t="n">
        <f aca="false">SUMIF(Julho!C10:D10,"&lt;&gt;",Julho!D10:E10)</f>
        <v>0</v>
      </c>
      <c r="E6" s="56" t="n">
        <f aca="false">SUM($D$2:D6)</f>
        <v>0</v>
      </c>
    </row>
    <row r="7" customFormat="false" ht="15" hidden="false" customHeight="false" outlineLevel="0" collapsed="false">
      <c r="A7" s="56" t="n">
        <v>6</v>
      </c>
      <c r="B7" s="54" t="n">
        <f aca="false">Julho!C11/'Calculo '!C7</f>
        <v>0.0220108901425932</v>
      </c>
      <c r="C7" s="55" t="n">
        <f aca="false">Julho!$C$37-Julho!$D$37+E7</f>
        <v>100778.280764493</v>
      </c>
      <c r="D7" s="56" t="n">
        <f aca="false">SUMIF(Julho!C11:D11,"&lt;&gt;",Julho!D11:E11)</f>
        <v>0</v>
      </c>
      <c r="E7" s="56" t="n">
        <f aca="false">SUM($D$2:D7)</f>
        <v>0</v>
      </c>
    </row>
    <row r="8" customFormat="false" ht="15" hidden="false" customHeight="false" outlineLevel="0" collapsed="false">
      <c r="A8" s="56" t="n">
        <v>7</v>
      </c>
      <c r="B8" s="54" t="n">
        <f aca="false">Julho!C12/'Calculo '!C8</f>
        <v>0.0246841951572215</v>
      </c>
      <c r="C8" s="55" t="n">
        <f aca="false">Julho!$C$37-Julho!$D$37+E8</f>
        <v>100778.280764493</v>
      </c>
      <c r="D8" s="56" t="n">
        <f aca="false">SUMIF(Julho!C12:D12,"&lt;&gt;",Julho!D12:E12)</f>
        <v>0</v>
      </c>
      <c r="E8" s="56" t="n">
        <f aca="false">SUM($D$2:D8)</f>
        <v>0</v>
      </c>
    </row>
    <row r="9" customFormat="false" ht="15" hidden="false" customHeight="false" outlineLevel="0" collapsed="false">
      <c r="A9" s="56" t="n">
        <v>8</v>
      </c>
      <c r="B9" s="54" t="n">
        <f aca="false">Julho!C13/'Calculo '!C9</f>
        <v>0.0300441409259683</v>
      </c>
      <c r="C9" s="55" t="n">
        <f aca="false">Julho!$C$37-Julho!$D$37+E9</f>
        <v>100778.280764493</v>
      </c>
      <c r="D9" s="56" t="n">
        <f aca="false">SUMIF(Julho!C13:D13,"&lt;&gt;",Julho!D13:E13)</f>
        <v>0</v>
      </c>
      <c r="E9" s="56" t="n">
        <f aca="false">SUM($D$2:D9)</f>
        <v>0</v>
      </c>
    </row>
    <row r="10" customFormat="false" ht="15" hidden="false" customHeight="false" outlineLevel="0" collapsed="false">
      <c r="A10" s="56" t="n">
        <v>9</v>
      </c>
      <c r="B10" s="54" t="n">
        <f aca="false">Julho!C14/'Calculo '!C10</f>
        <v>0.026366695580068</v>
      </c>
      <c r="C10" s="55" t="n">
        <f aca="false">Julho!$C$37-Julho!$D$37+E10</f>
        <v>100778.280764493</v>
      </c>
      <c r="D10" s="56" t="n">
        <f aca="false">SUMIF(Julho!C14:D14,"&lt;&gt;",Julho!D14:E14)</f>
        <v>0</v>
      </c>
      <c r="E10" s="56" t="n">
        <f aca="false">SUM($D$2:D10)</f>
        <v>0</v>
      </c>
    </row>
    <row r="11" customFormat="false" ht="15" hidden="false" customHeight="false" outlineLevel="0" collapsed="false">
      <c r="A11" s="56" t="n">
        <v>10</v>
      </c>
      <c r="B11" s="54" t="n">
        <f aca="false">Julho!C15/'Calculo '!C11</f>
        <v>0.0302055460453193</v>
      </c>
      <c r="C11" s="55" t="n">
        <f aca="false">Julho!$C$37-Julho!$D$37+E11</f>
        <v>100778.280764493</v>
      </c>
      <c r="D11" s="56" t="n">
        <f aca="false">SUMIF(Julho!C15:D15,"&lt;&gt;",Julho!D15:E15)</f>
        <v>0</v>
      </c>
      <c r="E11" s="56" t="n">
        <f aca="false">SUM($D$2:D11)</f>
        <v>0</v>
      </c>
    </row>
    <row r="12" customFormat="false" ht="15" hidden="false" customHeight="false" outlineLevel="0" collapsed="false">
      <c r="A12" s="56" t="n">
        <v>11</v>
      </c>
      <c r="B12" s="54" t="n">
        <f aca="false">Julho!C16/'Calculo '!C12</f>
        <v>0.0485583753385234</v>
      </c>
      <c r="C12" s="55" t="n">
        <f aca="false">Julho!$C$37-Julho!$D$37+E12</f>
        <v>100778.280764493</v>
      </c>
      <c r="D12" s="56" t="n">
        <f aca="false">SUMIF(Julho!C16:D16,"&lt;&gt;",Julho!D16:E16)</f>
        <v>0</v>
      </c>
      <c r="E12" s="56" t="n">
        <f aca="false">SUM($D$2:D12)</f>
        <v>0</v>
      </c>
    </row>
    <row r="13" customFormat="false" ht="15" hidden="false" customHeight="false" outlineLevel="0" collapsed="false">
      <c r="A13" s="56" t="n">
        <v>12</v>
      </c>
      <c r="B13" s="54" t="n">
        <f aca="false">Julho!C17/'Calculo '!C13</f>
        <v>0.0464760611724675</v>
      </c>
      <c r="C13" s="55" t="n">
        <f aca="false">Julho!$C$37-Julho!$D$37+E13</f>
        <v>100778.280764493</v>
      </c>
      <c r="D13" s="56" t="n">
        <f aca="false">SUMIF(Julho!C17:D17,"&lt;&gt;",Julho!D17:E17)</f>
        <v>0</v>
      </c>
      <c r="E13" s="56" t="n">
        <f aca="false">SUM($D$2:D13)</f>
        <v>0</v>
      </c>
    </row>
    <row r="14" customFormat="false" ht="15" hidden="false" customHeight="false" outlineLevel="0" collapsed="false">
      <c r="A14" s="56" t="n">
        <v>13</v>
      </c>
      <c r="B14" s="54" t="n">
        <f aca="false">Julho!C18/'Calculo '!C14</f>
        <v>0.0220108901425932</v>
      </c>
      <c r="C14" s="55" t="n">
        <f aca="false">Julho!$C$37-Julho!$D$37+E14</f>
        <v>100778.280764493</v>
      </c>
      <c r="D14" s="56" t="n">
        <f aca="false">SUMIF(Julho!C18:D18,"&lt;&gt;",Julho!D18:E18)</f>
        <v>0</v>
      </c>
      <c r="E14" s="56" t="n">
        <f aca="false">SUM($D$2:D14)</f>
        <v>0</v>
      </c>
    </row>
    <row r="15" customFormat="false" ht="15" hidden="false" customHeight="false" outlineLevel="0" collapsed="false">
      <c r="A15" s="56" t="n">
        <v>14</v>
      </c>
      <c r="B15" s="54" t="n">
        <f aca="false">Julho!C19/'Calculo '!C15</f>
        <v>0.0246841951572215</v>
      </c>
      <c r="C15" s="55" t="n">
        <f aca="false">Julho!$C$37-Julho!$D$37+E15</f>
        <v>100778.280764493</v>
      </c>
      <c r="D15" s="56" t="n">
        <f aca="false">SUMIF(Julho!C19:D19,"&lt;&gt;",Julho!D19:E19)</f>
        <v>0</v>
      </c>
      <c r="E15" s="56" t="n">
        <f aca="false">SUM($D$2:D15)</f>
        <v>0</v>
      </c>
    </row>
    <row r="16" customFormat="false" ht="15" hidden="false" customHeight="false" outlineLevel="0" collapsed="false">
      <c r="A16" s="56" t="n">
        <v>15</v>
      </c>
      <c r="B16" s="54" t="n">
        <f aca="false">Julho!C20/'Calculo '!C16</f>
        <v>0.0300441409259683</v>
      </c>
      <c r="C16" s="55" t="n">
        <f aca="false">Julho!$C$37-Julho!$D$37+E16</f>
        <v>100778.280764493</v>
      </c>
      <c r="D16" s="56" t="n">
        <f aca="false">SUMIF(Julho!C20:D20,"&lt;&gt;",Julho!D20:E20)</f>
        <v>0</v>
      </c>
      <c r="E16" s="56" t="n">
        <f aca="false">SUM($D$2:D16)</f>
        <v>0</v>
      </c>
    </row>
    <row r="17" customFormat="false" ht="15" hidden="false" customHeight="false" outlineLevel="0" collapsed="false">
      <c r="A17" s="56" t="n">
        <v>16</v>
      </c>
      <c r="B17" s="54" t="n">
        <f aca="false">Julho!C21/'Calculo '!C17</f>
        <v>0.026366695580068</v>
      </c>
      <c r="C17" s="55" t="n">
        <f aca="false">Julho!$C$37-Julho!$D$37+E17</f>
        <v>100778.280764493</v>
      </c>
      <c r="D17" s="56" t="n">
        <f aca="false">SUMIF(Julho!C21:D21,"&lt;&gt;",Julho!D21:E21)</f>
        <v>0</v>
      </c>
      <c r="E17" s="56" t="n">
        <f aca="false">SUM($D$2:D17)</f>
        <v>0</v>
      </c>
    </row>
    <row r="18" customFormat="false" ht="15" hidden="false" customHeight="false" outlineLevel="0" collapsed="false">
      <c r="A18" s="56" t="n">
        <v>17</v>
      </c>
      <c r="B18" s="54" t="n">
        <f aca="false">Julho!C22/'Calculo '!C18</f>
        <v>0.0302055460453193</v>
      </c>
      <c r="C18" s="55" t="n">
        <f aca="false">Julho!$C$37-Julho!$D$37+E18</f>
        <v>100778.280764493</v>
      </c>
      <c r="D18" s="56" t="n">
        <f aca="false">SUMIF(Julho!C22:D22,"&lt;&gt;",Julho!D22:E22)</f>
        <v>0</v>
      </c>
      <c r="E18" s="56" t="n">
        <f aca="false">SUM($D$2:D18)</f>
        <v>0</v>
      </c>
    </row>
    <row r="19" customFormat="false" ht="15" hidden="false" customHeight="false" outlineLevel="0" collapsed="false">
      <c r="A19" s="56" t="n">
        <v>18</v>
      </c>
      <c r="B19" s="54" t="n">
        <f aca="false">Julho!C23/'Calculo '!C19</f>
        <v>0.0485583753385234</v>
      </c>
      <c r="C19" s="55" t="n">
        <f aca="false">Julho!$C$37-Julho!$D$37+E19</f>
        <v>100778.280764493</v>
      </c>
      <c r="D19" s="56" t="n">
        <f aca="false">SUMIF(Julho!C23:D23,"&lt;&gt;",Julho!D23:E23)</f>
        <v>0</v>
      </c>
      <c r="E19" s="56" t="n">
        <f aca="false">SUM($D$2:D19)</f>
        <v>0</v>
      </c>
    </row>
    <row r="20" customFormat="false" ht="15" hidden="false" customHeight="false" outlineLevel="0" collapsed="false">
      <c r="A20" s="56" t="n">
        <v>19</v>
      </c>
      <c r="B20" s="54" t="n">
        <f aca="false">Julho!C24/'Calculo '!C20</f>
        <v>0.0464760611724675</v>
      </c>
      <c r="C20" s="55" t="n">
        <f aca="false">Julho!$C$37-Julho!$D$37+E20</f>
        <v>100778.280764493</v>
      </c>
      <c r="D20" s="56" t="n">
        <f aca="false">SUMIF(Julho!C24:D24,"&lt;&gt;",Julho!D24:E24)</f>
        <v>0</v>
      </c>
      <c r="E20" s="56" t="n">
        <f aca="false">SUM($D$2:D20)</f>
        <v>0</v>
      </c>
    </row>
    <row r="21" customFormat="false" ht="15.75" hidden="false" customHeight="true" outlineLevel="0" collapsed="false">
      <c r="A21" s="56" t="n">
        <v>20</v>
      </c>
      <c r="B21" s="54" t="n">
        <f aca="false">Julho!C25/'Calculo '!C21</f>
        <v>0.0220108901425932</v>
      </c>
      <c r="C21" s="55" t="n">
        <f aca="false">Julho!$C$37-Julho!$D$37+E21</f>
        <v>100778.280764493</v>
      </c>
      <c r="D21" s="56" t="n">
        <f aca="false">SUMIF(Julho!C25:D25,"&lt;&gt;",Julho!D25:E25)</f>
        <v>0</v>
      </c>
      <c r="E21" s="56" t="n">
        <f aca="false">SUM($D$2:D21)</f>
        <v>0</v>
      </c>
    </row>
    <row r="22" customFormat="false" ht="15.75" hidden="false" customHeight="true" outlineLevel="0" collapsed="false">
      <c r="A22" s="56" t="n">
        <v>21</v>
      </c>
      <c r="B22" s="54" t="n">
        <f aca="false">Julho!C26/'Calculo '!C22</f>
        <v>0.0246841951572215</v>
      </c>
      <c r="C22" s="55" t="n">
        <f aca="false">Julho!$C$37-Julho!$D$37+E22</f>
        <v>100778.280764493</v>
      </c>
      <c r="D22" s="56" t="n">
        <f aca="false">SUMIF(Julho!C26:D26,"&lt;&gt;",Julho!D26:E26)</f>
        <v>0</v>
      </c>
      <c r="E22" s="56" t="n">
        <f aca="false">SUM($D$2:D22)</f>
        <v>0</v>
      </c>
    </row>
    <row r="23" customFormat="false" ht="15.75" hidden="false" customHeight="true" outlineLevel="0" collapsed="false">
      <c r="A23" s="56" t="n">
        <v>22</v>
      </c>
      <c r="B23" s="54" t="n">
        <f aca="false">Julho!C27/'Calculo '!C23</f>
        <v>0.0300441409259683</v>
      </c>
      <c r="C23" s="55" t="n">
        <f aca="false">Julho!$C$37-Julho!$D$37+E23</f>
        <v>100778.280764493</v>
      </c>
      <c r="D23" s="56" t="n">
        <f aca="false">SUMIF(Julho!C27:D27,"&lt;&gt;",Julho!D27:E27)</f>
        <v>0</v>
      </c>
      <c r="E23" s="56" t="n">
        <f aca="false">SUM($D$2:D23)</f>
        <v>0</v>
      </c>
    </row>
    <row r="24" customFormat="false" ht="15.75" hidden="false" customHeight="true" outlineLevel="0" collapsed="false">
      <c r="A24" s="56" t="n">
        <v>23</v>
      </c>
      <c r="B24" s="54" t="n">
        <f aca="false">Julho!C28/'Calculo '!C24</f>
        <v>0.026366695580068</v>
      </c>
      <c r="C24" s="55" t="n">
        <f aca="false">Julho!$C$37-Julho!$D$37+E24</f>
        <v>100778.280764493</v>
      </c>
      <c r="D24" s="56" t="n">
        <f aca="false">SUMIF(Julho!C28:D28,"&lt;&gt;",Julho!D28:E28)</f>
        <v>0</v>
      </c>
      <c r="E24" s="56" t="n">
        <f aca="false">SUM($D$2:D24)</f>
        <v>0</v>
      </c>
    </row>
    <row r="25" customFormat="false" ht="15.75" hidden="false" customHeight="true" outlineLevel="0" collapsed="false">
      <c r="A25" s="56" t="n">
        <v>24</v>
      </c>
      <c r="B25" s="54" t="n">
        <f aca="false">Julho!C29/'Calculo '!C25</f>
        <v>0.0302055460453193</v>
      </c>
      <c r="C25" s="55" t="n">
        <f aca="false">Julho!$C$37-Julho!$D$37+E25</f>
        <v>100778.280764493</v>
      </c>
      <c r="D25" s="56" t="n">
        <f aca="false">SUMIF(Julho!C29:D29,"&lt;&gt;",Julho!D29:E29)</f>
        <v>0</v>
      </c>
      <c r="E25" s="56" t="n">
        <f aca="false">SUM($D$2:D25)</f>
        <v>0</v>
      </c>
    </row>
    <row r="26" customFormat="false" ht="15.75" hidden="false" customHeight="true" outlineLevel="0" collapsed="false">
      <c r="A26" s="56" t="n">
        <v>25</v>
      </c>
      <c r="B26" s="54" t="n">
        <f aca="false">Julho!C30/'Calculo '!C26</f>
        <v>0.0485583753385234</v>
      </c>
      <c r="C26" s="55" t="n">
        <f aca="false">Julho!$C$37-Julho!$D$37+E26</f>
        <v>100778.280764493</v>
      </c>
      <c r="D26" s="56" t="n">
        <f aca="false">SUMIF(Julho!C30:D30,"&lt;&gt;",Julho!D30:E30)</f>
        <v>0</v>
      </c>
      <c r="E26" s="56" t="n">
        <f aca="false">SUM($D$2:D26)</f>
        <v>0</v>
      </c>
    </row>
    <row r="27" customFormat="false" ht="15.75" hidden="false" customHeight="true" outlineLevel="0" collapsed="false">
      <c r="A27" s="56" t="n">
        <v>26</v>
      </c>
      <c r="B27" s="54" t="n">
        <f aca="false">Julho!C31/'Calculo '!C27</f>
        <v>0.0464760611724675</v>
      </c>
      <c r="C27" s="55" t="n">
        <f aca="false">Julho!$C$37-Julho!$D$37+E27</f>
        <v>100778.280764493</v>
      </c>
      <c r="D27" s="56" t="n">
        <f aca="false">SUMIF(Julho!C31:D31,"&lt;&gt;",Julho!D31:E31)</f>
        <v>0</v>
      </c>
      <c r="E27" s="56" t="n">
        <f aca="false">SUM($D$2:D27)</f>
        <v>0</v>
      </c>
    </row>
    <row r="28" customFormat="false" ht="15.75" hidden="false" customHeight="true" outlineLevel="0" collapsed="false">
      <c r="A28" s="56" t="n">
        <v>27</v>
      </c>
      <c r="B28" s="54" t="n">
        <f aca="false">Julho!C32/'Calculo '!C28</f>
        <v>0.0220108901425932</v>
      </c>
      <c r="C28" s="55" t="n">
        <f aca="false">Julho!$C$37-Julho!$D$37+E28</f>
        <v>100778.280764493</v>
      </c>
      <c r="D28" s="56" t="n">
        <f aca="false">SUMIF(Julho!C32:D32,"&lt;&gt;",Julho!D32:E32)</f>
        <v>0</v>
      </c>
      <c r="E28" s="56" t="n">
        <f aca="false">SUM($D$2:D28)</f>
        <v>0</v>
      </c>
    </row>
    <row r="29" customFormat="false" ht="15.75" hidden="false" customHeight="true" outlineLevel="0" collapsed="false">
      <c r="A29" s="56" t="n">
        <v>28</v>
      </c>
      <c r="B29" s="54" t="n">
        <f aca="false">Julho!C33/'Calculo '!C29</f>
        <v>0.0246841951572215</v>
      </c>
      <c r="C29" s="55" t="n">
        <f aca="false">Julho!$C$37-Julho!$D$37+E29</f>
        <v>100778.280764493</v>
      </c>
      <c r="D29" s="56" t="n">
        <f aca="false">SUMIF(Julho!C33:D33,"&lt;&gt;",Julho!D33:E33)</f>
        <v>0</v>
      </c>
      <c r="E29" s="56" t="n">
        <f aca="false">SUM($D$2:D29)</f>
        <v>0</v>
      </c>
    </row>
    <row r="30" customFormat="false" ht="15.75" hidden="false" customHeight="true" outlineLevel="0" collapsed="false">
      <c r="A30" s="56" t="n">
        <v>29</v>
      </c>
      <c r="B30" s="54" t="n">
        <f aca="false">Julho!C34/'Calculo '!C30</f>
        <v>0.0300441409259683</v>
      </c>
      <c r="C30" s="55" t="n">
        <f aca="false">Julho!$C$37-Julho!$D$37+E30</f>
        <v>100778.280764493</v>
      </c>
      <c r="D30" s="56" t="n">
        <f aca="false">SUMIF(Julho!C34:D34,"&lt;&gt;",Julho!D34:E34)</f>
        <v>0</v>
      </c>
      <c r="E30" s="56" t="n">
        <f aca="false">SUM($D$2:D30)</f>
        <v>0</v>
      </c>
    </row>
    <row r="31" customFormat="false" ht="15.75" hidden="false" customHeight="true" outlineLevel="0" collapsed="false">
      <c r="A31" s="56" t="n">
        <v>30</v>
      </c>
      <c r="B31" s="54" t="n">
        <f aca="false">Julho!C35/'Calculo '!C31</f>
        <v>0.026366695580068</v>
      </c>
      <c r="C31" s="55" t="n">
        <f aca="false">Julho!$C$37-Julho!$D$37+E31</f>
        <v>100778.280764493</v>
      </c>
      <c r="D31" s="56" t="n">
        <f aca="false">SUMIF(Julho!C35:D35,"&lt;&gt;",Julho!D35:E35)</f>
        <v>0</v>
      </c>
      <c r="E31" s="56" t="n">
        <f aca="false">SUM($D$2:D31)</f>
        <v>0</v>
      </c>
    </row>
    <row r="32" customFormat="false" ht="15.75" hidden="false" customHeight="true" outlineLevel="0" collapsed="false">
      <c r="A32" s="56" t="n">
        <v>31</v>
      </c>
      <c r="B32" s="54" t="n">
        <f aca="false">Julho!C36/'Calculo '!C32</f>
        <v>0.0302055460453193</v>
      </c>
      <c r="C32" s="55" t="n">
        <f aca="false">Julho!$C$37-Julho!$D$37+E32</f>
        <v>100778.280764493</v>
      </c>
      <c r="D32" s="56" t="n">
        <f aca="false">SUMIF(Julho!C36:D36,"&lt;&gt;",Julho!D36:E36)</f>
        <v>0</v>
      </c>
      <c r="E32" s="56" t="n">
        <f aca="false">SUM($D$2:D32)</f>
        <v>0</v>
      </c>
    </row>
    <row r="33" customFormat="false" ht="15.75" hidden="false" customHeight="true" outlineLevel="0" collapsed="false">
      <c r="B33" s="54"/>
      <c r="C33" s="55"/>
      <c r="D33" s="56" t="n">
        <f aca="false">SUM(D2:D32)</f>
        <v>0</v>
      </c>
    </row>
    <row r="34" customFormat="false" ht="15.75" hidden="false" customHeight="true" outlineLevel="0" collapsed="false">
      <c r="B34" s="54"/>
      <c r="C34" s="55"/>
    </row>
    <row r="35" customFormat="false" ht="15.75" hidden="false" customHeight="true" outlineLevel="0" collapsed="false">
      <c r="B35" s="54"/>
      <c r="C35" s="55"/>
    </row>
    <row r="36" customFormat="false" ht="15.75" hidden="false" customHeight="true" outlineLevel="0" collapsed="false">
      <c r="B36" s="54"/>
      <c r="C36" s="55"/>
    </row>
    <row r="37" customFormat="false" ht="15.75" hidden="false" customHeight="true" outlineLevel="0" collapsed="false">
      <c r="B37" s="54"/>
      <c r="C37" s="55"/>
    </row>
    <row r="38" customFormat="false" ht="15.75" hidden="false" customHeight="true" outlineLevel="0" collapsed="false">
      <c r="B38" s="54"/>
      <c r="C38" s="55"/>
    </row>
    <row r="39" customFormat="false" ht="15.75" hidden="false" customHeight="true" outlineLevel="0" collapsed="false">
      <c r="B39" s="54"/>
      <c r="C39" s="55"/>
    </row>
    <row r="40" customFormat="false" ht="15.75" hidden="false" customHeight="true" outlineLevel="0" collapsed="false">
      <c r="B40" s="54"/>
      <c r="C40" s="55"/>
    </row>
    <row r="41" customFormat="false" ht="15.75" hidden="false" customHeight="true" outlineLevel="0" collapsed="false">
      <c r="B41" s="54"/>
      <c r="C41" s="55"/>
    </row>
    <row r="42" customFormat="false" ht="15.75" hidden="false" customHeight="true" outlineLevel="0" collapsed="false">
      <c r="B42" s="54"/>
      <c r="C42" s="55"/>
    </row>
    <row r="43" customFormat="false" ht="15.75" hidden="false" customHeight="true" outlineLevel="0" collapsed="false">
      <c r="B43" s="54"/>
      <c r="C43" s="55"/>
    </row>
    <row r="44" customFormat="false" ht="15.75" hidden="false" customHeight="true" outlineLevel="0" collapsed="false">
      <c r="B44" s="54"/>
      <c r="C44" s="55"/>
    </row>
    <row r="45" customFormat="false" ht="15.75" hidden="false" customHeight="true" outlineLevel="0" collapsed="false">
      <c r="B45" s="54"/>
      <c r="C45" s="55"/>
    </row>
    <row r="46" customFormat="false" ht="15.75" hidden="false" customHeight="true" outlineLevel="0" collapsed="false">
      <c r="B46" s="54"/>
      <c r="C46" s="55"/>
    </row>
    <row r="47" customFormat="false" ht="15.75" hidden="false" customHeight="true" outlineLevel="0" collapsed="false">
      <c r="B47" s="54"/>
      <c r="C47" s="55"/>
    </row>
    <row r="48" customFormat="false" ht="15.75" hidden="false" customHeight="true" outlineLevel="0" collapsed="false">
      <c r="B48" s="54"/>
      <c r="C48" s="55"/>
    </row>
    <row r="49" customFormat="false" ht="15.75" hidden="false" customHeight="true" outlineLevel="0" collapsed="false">
      <c r="B49" s="54"/>
      <c r="C49" s="55"/>
    </row>
    <row r="50" customFormat="false" ht="15.75" hidden="false" customHeight="true" outlineLevel="0" collapsed="false">
      <c r="B50" s="54"/>
      <c r="C50" s="55"/>
    </row>
    <row r="51" customFormat="false" ht="15.75" hidden="false" customHeight="true" outlineLevel="0" collapsed="false">
      <c r="B51" s="54"/>
      <c r="C51" s="55"/>
    </row>
    <row r="52" customFormat="false" ht="15.75" hidden="false" customHeight="true" outlineLevel="0" collapsed="false">
      <c r="B52" s="54"/>
      <c r="C52" s="55"/>
    </row>
    <row r="53" customFormat="false" ht="15.75" hidden="false" customHeight="true" outlineLevel="0" collapsed="false">
      <c r="B53" s="54"/>
      <c r="C53" s="55"/>
    </row>
    <row r="54" customFormat="false" ht="15.75" hidden="false" customHeight="true" outlineLevel="0" collapsed="false">
      <c r="B54" s="54"/>
      <c r="C54" s="55"/>
    </row>
    <row r="55" customFormat="false" ht="15.75" hidden="false" customHeight="true" outlineLevel="0" collapsed="false">
      <c r="B55" s="54"/>
      <c r="C55" s="55"/>
    </row>
    <row r="56" customFormat="false" ht="15.75" hidden="false" customHeight="true" outlineLevel="0" collapsed="false">
      <c r="B56" s="54"/>
      <c r="C56" s="55"/>
    </row>
    <row r="57" customFormat="false" ht="15.75" hidden="false" customHeight="true" outlineLevel="0" collapsed="false">
      <c r="B57" s="54"/>
      <c r="C57" s="55"/>
    </row>
    <row r="58" customFormat="false" ht="15.75" hidden="false" customHeight="true" outlineLevel="0" collapsed="false">
      <c r="B58" s="54"/>
      <c r="C58" s="55"/>
    </row>
    <row r="59" customFormat="false" ht="15.75" hidden="false" customHeight="true" outlineLevel="0" collapsed="false">
      <c r="B59" s="54"/>
      <c r="C59" s="55"/>
    </row>
    <row r="60" customFormat="false" ht="15.75" hidden="false" customHeight="true" outlineLevel="0" collapsed="false">
      <c r="B60" s="54"/>
      <c r="C60" s="55"/>
    </row>
    <row r="61" customFormat="false" ht="15.75" hidden="false" customHeight="true" outlineLevel="0" collapsed="false">
      <c r="B61" s="54"/>
      <c r="C61" s="55"/>
    </row>
    <row r="62" customFormat="false" ht="15.75" hidden="false" customHeight="true" outlineLevel="0" collapsed="false">
      <c r="B62" s="54"/>
      <c r="C62" s="55"/>
    </row>
    <row r="63" customFormat="false" ht="15.75" hidden="false" customHeight="true" outlineLevel="0" collapsed="false">
      <c r="B63" s="54"/>
      <c r="C63" s="55"/>
    </row>
    <row r="64" customFormat="false" ht="15.75" hidden="false" customHeight="true" outlineLevel="0" collapsed="false">
      <c r="B64" s="54"/>
      <c r="C64" s="55"/>
    </row>
    <row r="65" customFormat="false" ht="15.75" hidden="false" customHeight="true" outlineLevel="0" collapsed="false">
      <c r="B65" s="54"/>
      <c r="C65" s="55"/>
    </row>
    <row r="66" customFormat="false" ht="15.75" hidden="false" customHeight="true" outlineLevel="0" collapsed="false">
      <c r="B66" s="54"/>
      <c r="C66" s="55"/>
    </row>
    <row r="67" customFormat="false" ht="15.75" hidden="false" customHeight="true" outlineLevel="0" collapsed="false">
      <c r="B67" s="54"/>
      <c r="C67" s="55"/>
    </row>
    <row r="68" customFormat="false" ht="15.75" hidden="false" customHeight="true" outlineLevel="0" collapsed="false">
      <c r="B68" s="54"/>
      <c r="C68" s="55"/>
    </row>
    <row r="69" customFormat="false" ht="15.75" hidden="false" customHeight="true" outlineLevel="0" collapsed="false">
      <c r="B69" s="54"/>
      <c r="C69" s="55"/>
    </row>
    <row r="70" customFormat="false" ht="15.75" hidden="false" customHeight="true" outlineLevel="0" collapsed="false">
      <c r="B70" s="54"/>
      <c r="C70" s="55"/>
    </row>
    <row r="71" customFormat="false" ht="15.75" hidden="false" customHeight="true" outlineLevel="0" collapsed="false">
      <c r="B71" s="54"/>
      <c r="C71" s="55"/>
    </row>
    <row r="72" customFormat="false" ht="15.75" hidden="false" customHeight="true" outlineLevel="0" collapsed="false">
      <c r="B72" s="54"/>
      <c r="C72" s="55"/>
    </row>
    <row r="73" customFormat="false" ht="15.75" hidden="false" customHeight="true" outlineLevel="0" collapsed="false">
      <c r="B73" s="54"/>
      <c r="C73" s="55"/>
    </row>
    <row r="74" customFormat="false" ht="15.75" hidden="false" customHeight="true" outlineLevel="0" collapsed="false">
      <c r="B74" s="54"/>
      <c r="C74" s="55"/>
    </row>
    <row r="75" customFormat="false" ht="15.75" hidden="false" customHeight="true" outlineLevel="0" collapsed="false">
      <c r="B75" s="54"/>
      <c r="C75" s="55"/>
    </row>
    <row r="76" customFormat="false" ht="15.75" hidden="false" customHeight="true" outlineLevel="0" collapsed="false">
      <c r="B76" s="54"/>
      <c r="C76" s="55"/>
    </row>
    <row r="77" customFormat="false" ht="15.75" hidden="false" customHeight="true" outlineLevel="0" collapsed="false">
      <c r="B77" s="54"/>
      <c r="C77" s="55"/>
    </row>
    <row r="78" customFormat="false" ht="15.75" hidden="false" customHeight="true" outlineLevel="0" collapsed="false">
      <c r="B78" s="54"/>
      <c r="C78" s="55"/>
    </row>
    <row r="79" customFormat="false" ht="15.75" hidden="false" customHeight="true" outlineLevel="0" collapsed="false">
      <c r="B79" s="54"/>
      <c r="C79" s="55"/>
    </row>
    <row r="80" customFormat="false" ht="15.75" hidden="false" customHeight="true" outlineLevel="0" collapsed="false">
      <c r="B80" s="54"/>
      <c r="C80" s="55"/>
    </row>
    <row r="81" customFormat="false" ht="15.75" hidden="false" customHeight="true" outlineLevel="0" collapsed="false">
      <c r="B81" s="54"/>
      <c r="C81" s="55"/>
    </row>
    <row r="82" customFormat="false" ht="15.75" hidden="false" customHeight="true" outlineLevel="0" collapsed="false">
      <c r="B82" s="54"/>
      <c r="C82" s="55"/>
    </row>
    <row r="83" customFormat="false" ht="15.75" hidden="false" customHeight="true" outlineLevel="0" collapsed="false">
      <c r="B83" s="54"/>
      <c r="C83" s="55"/>
    </row>
    <row r="84" customFormat="false" ht="15.75" hidden="false" customHeight="true" outlineLevel="0" collapsed="false">
      <c r="B84" s="54"/>
      <c r="C84" s="55"/>
    </row>
    <row r="85" customFormat="false" ht="15.75" hidden="false" customHeight="true" outlineLevel="0" collapsed="false">
      <c r="B85" s="54"/>
      <c r="C85" s="55"/>
    </row>
    <row r="86" customFormat="false" ht="15.75" hidden="false" customHeight="true" outlineLevel="0" collapsed="false">
      <c r="B86" s="54"/>
      <c r="C86" s="55"/>
    </row>
    <row r="87" customFormat="false" ht="15.75" hidden="false" customHeight="true" outlineLevel="0" collapsed="false">
      <c r="B87" s="54"/>
      <c r="C87" s="55"/>
    </row>
    <row r="88" customFormat="false" ht="15.75" hidden="false" customHeight="true" outlineLevel="0" collapsed="false">
      <c r="B88" s="54"/>
      <c r="C88" s="55"/>
    </row>
    <row r="89" customFormat="false" ht="15.75" hidden="false" customHeight="true" outlineLevel="0" collapsed="false">
      <c r="B89" s="54"/>
      <c r="C89" s="55"/>
    </row>
    <row r="90" customFormat="false" ht="15.75" hidden="false" customHeight="true" outlineLevel="0" collapsed="false">
      <c r="B90" s="54"/>
      <c r="C90" s="55"/>
    </row>
    <row r="91" customFormat="false" ht="15.75" hidden="false" customHeight="true" outlineLevel="0" collapsed="false">
      <c r="B91" s="54"/>
      <c r="C91" s="55"/>
    </row>
    <row r="92" customFormat="false" ht="15.75" hidden="false" customHeight="true" outlineLevel="0" collapsed="false">
      <c r="B92" s="54"/>
      <c r="C92" s="55"/>
    </row>
    <row r="93" customFormat="false" ht="15.75" hidden="false" customHeight="true" outlineLevel="0" collapsed="false">
      <c r="B93" s="54"/>
      <c r="C93" s="55"/>
    </row>
    <row r="94" customFormat="false" ht="15.75" hidden="false" customHeight="true" outlineLevel="0" collapsed="false">
      <c r="B94" s="54"/>
      <c r="C94" s="55"/>
    </row>
    <row r="95" customFormat="false" ht="15.75" hidden="false" customHeight="true" outlineLevel="0" collapsed="false">
      <c r="B95" s="54"/>
      <c r="C95" s="55"/>
    </row>
    <row r="96" customFormat="false" ht="15.75" hidden="false" customHeight="true" outlineLevel="0" collapsed="false">
      <c r="B96" s="54"/>
      <c r="C96" s="55"/>
    </row>
    <row r="97" customFormat="false" ht="15.75" hidden="false" customHeight="true" outlineLevel="0" collapsed="false">
      <c r="B97" s="54"/>
      <c r="C97" s="55"/>
    </row>
    <row r="98" customFormat="false" ht="15.75" hidden="false" customHeight="true" outlineLevel="0" collapsed="false">
      <c r="B98" s="54"/>
      <c r="C98" s="55"/>
    </row>
    <row r="99" customFormat="false" ht="15.75" hidden="false" customHeight="true" outlineLevel="0" collapsed="false">
      <c r="B99" s="54"/>
      <c r="C99" s="55"/>
    </row>
    <row r="100" customFormat="false" ht="15.75" hidden="false" customHeight="true" outlineLevel="0" collapsed="false">
      <c r="B100" s="54"/>
      <c r="C100" s="55"/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V272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pane xSplit="1" ySplit="0" topLeftCell="B40" activePane="topRight" state="frozen"/>
      <selection pane="topLeft" activeCell="A40" activeCellId="0" sqref="A40"/>
      <selection pane="topRight" activeCell="F66" activeCellId="0" sqref="F6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8.85"/>
    <col collapsed="false" customWidth="true" hidden="false" outlineLevel="0" max="3" min="2" style="0" width="13.28"/>
    <col collapsed="false" customWidth="true" hidden="false" outlineLevel="0" max="4" min="4" style="0" width="10.14"/>
    <col collapsed="false" customWidth="true" hidden="false" outlineLevel="0" max="7" min="5" style="0" width="13.28"/>
    <col collapsed="false" customWidth="true" hidden="false" outlineLevel="0" max="30" min="8" style="0" width="10.14"/>
    <col collapsed="false" customWidth="true" hidden="false" outlineLevel="0" max="31" min="31" style="0" width="11.57"/>
    <col collapsed="false" customWidth="true" hidden="false" outlineLevel="0" max="34" min="32" style="0" width="13.28"/>
    <col collapsed="false" customWidth="true" hidden="false" outlineLevel="0" max="44" min="35" style="0" width="15.14"/>
    <col collapsed="false" customWidth="true" hidden="false" outlineLevel="0" max="46" min="45" style="0" width="10.43"/>
    <col collapsed="false" customWidth="true" hidden="false" outlineLevel="0" max="63" min="47" style="0" width="10.14"/>
    <col collapsed="false" customWidth="true" hidden="false" outlineLevel="0" max="64" min="64" style="0" width="11"/>
    <col collapsed="false" customWidth="true" hidden="false" outlineLevel="0" max="75" min="65" style="0" width="10.14"/>
    <col collapsed="false" customWidth="true" hidden="false" outlineLevel="0" max="80" min="76" style="0" width="6.71"/>
    <col collapsed="false" customWidth="true" hidden="false" outlineLevel="0" max="95" min="81" style="0" width="10.14"/>
    <col collapsed="false" customWidth="true" hidden="false" outlineLevel="0" max="100" min="96" style="0" width="9.57"/>
    <col collapsed="false" customWidth="true" hidden="false" outlineLevel="0" max="105" min="101" style="0" width="10.14"/>
    <col collapsed="false" customWidth="true" hidden="false" outlineLevel="0" max="110" min="106" style="0" width="6"/>
    <col collapsed="false" customWidth="true" hidden="false" outlineLevel="0" max="130" min="111" style="0" width="10.14"/>
    <col collapsed="false" customWidth="true" hidden="false" outlineLevel="0" max="150" min="131" style="0" width="9.57"/>
    <col collapsed="false" customWidth="true" hidden="false" outlineLevel="0" max="165" min="151" style="0" width="11"/>
    <col collapsed="false" customWidth="true" hidden="false" outlineLevel="0" max="170" min="166" style="0" width="12.57"/>
  </cols>
  <sheetData>
    <row r="2" customFormat="false" ht="15" hidden="false" customHeight="false" outlineLevel="0" collapsed="false">
      <c r="A2" s="56" t="s">
        <v>25</v>
      </c>
      <c r="B2" s="56" t="s">
        <v>26</v>
      </c>
      <c r="C2" s="56" t="s">
        <v>27</v>
      </c>
      <c r="D2" s="56" t="s">
        <v>28</v>
      </c>
      <c r="E2" s="56" t="s">
        <v>29</v>
      </c>
      <c r="F2" s="56" t="s">
        <v>30</v>
      </c>
      <c r="G2" s="56" t="s">
        <v>31</v>
      </c>
      <c r="H2" s="56" t="s">
        <v>32</v>
      </c>
      <c r="I2" s="56" t="s">
        <v>33</v>
      </c>
      <c r="J2" s="56" t="s">
        <v>34</v>
      </c>
      <c r="K2" s="56" t="s">
        <v>35</v>
      </c>
      <c r="L2" s="56" t="s">
        <v>36</v>
      </c>
      <c r="M2" s="56" t="s">
        <v>37</v>
      </c>
      <c r="N2" s="56" t="s">
        <v>26</v>
      </c>
      <c r="O2" s="56" t="s">
        <v>27</v>
      </c>
      <c r="P2" s="56" t="s">
        <v>28</v>
      </c>
      <c r="Q2" s="56" t="s">
        <v>29</v>
      </c>
      <c r="R2" s="56" t="s">
        <v>38</v>
      </c>
      <c r="S2" s="56" t="s">
        <v>39</v>
      </c>
      <c r="T2" s="56" t="s">
        <v>40</v>
      </c>
      <c r="U2" s="56" t="s">
        <v>41</v>
      </c>
      <c r="V2" s="56" t="s">
        <v>42</v>
      </c>
      <c r="W2" s="56" t="s">
        <v>43</v>
      </c>
      <c r="X2" s="56" t="s">
        <v>36</v>
      </c>
      <c r="Y2" s="56" t="s">
        <v>37</v>
      </c>
      <c r="Z2" s="56" t="s">
        <v>26</v>
      </c>
      <c r="AA2" s="56" t="s">
        <v>27</v>
      </c>
      <c r="AB2" s="56" t="s">
        <v>28</v>
      </c>
      <c r="AC2" s="56" t="s">
        <v>29</v>
      </c>
      <c r="AD2" s="56" t="s">
        <v>38</v>
      </c>
      <c r="AE2" s="56" t="s">
        <v>39</v>
      </c>
      <c r="AF2" s="56" t="s">
        <v>40</v>
      </c>
      <c r="AG2" s="56" t="s">
        <v>41</v>
      </c>
      <c r="AH2" s="56" t="s">
        <v>42</v>
      </c>
      <c r="AI2" s="56" t="s">
        <v>43</v>
      </c>
      <c r="AJ2" s="56" t="s">
        <v>36</v>
      </c>
      <c r="AK2" s="56" t="s">
        <v>37</v>
      </c>
      <c r="AL2" s="56" t="s">
        <v>26</v>
      </c>
      <c r="AM2" s="56" t="s">
        <v>27</v>
      </c>
      <c r="AN2" s="56" t="s">
        <v>28</v>
      </c>
      <c r="AO2" s="56" t="s">
        <v>29</v>
      </c>
      <c r="AP2" s="56" t="s">
        <v>38</v>
      </c>
    </row>
    <row r="3" customFormat="false" ht="15.75" hidden="false" customHeight="false" outlineLevel="0" collapsed="false">
      <c r="A3" s="56" t="s">
        <v>18</v>
      </c>
      <c r="H3" s="57"/>
      <c r="I3" s="57"/>
      <c r="J3" s="57"/>
      <c r="M3" s="58" t="n">
        <v>4329</v>
      </c>
      <c r="P3" s="58" t="n">
        <v>2397.07</v>
      </c>
      <c r="S3" s="58" t="n">
        <v>2267.5</v>
      </c>
      <c r="AG3" s="10" t="n">
        <v>3205.01</v>
      </c>
      <c r="AJ3" s="10" t="n">
        <v>3679</v>
      </c>
      <c r="AP3" s="8" t="n">
        <v>2459.5</v>
      </c>
    </row>
    <row r="4" customFormat="false" ht="15.75" hidden="false" customHeight="false" outlineLevel="0" collapsed="false">
      <c r="A4" s="56" t="s">
        <v>20</v>
      </c>
      <c r="H4" s="58" t="n">
        <v>4263</v>
      </c>
      <c r="I4" s="57"/>
      <c r="J4" s="57"/>
      <c r="M4" s="58" t="n">
        <v>3538.5</v>
      </c>
      <c r="P4" s="58" t="n">
        <v>3490.12</v>
      </c>
      <c r="S4" s="58" t="n">
        <v>3462.5</v>
      </c>
      <c r="V4" s="58" t="n">
        <v>2892.04</v>
      </c>
      <c r="AB4" s="58" t="n">
        <v>2152.27</v>
      </c>
      <c r="AE4" s="58" t="n">
        <v>1645.71</v>
      </c>
      <c r="AG4" s="10" t="n">
        <v>2619</v>
      </c>
      <c r="AJ4" s="10" t="n">
        <v>2380</v>
      </c>
      <c r="AP4" s="8" t="n">
        <v>2137.5</v>
      </c>
    </row>
    <row r="5" customFormat="false" ht="15.75" hidden="false" customHeight="false" outlineLevel="0" collapsed="false">
      <c r="A5" s="56" t="s">
        <v>7</v>
      </c>
      <c r="B5" s="59" t="n">
        <v>3910.81</v>
      </c>
      <c r="C5" s="59" t="n">
        <v>2935</v>
      </c>
      <c r="H5" s="58" t="n">
        <v>3839.5</v>
      </c>
      <c r="I5" s="57"/>
      <c r="J5" s="57"/>
      <c r="K5" s="58" t="n">
        <v>3877.5</v>
      </c>
      <c r="M5" s="58" t="n">
        <v>3345.5</v>
      </c>
      <c r="P5" s="58" t="n">
        <v>2457.5</v>
      </c>
      <c r="Q5" s="60" t="n">
        <v>3035.03</v>
      </c>
      <c r="S5" s="58" t="n">
        <v>3879.05</v>
      </c>
      <c r="V5" s="58" t="n">
        <v>3157.5</v>
      </c>
      <c r="AB5" s="58" t="n">
        <v>2586.75</v>
      </c>
      <c r="AE5" s="58" t="n">
        <v>2767.5</v>
      </c>
      <c r="AG5" s="10" t="n">
        <v>2668.51</v>
      </c>
      <c r="AH5" s="10" t="n">
        <v>1866.01</v>
      </c>
      <c r="AJ5" s="10" t="n">
        <v>3015.02</v>
      </c>
      <c r="AN5" s="8" t="n">
        <v>1454</v>
      </c>
      <c r="AP5" s="8" t="n">
        <v>3578</v>
      </c>
    </row>
    <row r="6" customFormat="false" ht="15.75" hidden="false" customHeight="false" outlineLevel="0" collapsed="false">
      <c r="A6" s="56" t="s">
        <v>9</v>
      </c>
      <c r="B6" s="58" t="n">
        <v>2479.32</v>
      </c>
      <c r="C6" s="58" t="n">
        <v>2988</v>
      </c>
      <c r="E6" s="58" t="n">
        <v>3650</v>
      </c>
      <c r="F6" s="58" t="n">
        <v>2119</v>
      </c>
      <c r="H6" s="58" t="n">
        <v>4248.04</v>
      </c>
      <c r="I6" s="57"/>
      <c r="J6" s="57"/>
      <c r="K6" s="58" t="n">
        <v>6601.53</v>
      </c>
      <c r="M6" s="58" t="n">
        <v>2988.51</v>
      </c>
      <c r="N6" s="58" t="n">
        <v>4371.62</v>
      </c>
      <c r="P6" s="58" t="n">
        <v>4090.51</v>
      </c>
      <c r="Q6" s="60" t="n">
        <v>2139.02</v>
      </c>
      <c r="S6" s="58" t="n">
        <v>3291</v>
      </c>
      <c r="T6" s="58" t="n">
        <v>2321.08</v>
      </c>
      <c r="V6" s="58" t="n">
        <v>2555.52</v>
      </c>
      <c r="Y6" s="58" t="n">
        <v>2801.25</v>
      </c>
      <c r="AB6" s="58" t="n">
        <v>1924.01</v>
      </c>
      <c r="AC6" s="58" t="n">
        <v>4156.01</v>
      </c>
      <c r="AE6" s="58" t="n">
        <v>2230.26</v>
      </c>
      <c r="AG6" s="10" t="n">
        <v>2248.51</v>
      </c>
      <c r="AH6" s="10" t="n">
        <v>3476.5</v>
      </c>
      <c r="AJ6" s="10" t="n">
        <v>3900.5</v>
      </c>
      <c r="AK6" s="8" t="n">
        <v>2674</v>
      </c>
      <c r="AN6" s="8" t="n">
        <v>1926.5</v>
      </c>
      <c r="AP6" s="8" t="n">
        <v>5026</v>
      </c>
    </row>
    <row r="7" customFormat="false" ht="15.75" hidden="false" customHeight="false" outlineLevel="0" collapsed="false">
      <c r="A7" s="56" t="s">
        <v>11</v>
      </c>
      <c r="B7" s="58" t="n">
        <v>4701.23</v>
      </c>
      <c r="C7" s="58" t="n">
        <v>3214</v>
      </c>
      <c r="E7" s="58" t="n">
        <v>2156</v>
      </c>
      <c r="F7" s="58" t="n">
        <v>2262</v>
      </c>
      <c r="H7" s="58" t="n">
        <v>4161.51</v>
      </c>
      <c r="I7" s="58" t="n">
        <v>2905.5</v>
      </c>
      <c r="J7" s="57"/>
      <c r="K7" s="58" t="n">
        <v>3818.04</v>
      </c>
      <c r="L7" s="58" t="n">
        <v>4192.5</v>
      </c>
      <c r="M7" s="58" t="n">
        <v>3696</v>
      </c>
      <c r="N7" s="58" t="n">
        <v>4086.52</v>
      </c>
      <c r="O7" s="58" t="n">
        <v>5660.52</v>
      </c>
      <c r="P7" s="58" t="n">
        <v>3500.52</v>
      </c>
      <c r="Q7" s="60" t="n">
        <v>1931.02</v>
      </c>
      <c r="S7" s="58" t="n">
        <v>2809.01</v>
      </c>
      <c r="T7" s="58" t="n">
        <v>2473.12</v>
      </c>
      <c r="V7" s="58" t="n">
        <v>6734.42</v>
      </c>
      <c r="W7" s="58" t="n">
        <v>2717.01</v>
      </c>
      <c r="Y7" s="58" t="n">
        <v>2801.51</v>
      </c>
      <c r="AB7" s="58" t="n">
        <v>2322.27</v>
      </c>
      <c r="AC7" s="58" t="n">
        <v>3059.75</v>
      </c>
      <c r="AE7" s="58" t="n">
        <v>3552.76</v>
      </c>
      <c r="AF7" s="58" t="n">
        <v>1669</v>
      </c>
      <c r="AG7" s="10" t="n">
        <v>1568</v>
      </c>
      <c r="AH7" s="10" t="n">
        <v>5068.51</v>
      </c>
      <c r="AJ7" s="10" t="n">
        <v>2976.01</v>
      </c>
      <c r="AK7" s="8" t="n">
        <v>4655.5</v>
      </c>
      <c r="AN7" s="8" t="n">
        <v>2649</v>
      </c>
      <c r="AO7" s="8" t="n">
        <v>6527.5</v>
      </c>
      <c r="AP7" s="8" t="n">
        <v>4458</v>
      </c>
    </row>
    <row r="8" customFormat="false" ht="15.75" hidden="false" customHeight="false" outlineLevel="0" collapsed="false">
      <c r="A8" s="56" t="s">
        <v>13</v>
      </c>
      <c r="B8" s="58" t="n">
        <v>6723.1</v>
      </c>
      <c r="C8" s="58" t="n">
        <v>4675.5</v>
      </c>
      <c r="D8" s="58" t="n">
        <v>4355</v>
      </c>
      <c r="E8" s="58" t="n">
        <v>2190</v>
      </c>
      <c r="F8" s="58" t="n">
        <v>4739.5</v>
      </c>
      <c r="G8" s="61" t="n">
        <v>3232.5</v>
      </c>
      <c r="H8" s="58" t="n">
        <v>6064</v>
      </c>
      <c r="I8" s="58" t="n">
        <v>5756</v>
      </c>
      <c r="J8" s="57"/>
      <c r="K8" s="58" t="n">
        <v>2671</v>
      </c>
      <c r="L8" s="58" t="n">
        <v>5839.52</v>
      </c>
      <c r="M8" s="58" t="n">
        <v>5441.55</v>
      </c>
      <c r="N8" s="58" t="n">
        <v>8196.01</v>
      </c>
      <c r="O8" s="58" t="n">
        <v>7785.52</v>
      </c>
      <c r="P8" s="58" t="n">
        <v>5998.03</v>
      </c>
      <c r="Q8" s="60" t="n">
        <v>2095.53</v>
      </c>
      <c r="R8" s="58" t="n">
        <v>2436.04</v>
      </c>
      <c r="S8" s="58" t="n">
        <v>3387.03</v>
      </c>
      <c r="T8" s="58" t="n">
        <v>2189.54</v>
      </c>
      <c r="V8" s="58" t="n">
        <v>7501.06</v>
      </c>
      <c r="W8" s="58" t="n">
        <v>3755.01</v>
      </c>
      <c r="Y8" s="58" t="n">
        <v>4097.75</v>
      </c>
      <c r="Z8" s="58" t="n">
        <v>5627.25</v>
      </c>
      <c r="AA8" s="58" t="n">
        <v>4655</v>
      </c>
      <c r="AB8" s="58" t="n">
        <v>2719.76</v>
      </c>
      <c r="AC8" s="58" t="n">
        <v>3847.75</v>
      </c>
      <c r="AE8" s="58" t="n">
        <v>2805</v>
      </c>
      <c r="AF8" s="58" t="n">
        <v>3284.15</v>
      </c>
      <c r="AG8" s="10" t="n">
        <v>3452.51</v>
      </c>
      <c r="AH8" s="10" t="n">
        <v>5921.51</v>
      </c>
      <c r="AI8" s="10" t="n">
        <v>4149.5</v>
      </c>
      <c r="AJ8" s="10" t="n">
        <v>4037.5</v>
      </c>
      <c r="AK8" s="8" t="n">
        <v>5409.5</v>
      </c>
      <c r="AN8" s="8" t="n">
        <v>4476.5</v>
      </c>
      <c r="AO8" s="8" t="n">
        <v>3245.5</v>
      </c>
      <c r="AP8" s="8" t="n">
        <v>4887.5</v>
      </c>
    </row>
    <row r="9" customFormat="false" ht="15.75" hidden="false" customHeight="false" outlineLevel="0" collapsed="false">
      <c r="A9" s="56" t="s">
        <v>17</v>
      </c>
      <c r="B9" s="58" t="n">
        <v>5052.11</v>
      </c>
      <c r="C9" s="58" t="n">
        <v>5030</v>
      </c>
      <c r="D9" s="58" t="n">
        <v>4468.5</v>
      </c>
      <c r="E9" s="58" t="n">
        <v>2986</v>
      </c>
      <c r="F9" s="58" t="n">
        <v>3980.5</v>
      </c>
      <c r="G9" s="62" t="n">
        <v>3942.5</v>
      </c>
      <c r="H9" s="58" t="n">
        <v>4671.02</v>
      </c>
      <c r="I9" s="62" t="n">
        <v>4584.01</v>
      </c>
      <c r="J9" s="58" t="n">
        <v>7505</v>
      </c>
      <c r="K9" s="58" t="n">
        <v>4268.02</v>
      </c>
      <c r="L9" s="58" t="n">
        <v>4675.5</v>
      </c>
      <c r="M9" s="58" t="n">
        <v>4982</v>
      </c>
      <c r="N9" s="58" t="n">
        <v>6234.5</v>
      </c>
      <c r="O9" s="58" t="n">
        <v>7755.51</v>
      </c>
      <c r="P9" s="58" t="n">
        <v>4436.54</v>
      </c>
      <c r="Q9" s="60" t="n">
        <v>3064.05</v>
      </c>
      <c r="R9" s="58" t="n">
        <v>1830</v>
      </c>
      <c r="S9" s="58" t="n">
        <v>3640</v>
      </c>
      <c r="T9" s="58" t="n">
        <v>2452.03</v>
      </c>
      <c r="U9" s="58" t="n">
        <v>2102</v>
      </c>
      <c r="V9" s="58" t="n">
        <v>5339.56</v>
      </c>
      <c r="W9" s="58" t="n">
        <v>2770.5</v>
      </c>
      <c r="X9" s="58" t="n">
        <v>3470.75</v>
      </c>
      <c r="Y9" s="58" t="n">
        <v>3457.81</v>
      </c>
      <c r="Z9" s="58" t="n">
        <v>4641.26</v>
      </c>
      <c r="AA9" s="58" t="n">
        <v>3510.53</v>
      </c>
      <c r="AB9" s="58" t="n">
        <v>3215.25</v>
      </c>
      <c r="AC9" s="58" t="n">
        <v>3424.27</v>
      </c>
      <c r="AD9" s="58" t="n">
        <v>4180.83</v>
      </c>
      <c r="AE9" s="58" t="n">
        <v>3583.24</v>
      </c>
      <c r="AF9" s="58" t="n">
        <v>3413.9</v>
      </c>
      <c r="AG9" s="10" t="n">
        <v>3052.5</v>
      </c>
      <c r="AH9" s="10" t="n">
        <v>6536.4</v>
      </c>
      <c r="AI9" s="10" t="n">
        <v>3339.9</v>
      </c>
      <c r="AJ9" s="10" t="n">
        <v>3251.01</v>
      </c>
      <c r="AK9" s="8" t="n">
        <v>5360.01</v>
      </c>
      <c r="AL9" s="8" t="n">
        <v>6048.5</v>
      </c>
      <c r="AM9" s="8" t="n">
        <v>3500.5</v>
      </c>
      <c r="AN9" s="8" t="n">
        <v>2620.5</v>
      </c>
      <c r="AO9" s="8" t="n">
        <v>6348</v>
      </c>
      <c r="AP9" s="8" t="n">
        <v>2861.5</v>
      </c>
    </row>
    <row r="10" customFormat="false" ht="15.75" hidden="false" customHeight="false" outlineLevel="0" collapsed="false">
      <c r="A10" s="56" t="s">
        <v>18</v>
      </c>
      <c r="B10" s="58" t="n">
        <v>1924.1</v>
      </c>
      <c r="C10" s="58" t="n">
        <v>1963.5</v>
      </c>
      <c r="D10" s="58" t="n">
        <v>2511</v>
      </c>
      <c r="E10" s="58" t="n">
        <v>2641.5</v>
      </c>
      <c r="F10" s="58" t="n">
        <v>2131.5</v>
      </c>
      <c r="G10" s="58" t="n">
        <v>2610.5</v>
      </c>
      <c r="H10" s="58" t="n">
        <v>2794.5</v>
      </c>
      <c r="I10" s="62" t="n">
        <v>2163.51</v>
      </c>
      <c r="J10" s="58" t="n">
        <v>4109.51</v>
      </c>
      <c r="K10" s="58" t="n">
        <v>1906</v>
      </c>
      <c r="L10" s="58" t="n">
        <v>3183.53</v>
      </c>
      <c r="M10" s="58" t="n">
        <v>2145.5</v>
      </c>
      <c r="N10" s="58" t="n">
        <v>3300.63</v>
      </c>
      <c r="O10" s="58" t="n">
        <v>3477.02</v>
      </c>
      <c r="P10" s="58" t="n">
        <v>2049</v>
      </c>
      <c r="Q10" s="60" t="n">
        <v>1989.07</v>
      </c>
      <c r="R10" s="58" t="n">
        <v>2002.58</v>
      </c>
      <c r="S10" s="58" t="n">
        <v>3263.04</v>
      </c>
      <c r="T10" s="58" t="n">
        <v>2502.51</v>
      </c>
      <c r="U10" s="58" t="n">
        <v>2738.03</v>
      </c>
      <c r="V10" s="58" t="n">
        <v>4573.11</v>
      </c>
      <c r="W10" s="58" t="n">
        <v>2204.51</v>
      </c>
      <c r="X10" s="58" t="n">
        <v>3672.88</v>
      </c>
      <c r="Y10" s="58" t="n">
        <v>2484</v>
      </c>
      <c r="Z10" s="58" t="n">
        <v>2798.26</v>
      </c>
      <c r="AA10" s="58" t="n">
        <v>4028.76</v>
      </c>
      <c r="AB10" s="58" t="n">
        <v>2848.51</v>
      </c>
      <c r="AC10" s="58" t="n">
        <v>2122.81</v>
      </c>
      <c r="AD10" s="58" t="n">
        <v>1793</v>
      </c>
      <c r="AE10" s="58" t="n">
        <v>3226</v>
      </c>
      <c r="AF10" s="58" t="n">
        <v>3270</v>
      </c>
      <c r="AG10" s="10" t="n">
        <v>2873.5</v>
      </c>
      <c r="AH10" s="10" t="n">
        <v>4037.02</v>
      </c>
      <c r="AI10" s="10" t="n">
        <v>2232</v>
      </c>
      <c r="AJ10" s="10" t="n">
        <v>2690.5</v>
      </c>
      <c r="AK10" s="8" t="n">
        <v>2465</v>
      </c>
      <c r="AL10" s="8" t="n">
        <v>2024.5</v>
      </c>
      <c r="AM10" s="8" t="n">
        <v>1674.5</v>
      </c>
      <c r="AN10" s="8" t="n">
        <v>1649.01</v>
      </c>
      <c r="AO10" s="8" t="n">
        <v>2540</v>
      </c>
      <c r="AP10" s="8" t="n">
        <v>1740.5</v>
      </c>
    </row>
    <row r="11" customFormat="false" ht="15.75" hidden="false" customHeight="false" outlineLevel="0" collapsed="false">
      <c r="A11" s="56" t="s">
        <v>20</v>
      </c>
      <c r="B11" s="58" t="n">
        <v>2705.14</v>
      </c>
      <c r="C11" s="58" t="n">
        <v>2828.5</v>
      </c>
      <c r="D11" s="58" t="n">
        <v>2393.5</v>
      </c>
      <c r="E11" s="58" t="n">
        <v>4765</v>
      </c>
      <c r="F11" s="58" t="n">
        <v>1955.5</v>
      </c>
      <c r="G11" s="58" t="n">
        <v>2460</v>
      </c>
      <c r="H11" s="58" t="n">
        <v>3748.51</v>
      </c>
      <c r="I11" s="62" t="n">
        <v>5262.5</v>
      </c>
      <c r="J11" s="58" t="n">
        <v>4020</v>
      </c>
      <c r="K11" s="58" t="n">
        <v>3034.5</v>
      </c>
      <c r="L11" s="58" t="n">
        <v>2779</v>
      </c>
      <c r="M11" s="58" t="n">
        <v>2845</v>
      </c>
      <c r="N11" s="58" t="n">
        <v>4051.51</v>
      </c>
      <c r="O11" s="58" t="n">
        <v>4959.07</v>
      </c>
      <c r="P11" s="58" t="n">
        <v>3501.51</v>
      </c>
      <c r="Q11" s="60" t="n">
        <v>2624.08</v>
      </c>
      <c r="R11" s="58" t="n">
        <v>2648.57</v>
      </c>
      <c r="S11" s="58" t="n">
        <v>2942.51</v>
      </c>
      <c r="T11" s="58" t="n">
        <v>2849.68</v>
      </c>
      <c r="U11" s="58" t="n">
        <v>2823.51</v>
      </c>
      <c r="V11" s="58" t="n">
        <v>4419.53</v>
      </c>
      <c r="W11" s="58" t="n">
        <v>3185.51</v>
      </c>
      <c r="X11" s="58" t="n">
        <v>3349.51</v>
      </c>
      <c r="Y11" s="58" t="n">
        <v>3829.85</v>
      </c>
      <c r="Z11" s="58" t="n">
        <v>3123.29</v>
      </c>
      <c r="AA11" s="58" t="n">
        <v>3807.25</v>
      </c>
      <c r="AB11" s="58" t="n">
        <v>1988.75</v>
      </c>
      <c r="AC11" s="58" t="n">
        <v>2852.76</v>
      </c>
      <c r="AD11" s="58" t="n">
        <v>1909.01</v>
      </c>
      <c r="AE11" s="58" t="n">
        <v>1465.51</v>
      </c>
      <c r="AF11" s="58" t="n">
        <v>2543.54</v>
      </c>
      <c r="AG11" s="10" t="n">
        <v>1530.5</v>
      </c>
      <c r="AH11" s="10" t="n">
        <v>5475.01</v>
      </c>
      <c r="AI11" s="10" t="n">
        <v>1153.25</v>
      </c>
      <c r="AJ11" s="10" t="n">
        <v>3328.5</v>
      </c>
      <c r="AK11" s="8" t="n">
        <v>2457.51</v>
      </c>
      <c r="AL11" s="8" t="n">
        <v>2597.5</v>
      </c>
      <c r="AM11" s="8" t="n">
        <v>3251</v>
      </c>
      <c r="AN11" s="8" t="n">
        <v>1514</v>
      </c>
      <c r="AO11" s="8" t="n">
        <v>1781</v>
      </c>
      <c r="AP11" s="8" t="n">
        <v>2010</v>
      </c>
    </row>
    <row r="12" customFormat="false" ht="15.75" hidden="false" customHeight="false" outlineLevel="0" collapsed="false">
      <c r="A12" s="56" t="s">
        <v>7</v>
      </c>
      <c r="B12" s="58" t="n">
        <v>2399.9</v>
      </c>
      <c r="C12" s="58" t="n">
        <v>3716</v>
      </c>
      <c r="D12" s="58" t="n">
        <v>2022.5</v>
      </c>
      <c r="E12" s="58" t="n">
        <v>4180.5</v>
      </c>
      <c r="F12" s="58" t="n">
        <v>3011.5</v>
      </c>
      <c r="G12" s="58" t="n">
        <v>2996.5</v>
      </c>
      <c r="H12" s="58" t="n">
        <v>3880.5</v>
      </c>
      <c r="I12" s="62" t="n">
        <v>2961.01</v>
      </c>
      <c r="J12" s="58" t="n">
        <v>3080.5</v>
      </c>
      <c r="K12" s="58" t="n">
        <v>3194.02</v>
      </c>
      <c r="L12" s="58" t="n">
        <v>2817.5</v>
      </c>
      <c r="M12" s="58" t="n">
        <v>3176.51</v>
      </c>
      <c r="N12" s="58" t="n">
        <v>3850</v>
      </c>
      <c r="O12" s="58" t="n">
        <v>4626.51</v>
      </c>
      <c r="P12" s="58" t="n">
        <v>3855.04</v>
      </c>
      <c r="Q12" s="60" t="n">
        <v>2410.55</v>
      </c>
      <c r="R12" s="58" t="n">
        <v>2459.08</v>
      </c>
      <c r="S12" s="63" t="n">
        <v>2437.05</v>
      </c>
      <c r="T12" s="58" t="n">
        <v>1872.57</v>
      </c>
      <c r="U12" s="58" t="n">
        <v>2639.54</v>
      </c>
      <c r="V12" s="58" t="n">
        <v>4276.57</v>
      </c>
      <c r="W12" s="58" t="n">
        <v>2361.06</v>
      </c>
      <c r="X12" s="58" t="n">
        <v>2933</v>
      </c>
      <c r="Y12" s="58" t="n">
        <v>4595.25</v>
      </c>
      <c r="Z12" s="58" t="n">
        <v>3196.5</v>
      </c>
      <c r="AA12" s="58" t="n">
        <v>3865.78</v>
      </c>
      <c r="AB12" s="58" t="n">
        <v>2392</v>
      </c>
      <c r="AC12" s="58" t="n">
        <v>2315.5</v>
      </c>
      <c r="AD12" s="58" t="n">
        <v>2132.76</v>
      </c>
      <c r="AE12" s="58" t="n">
        <v>2495.5</v>
      </c>
      <c r="AF12" s="58" t="n">
        <v>2101.01</v>
      </c>
      <c r="AG12" s="10" t="n">
        <v>2097.29</v>
      </c>
      <c r="AH12" s="10" t="n">
        <v>7205.5</v>
      </c>
      <c r="AI12" s="10" t="n">
        <v>2083.5</v>
      </c>
      <c r="AJ12" s="10" t="n">
        <v>2934.01</v>
      </c>
      <c r="AK12" s="8" t="n">
        <v>3659</v>
      </c>
      <c r="AL12" s="8" t="n">
        <v>2935.91</v>
      </c>
      <c r="AM12" s="8" t="n">
        <v>2356</v>
      </c>
      <c r="AN12" s="8" t="n">
        <v>2793</v>
      </c>
      <c r="AO12" s="8" t="n">
        <v>3419.5</v>
      </c>
      <c r="AP12" s="36" t="n">
        <v>3002.02</v>
      </c>
    </row>
    <row r="13" customFormat="false" ht="15.75" hidden="false" customHeight="false" outlineLevel="0" collapsed="false">
      <c r="A13" s="56" t="s">
        <v>9</v>
      </c>
      <c r="B13" s="58" t="n">
        <v>3475.38</v>
      </c>
      <c r="C13" s="58" t="n">
        <v>2288.5</v>
      </c>
      <c r="D13" s="58" t="n">
        <v>2776</v>
      </c>
      <c r="E13" s="58" t="n">
        <v>1962</v>
      </c>
      <c r="F13" s="58" t="n">
        <v>4296</v>
      </c>
      <c r="G13" s="58" t="n">
        <v>2261.52</v>
      </c>
      <c r="H13" s="58" t="n">
        <v>2187.51</v>
      </c>
      <c r="I13" s="62" t="n">
        <v>4629</v>
      </c>
      <c r="J13" s="58" t="n">
        <v>2868.01</v>
      </c>
      <c r="K13" s="58" t="n">
        <v>3569.03</v>
      </c>
      <c r="L13" s="58" t="n">
        <v>3965.53</v>
      </c>
      <c r="M13" s="58" t="n">
        <v>3624.04</v>
      </c>
      <c r="N13" s="58" t="n">
        <v>2967.53</v>
      </c>
      <c r="O13" s="58" t="n">
        <v>4090.51</v>
      </c>
      <c r="P13" s="58" t="n">
        <v>4783.54</v>
      </c>
      <c r="Q13" s="60" t="n">
        <v>2216.54</v>
      </c>
      <c r="R13" s="58" t="n">
        <v>1952.52</v>
      </c>
      <c r="S13" s="58" t="n">
        <v>3111.5</v>
      </c>
      <c r="T13" s="58" t="n">
        <v>3432.62</v>
      </c>
      <c r="U13" s="58" t="n">
        <v>1626.01</v>
      </c>
      <c r="V13" s="58" t="n">
        <v>4676.55</v>
      </c>
      <c r="W13" s="58" t="n">
        <v>5680.52</v>
      </c>
      <c r="X13" s="58" t="n">
        <v>2908</v>
      </c>
      <c r="Y13" s="58" t="n">
        <v>3879.5</v>
      </c>
      <c r="Z13" s="58" t="n">
        <v>4774.27</v>
      </c>
      <c r="AA13" s="58" t="n">
        <v>4310.26</v>
      </c>
      <c r="AB13" s="58" t="n">
        <v>2441.01</v>
      </c>
      <c r="AC13" s="58" t="n">
        <v>2369.26</v>
      </c>
      <c r="AD13" s="58" t="n">
        <v>1690.26</v>
      </c>
      <c r="AE13" s="58" t="n">
        <v>3523.02</v>
      </c>
      <c r="AF13" s="58" t="n">
        <v>2547.42</v>
      </c>
      <c r="AG13" s="10" t="n">
        <v>2250</v>
      </c>
      <c r="AH13" s="10" t="n">
        <v>7879.81</v>
      </c>
      <c r="AI13" s="10" t="n">
        <v>3006.26</v>
      </c>
      <c r="AJ13" s="10" t="n">
        <v>2524</v>
      </c>
      <c r="AK13" s="8" t="n">
        <v>2701.5</v>
      </c>
      <c r="AL13" s="8" t="n">
        <v>3079.5</v>
      </c>
      <c r="AM13" s="8" t="n">
        <v>1897.5</v>
      </c>
      <c r="AN13" s="8" t="n">
        <v>2022.5</v>
      </c>
      <c r="AO13" s="8" t="n">
        <v>3043.5</v>
      </c>
      <c r="AP13" s="36" t="n">
        <v>1727.5</v>
      </c>
    </row>
    <row r="14" customFormat="false" ht="15.75" hidden="false" customHeight="false" outlineLevel="0" collapsed="false">
      <c r="A14" s="56" t="s">
        <v>11</v>
      </c>
      <c r="B14" s="58" t="n">
        <v>4031.92</v>
      </c>
      <c r="C14" s="58" t="n">
        <v>3160.5</v>
      </c>
      <c r="D14" s="58" t="n">
        <v>4051.5</v>
      </c>
      <c r="E14" s="58" t="n">
        <v>2081.5</v>
      </c>
      <c r="F14" s="58" t="n">
        <v>3098.5</v>
      </c>
      <c r="G14" s="58" t="n">
        <v>2952.01</v>
      </c>
      <c r="H14" s="58" t="n">
        <v>2958</v>
      </c>
      <c r="I14" s="62" t="n">
        <v>3444</v>
      </c>
      <c r="J14" s="58" t="n">
        <v>3473.51</v>
      </c>
      <c r="K14" s="58" t="n">
        <v>3728.02</v>
      </c>
      <c r="L14" s="58" t="n">
        <v>3688</v>
      </c>
      <c r="M14" s="58" t="n">
        <v>3733.53</v>
      </c>
      <c r="N14" s="58" t="n">
        <v>3114.53</v>
      </c>
      <c r="O14" s="58" t="n">
        <v>6856.5</v>
      </c>
      <c r="P14" s="58" t="n">
        <v>3759.54</v>
      </c>
      <c r="Q14" s="64" t="n">
        <v>2109.57</v>
      </c>
      <c r="R14" s="58" t="n">
        <v>2451.6</v>
      </c>
      <c r="S14" s="58" t="n">
        <v>2512.56</v>
      </c>
      <c r="T14" s="58" t="n">
        <v>2343.63</v>
      </c>
      <c r="U14" s="58" t="n">
        <v>2656.51</v>
      </c>
      <c r="V14" s="58" t="n">
        <v>4732.57</v>
      </c>
      <c r="W14" s="58" t="n">
        <v>6553.12</v>
      </c>
      <c r="X14" s="58" t="n">
        <v>2907.85</v>
      </c>
      <c r="Y14" s="58" t="n">
        <v>2982.75</v>
      </c>
      <c r="Z14" s="58" t="n">
        <v>5214.75</v>
      </c>
      <c r="AA14" s="58" t="n">
        <v>4051.5</v>
      </c>
      <c r="AB14" s="58" t="n">
        <v>3065.81</v>
      </c>
      <c r="AC14" s="58" t="n">
        <v>2985.26</v>
      </c>
      <c r="AD14" s="58" t="n">
        <v>2939.29</v>
      </c>
      <c r="AE14" s="58" t="n">
        <v>3388.5</v>
      </c>
      <c r="AF14" s="58" t="n">
        <v>1932.5</v>
      </c>
      <c r="AG14" s="10" t="n">
        <v>2097.93</v>
      </c>
      <c r="AH14" s="10" t="n">
        <v>6661.76</v>
      </c>
      <c r="AI14" s="10" t="n">
        <v>3303.75</v>
      </c>
      <c r="AJ14" s="10" t="n">
        <v>2651</v>
      </c>
      <c r="AK14" s="8" t="n">
        <v>3397.5</v>
      </c>
      <c r="AL14" s="8" t="n">
        <v>2657.5</v>
      </c>
      <c r="AM14" s="8" t="n">
        <v>2130.5</v>
      </c>
      <c r="AN14" s="36" t="n">
        <v>2358</v>
      </c>
      <c r="AO14" s="8" t="n">
        <v>1952</v>
      </c>
      <c r="AP14" s="8" t="n">
        <v>4061.01</v>
      </c>
    </row>
    <row r="15" customFormat="false" ht="15.75" hidden="false" customHeight="false" outlineLevel="0" collapsed="false">
      <c r="A15" s="56" t="s">
        <v>13</v>
      </c>
      <c r="B15" s="58" t="n">
        <v>5536.05</v>
      </c>
      <c r="C15" s="58" t="n">
        <v>5589.5</v>
      </c>
      <c r="D15" s="58" t="n">
        <v>5664.5</v>
      </c>
      <c r="E15" s="58" t="n">
        <v>2482</v>
      </c>
      <c r="F15" s="58" t="n">
        <v>3258.5</v>
      </c>
      <c r="G15" s="58" t="n">
        <v>2952.01</v>
      </c>
      <c r="H15" s="58" t="n">
        <v>4542.01</v>
      </c>
      <c r="I15" s="62" t="n">
        <v>4754.01</v>
      </c>
      <c r="J15" s="58" t="n">
        <v>6836</v>
      </c>
      <c r="K15" s="58" t="n">
        <v>4232</v>
      </c>
      <c r="L15" s="58" t="n">
        <v>5054.5</v>
      </c>
      <c r="M15" s="58" t="n">
        <v>5902.04</v>
      </c>
      <c r="N15" s="58" t="n">
        <v>4429.56</v>
      </c>
      <c r="O15" s="58" t="n">
        <v>7348.01</v>
      </c>
      <c r="P15" s="58" t="n">
        <v>5133.04</v>
      </c>
      <c r="Q15" s="60" t="n">
        <v>2295.52</v>
      </c>
      <c r="R15" s="58" t="n">
        <v>2090</v>
      </c>
      <c r="S15" s="58" t="n">
        <v>3434.54</v>
      </c>
      <c r="T15" s="58" t="n">
        <v>3024.06</v>
      </c>
      <c r="U15" s="58" t="n">
        <v>3874</v>
      </c>
      <c r="V15" s="58" t="n">
        <v>5725.01</v>
      </c>
      <c r="W15" s="58" t="n">
        <v>8614</v>
      </c>
      <c r="X15" s="58" t="n">
        <v>3392.75</v>
      </c>
      <c r="Y15" s="58" t="n">
        <v>5174</v>
      </c>
      <c r="Z15" s="58" t="n">
        <v>6359.77</v>
      </c>
      <c r="AA15" s="58" t="n">
        <v>6328.75</v>
      </c>
      <c r="AB15" s="58" t="n">
        <v>3065.25</v>
      </c>
      <c r="AC15" s="58" t="n">
        <v>3706.01</v>
      </c>
      <c r="AD15" s="58" t="n">
        <v>3811.75</v>
      </c>
      <c r="AE15" s="58" t="n">
        <v>4008.16</v>
      </c>
      <c r="AF15" s="58" t="n">
        <v>3584.42</v>
      </c>
      <c r="AG15" s="10" t="n">
        <v>3593.8</v>
      </c>
      <c r="AH15" s="10" t="n">
        <v>8622</v>
      </c>
      <c r="AI15" s="10" t="n">
        <v>5357.5</v>
      </c>
      <c r="AJ15" s="10" t="n">
        <v>4429.01</v>
      </c>
      <c r="AK15" s="8" t="n">
        <v>5844.01</v>
      </c>
      <c r="AL15" s="8" t="n">
        <v>5130</v>
      </c>
      <c r="AM15" s="8" t="n">
        <v>3652.01</v>
      </c>
      <c r="AN15" s="36" t="n">
        <v>4750.5</v>
      </c>
      <c r="AO15" s="8" t="n">
        <v>6028.06</v>
      </c>
      <c r="AP15" s="8" t="n">
        <v>1059</v>
      </c>
    </row>
    <row r="16" customFormat="false" ht="15.75" hidden="false" customHeight="false" outlineLevel="0" collapsed="false">
      <c r="A16" s="56" t="s">
        <v>17</v>
      </c>
      <c r="B16" s="57" t="n">
        <v>5480.5</v>
      </c>
      <c r="C16" s="57" t="n">
        <v>4383</v>
      </c>
      <c r="D16" s="58" t="n">
        <v>3716</v>
      </c>
      <c r="E16" s="58" t="n">
        <v>2258</v>
      </c>
      <c r="F16" s="58" t="n">
        <v>3123.5</v>
      </c>
      <c r="G16" s="65" t="n">
        <v>4798.5</v>
      </c>
      <c r="H16" s="58" t="n">
        <v>3816.5</v>
      </c>
      <c r="I16" s="62" t="n">
        <v>3477.13</v>
      </c>
      <c r="J16" s="58" t="n">
        <v>4521</v>
      </c>
      <c r="K16" s="58" t="n">
        <v>6334.5</v>
      </c>
      <c r="L16" s="58" t="n">
        <v>6274</v>
      </c>
      <c r="M16" s="58" t="n">
        <v>6163.5</v>
      </c>
      <c r="N16" s="58" t="n">
        <v>5069.52</v>
      </c>
      <c r="O16" s="58" t="n">
        <v>7547.04</v>
      </c>
      <c r="P16" s="58" t="n">
        <v>4879.5</v>
      </c>
      <c r="Q16" s="60" t="n">
        <v>2134.07</v>
      </c>
      <c r="R16" s="58" t="n">
        <v>1864.57</v>
      </c>
      <c r="S16" s="58" t="n">
        <v>2638.06</v>
      </c>
      <c r="T16" s="58" t="n">
        <v>1972.08</v>
      </c>
      <c r="U16" s="58" t="n">
        <v>2695.5</v>
      </c>
      <c r="V16" s="58" t="n">
        <v>6097.03</v>
      </c>
      <c r="W16" s="58" t="n">
        <v>8551.27</v>
      </c>
      <c r="X16" s="58" t="n">
        <v>2658.25</v>
      </c>
      <c r="Y16" s="58" t="n">
        <v>3844.25</v>
      </c>
      <c r="Z16" s="58" t="n">
        <v>7420.75</v>
      </c>
      <c r="AA16" s="58" t="n">
        <v>5694.01</v>
      </c>
      <c r="AB16" s="58" t="n">
        <v>2786.01</v>
      </c>
      <c r="AC16" s="58" t="n">
        <v>2910.75</v>
      </c>
      <c r="AD16" s="58" t="n">
        <v>4635.29</v>
      </c>
      <c r="AE16" s="58" t="n">
        <v>2679.07</v>
      </c>
      <c r="AF16" s="58" t="n">
        <v>3536.91</v>
      </c>
      <c r="AG16" s="10" t="n">
        <v>2751</v>
      </c>
      <c r="AH16" s="10" t="n">
        <v>7934.7</v>
      </c>
      <c r="AI16" s="10" t="n">
        <v>5717.4</v>
      </c>
      <c r="AJ16" s="10" t="n">
        <v>2350.5</v>
      </c>
      <c r="AK16" s="8" t="n">
        <v>5247</v>
      </c>
      <c r="AL16" s="8" t="n">
        <v>7023.5</v>
      </c>
      <c r="AM16" s="8" t="n">
        <v>3740.5</v>
      </c>
      <c r="AN16" s="8" t="n">
        <v>4090</v>
      </c>
      <c r="AO16" s="36" t="n">
        <v>3823</v>
      </c>
      <c r="AP16" s="8" t="n">
        <v>4069.5</v>
      </c>
    </row>
    <row r="17" customFormat="false" ht="15.75" hidden="false" customHeight="false" outlineLevel="0" collapsed="false">
      <c r="A17" s="56" t="s">
        <v>18</v>
      </c>
      <c r="B17" s="58" t="n">
        <v>4060.5</v>
      </c>
      <c r="C17" s="58" t="n">
        <v>1733</v>
      </c>
      <c r="D17" s="58" t="n">
        <v>2381.5</v>
      </c>
      <c r="E17" s="58" t="n">
        <v>3488</v>
      </c>
      <c r="F17" s="58" t="n">
        <v>2140.5</v>
      </c>
      <c r="G17" s="66" t="n">
        <v>2475</v>
      </c>
      <c r="H17" s="58" t="n">
        <v>4478</v>
      </c>
      <c r="I17" s="62" t="n">
        <v>2128.01</v>
      </c>
      <c r="J17" s="58" t="n">
        <v>1880.5</v>
      </c>
      <c r="K17" s="58" t="n">
        <v>2463.52</v>
      </c>
      <c r="L17" s="58" t="n">
        <v>3076</v>
      </c>
      <c r="M17" s="58" t="n">
        <v>2846.51</v>
      </c>
      <c r="N17" s="58" t="n">
        <v>3647.55</v>
      </c>
      <c r="O17" s="58" t="n">
        <v>3917.53</v>
      </c>
      <c r="P17" s="58" t="n">
        <v>3081.04</v>
      </c>
      <c r="Q17" s="60" t="n">
        <v>3067.68</v>
      </c>
      <c r="R17" s="63" t="n">
        <v>2220.52</v>
      </c>
      <c r="S17" s="58" t="n">
        <v>2651.58</v>
      </c>
      <c r="T17" s="58" t="n">
        <v>2737.7</v>
      </c>
      <c r="U17" s="58" t="n">
        <v>2681.05</v>
      </c>
      <c r="V17" s="58" t="n">
        <v>1874.51</v>
      </c>
      <c r="W17" s="58" t="n">
        <v>4360.75</v>
      </c>
      <c r="X17" s="58" t="n">
        <v>2929.75</v>
      </c>
      <c r="Y17" s="58" t="n">
        <v>2271.75</v>
      </c>
      <c r="Z17" s="58" t="n">
        <v>4290.77</v>
      </c>
      <c r="AA17" s="58" t="n">
        <v>2149.75</v>
      </c>
      <c r="AB17" s="58" t="n">
        <v>2065.51</v>
      </c>
      <c r="AC17" s="58" t="n">
        <v>1417.26</v>
      </c>
      <c r="AD17" s="58" t="n">
        <v>2079.5</v>
      </c>
      <c r="AE17" s="58" t="n">
        <v>1470.52</v>
      </c>
      <c r="AF17" s="58" t="n">
        <v>2170.52</v>
      </c>
      <c r="AG17" s="10" t="n">
        <v>2154.75</v>
      </c>
      <c r="AH17" s="10" t="n">
        <v>1076.01</v>
      </c>
      <c r="AI17" s="10" t="n">
        <v>2552</v>
      </c>
      <c r="AJ17" s="10" t="n">
        <v>1849</v>
      </c>
      <c r="AK17" s="8" t="n">
        <v>2547.5</v>
      </c>
      <c r="AL17" s="8" t="n">
        <v>3695</v>
      </c>
      <c r="AM17" s="8" t="n">
        <v>2013.5</v>
      </c>
      <c r="AN17" s="8" t="n">
        <v>1953</v>
      </c>
      <c r="AO17" s="36" t="n">
        <v>1685</v>
      </c>
      <c r="AP17" s="8" t="n">
        <v>2679.5</v>
      </c>
    </row>
    <row r="18" customFormat="false" ht="15.75" hidden="false" customHeight="false" outlineLevel="0" collapsed="false">
      <c r="A18" s="56" t="s">
        <v>20</v>
      </c>
      <c r="B18" s="58" t="n">
        <v>3627.5</v>
      </c>
      <c r="C18" s="58" t="n">
        <v>3690</v>
      </c>
      <c r="D18" s="58" t="n">
        <v>1988</v>
      </c>
      <c r="E18" s="58" t="n">
        <v>3590.5</v>
      </c>
      <c r="F18" s="58" t="n">
        <v>2227.5</v>
      </c>
      <c r="G18" s="58" t="n">
        <v>3082.52</v>
      </c>
      <c r="H18" s="58" t="n">
        <v>3859</v>
      </c>
      <c r="I18" s="62" t="n">
        <v>2463</v>
      </c>
      <c r="J18" s="58" t="n">
        <v>2136.59</v>
      </c>
      <c r="K18" s="58" t="n">
        <v>3122.5</v>
      </c>
      <c r="L18" s="58" t="n">
        <v>3028.01</v>
      </c>
      <c r="M18" s="58" t="n">
        <v>3897.01</v>
      </c>
      <c r="N18" s="58" t="n">
        <v>4739.5</v>
      </c>
      <c r="O18" s="58" t="n">
        <v>5202</v>
      </c>
      <c r="P18" s="58" t="n">
        <v>3665.53</v>
      </c>
      <c r="Q18" s="60" t="n">
        <v>2663.59</v>
      </c>
      <c r="R18" s="58" t="n">
        <v>1779.11</v>
      </c>
      <c r="S18" s="58" t="n">
        <v>2505.5</v>
      </c>
      <c r="T18" s="58" t="n">
        <v>2837.1</v>
      </c>
      <c r="U18" s="58" t="n">
        <v>2430.52</v>
      </c>
      <c r="V18" s="58" t="n">
        <v>3094.03</v>
      </c>
      <c r="W18" s="58" t="n">
        <v>5184.8</v>
      </c>
      <c r="X18" s="58" t="n">
        <v>2934.75</v>
      </c>
      <c r="Y18" s="58" t="n">
        <v>3730.25</v>
      </c>
      <c r="Z18" s="58" t="n">
        <v>4036</v>
      </c>
      <c r="AA18" s="58" t="n">
        <v>2203.75</v>
      </c>
      <c r="AB18" s="58" t="n">
        <v>1480.76</v>
      </c>
      <c r="AC18" s="58" t="n">
        <v>1942.27</v>
      </c>
      <c r="AD18" s="58" t="n">
        <v>2123.76</v>
      </c>
      <c r="AE18" s="58" t="n">
        <v>2484.4</v>
      </c>
      <c r="AF18" s="58" t="n">
        <v>3052</v>
      </c>
      <c r="AG18" s="10" t="n">
        <v>1894.51</v>
      </c>
      <c r="AH18" s="10" t="n">
        <v>2593.01</v>
      </c>
      <c r="AI18" s="10" t="n">
        <v>3252.5</v>
      </c>
      <c r="AJ18" s="10" t="n">
        <v>1986.51</v>
      </c>
      <c r="AK18" s="8" t="n">
        <v>1989</v>
      </c>
      <c r="AL18" s="36" t="n">
        <v>3054.5</v>
      </c>
      <c r="AM18" s="36" t="n">
        <v>2396</v>
      </c>
      <c r="AN18" s="8" t="n">
        <v>2354.55</v>
      </c>
      <c r="AO18" s="8" t="n">
        <v>2066</v>
      </c>
      <c r="AP18" s="8" t="n">
        <v>1493.5</v>
      </c>
    </row>
    <row r="19" customFormat="false" ht="15.75" hidden="false" customHeight="false" outlineLevel="0" collapsed="false">
      <c r="A19" s="56" t="s">
        <v>7</v>
      </c>
      <c r="B19" s="58" t="n">
        <v>3655.62</v>
      </c>
      <c r="C19" s="58" t="n">
        <v>3608.5</v>
      </c>
      <c r="D19" s="58" t="n">
        <v>2640</v>
      </c>
      <c r="E19" s="58" t="n">
        <v>2005.5</v>
      </c>
      <c r="F19" s="58" t="n">
        <v>3156.51</v>
      </c>
      <c r="G19" s="58" t="n">
        <v>3377.5</v>
      </c>
      <c r="H19" s="58" t="n">
        <v>3860.01</v>
      </c>
      <c r="I19" s="62" t="n">
        <v>3068</v>
      </c>
      <c r="J19" s="58" t="n">
        <v>3153.51</v>
      </c>
      <c r="K19" s="58" t="n">
        <v>8558.5</v>
      </c>
      <c r="L19" s="58" t="n">
        <v>3176</v>
      </c>
      <c r="M19" s="58" t="n">
        <v>3552.02</v>
      </c>
      <c r="N19" s="58" t="n">
        <v>3983.03</v>
      </c>
      <c r="O19" s="58" t="n">
        <v>4511.03</v>
      </c>
      <c r="P19" s="58" t="n">
        <v>3542.58</v>
      </c>
      <c r="Q19" s="60" t="n">
        <v>2751.06</v>
      </c>
      <c r="R19" s="58" t="n">
        <v>3044.03</v>
      </c>
      <c r="S19" s="58" t="n">
        <v>3621.52</v>
      </c>
      <c r="T19" s="58" t="n">
        <v>3064.52</v>
      </c>
      <c r="U19" s="58" t="n">
        <v>2415.5</v>
      </c>
      <c r="V19" s="58" t="n">
        <v>2191.5</v>
      </c>
      <c r="W19" s="58" t="n">
        <v>6840.76</v>
      </c>
      <c r="X19" s="58" t="n">
        <v>2933.75</v>
      </c>
      <c r="Y19" s="58" t="n">
        <v>3770.26</v>
      </c>
      <c r="Z19" s="58" t="n">
        <v>5012.26</v>
      </c>
      <c r="AA19" s="58" t="n">
        <v>3651</v>
      </c>
      <c r="AB19" s="58" t="n">
        <v>3039</v>
      </c>
      <c r="AC19" s="58" t="n">
        <v>2700</v>
      </c>
      <c r="AD19" s="58" t="n">
        <v>2997.75</v>
      </c>
      <c r="AE19" s="58" t="n">
        <v>2447.5</v>
      </c>
      <c r="AF19" s="58" t="n">
        <v>3561.52</v>
      </c>
      <c r="AG19" s="10" t="n">
        <v>2338.51</v>
      </c>
      <c r="AH19" s="10" t="n">
        <v>2003.52</v>
      </c>
      <c r="AI19" s="10" t="n">
        <v>1830.5</v>
      </c>
      <c r="AJ19" s="10" t="n">
        <v>1610</v>
      </c>
      <c r="AK19" s="8" t="n">
        <v>3473.04</v>
      </c>
      <c r="AL19" s="36" t="n">
        <v>4457</v>
      </c>
      <c r="AM19" s="36" t="n">
        <v>5202</v>
      </c>
      <c r="AN19" s="8" t="n">
        <v>2607.51</v>
      </c>
      <c r="AO19" s="8" t="n">
        <v>3548</v>
      </c>
      <c r="AP19" s="8" t="n">
        <v>2014</v>
      </c>
    </row>
    <row r="20" customFormat="false" ht="15.75" hidden="false" customHeight="false" outlineLevel="0" collapsed="false">
      <c r="A20" s="56" t="s">
        <v>9</v>
      </c>
      <c r="B20" s="58" t="n">
        <v>2025</v>
      </c>
      <c r="C20" s="58" t="n">
        <v>2119.5</v>
      </c>
      <c r="D20" s="58" t="n">
        <v>2426.5</v>
      </c>
      <c r="E20" s="58" t="n">
        <v>2120.5</v>
      </c>
      <c r="F20" s="58" t="n">
        <v>2657.51</v>
      </c>
      <c r="G20" s="58" t="n">
        <v>3606.02</v>
      </c>
      <c r="H20" s="58" t="n">
        <v>2902.5</v>
      </c>
      <c r="I20" s="62" t="n">
        <v>2362</v>
      </c>
      <c r="J20" s="58" t="n">
        <v>6548.5</v>
      </c>
      <c r="K20" s="58" t="n">
        <v>2608.5</v>
      </c>
      <c r="L20" s="58" t="n">
        <v>3841.51</v>
      </c>
      <c r="M20" s="58" t="n">
        <v>2445.5</v>
      </c>
      <c r="N20" s="58" t="n">
        <v>4318.03</v>
      </c>
      <c r="O20" s="58" t="n">
        <v>2940.52</v>
      </c>
      <c r="P20" s="58" t="n">
        <v>3078.1</v>
      </c>
      <c r="Q20" s="60" t="n">
        <v>2984.53</v>
      </c>
      <c r="R20" s="58" t="n">
        <v>2266.57</v>
      </c>
      <c r="S20" s="58" t="n">
        <v>2359.5</v>
      </c>
      <c r="T20" s="58" t="n">
        <v>2748.05</v>
      </c>
      <c r="U20" s="58" t="n">
        <v>2605.52</v>
      </c>
      <c r="V20" s="58" t="n">
        <v>2777.54</v>
      </c>
      <c r="W20" s="58" t="n">
        <v>3973.78</v>
      </c>
      <c r="X20" s="58" t="n">
        <v>2501.6</v>
      </c>
      <c r="Y20" s="58" t="n">
        <v>3424.02</v>
      </c>
      <c r="Z20" s="58" t="n">
        <v>4701.75</v>
      </c>
      <c r="AA20" s="58" t="n">
        <v>3370.25</v>
      </c>
      <c r="AB20" s="58" t="n">
        <v>2141.04</v>
      </c>
      <c r="AC20" s="58" t="n">
        <v>2343</v>
      </c>
      <c r="AD20" s="58" t="n">
        <v>3996.29</v>
      </c>
      <c r="AE20" s="58" t="n">
        <v>2762.5</v>
      </c>
      <c r="AF20" s="58" t="n">
        <v>2677.52</v>
      </c>
      <c r="AG20" s="10" t="n">
        <v>1838</v>
      </c>
      <c r="AH20" s="10" t="n">
        <v>2930.52</v>
      </c>
      <c r="AI20" s="10" t="n">
        <v>2209</v>
      </c>
      <c r="AJ20" s="10" t="n">
        <v>2127.5</v>
      </c>
      <c r="AK20" s="8" t="n">
        <v>2970</v>
      </c>
      <c r="AL20" s="8" t="n">
        <v>1257</v>
      </c>
      <c r="AM20" s="8" t="n">
        <v>2442.5</v>
      </c>
      <c r="AN20" s="8" t="n">
        <v>1818.5</v>
      </c>
      <c r="AO20" s="8" t="n">
        <v>1981.53</v>
      </c>
      <c r="AP20" s="8" t="n">
        <v>2269</v>
      </c>
    </row>
    <row r="21" customFormat="false" ht="15.75" hidden="false" customHeight="true" outlineLevel="0" collapsed="false">
      <c r="A21" s="56" t="s">
        <v>11</v>
      </c>
      <c r="B21" s="58" t="n">
        <v>2346.5</v>
      </c>
      <c r="C21" s="58" t="n">
        <v>3235.5</v>
      </c>
      <c r="D21" s="58" t="n">
        <v>6451</v>
      </c>
      <c r="E21" s="58" t="n">
        <v>2688</v>
      </c>
      <c r="F21" s="58" t="n">
        <v>2385.02</v>
      </c>
      <c r="G21" s="58" t="n">
        <v>3082.5</v>
      </c>
      <c r="H21" s="58" t="n">
        <v>2904</v>
      </c>
      <c r="I21" s="62" t="n">
        <v>3320.5</v>
      </c>
      <c r="J21" s="58" t="n">
        <v>6433</v>
      </c>
      <c r="K21" s="58" t="n">
        <v>3220</v>
      </c>
      <c r="L21" s="58" t="n">
        <v>2814.01</v>
      </c>
      <c r="M21" s="58" t="n">
        <v>3505.01</v>
      </c>
      <c r="N21" s="58" t="n">
        <v>5971.5</v>
      </c>
      <c r="O21" s="58" t="n">
        <v>3841.5</v>
      </c>
      <c r="P21" s="58" t="n">
        <v>3223</v>
      </c>
      <c r="Q21" s="60" t="n">
        <v>2660.53</v>
      </c>
      <c r="R21" s="58" t="n">
        <v>3083.04</v>
      </c>
      <c r="S21" s="58" t="n">
        <v>3186.5</v>
      </c>
      <c r="T21" s="58" t="n">
        <v>1730</v>
      </c>
      <c r="U21" s="58" t="n">
        <v>2431.5</v>
      </c>
      <c r="V21" s="58" t="n">
        <v>2639.51</v>
      </c>
      <c r="W21" s="58" t="n">
        <v>8689.26</v>
      </c>
      <c r="X21" s="58" t="n">
        <v>3563.35</v>
      </c>
      <c r="Y21" s="58" t="n">
        <v>2989.75</v>
      </c>
      <c r="Z21" s="58" t="n">
        <v>3829.5</v>
      </c>
      <c r="AA21" s="58" t="n">
        <v>2659.01</v>
      </c>
      <c r="AB21" s="58" t="n">
        <v>1976.5</v>
      </c>
      <c r="AC21" s="58" t="n">
        <v>2099.76</v>
      </c>
      <c r="AD21" s="58" t="n">
        <v>1930.5</v>
      </c>
      <c r="AE21" s="58" t="n">
        <v>2244.27</v>
      </c>
      <c r="AF21" s="58" t="n">
        <v>2163.5</v>
      </c>
      <c r="AG21" s="10" t="n">
        <v>1633.01</v>
      </c>
      <c r="AH21" s="10" t="n">
        <v>1796.5</v>
      </c>
      <c r="AI21" s="10" t="n">
        <v>2235</v>
      </c>
      <c r="AJ21" s="10" t="n">
        <v>1266</v>
      </c>
      <c r="AK21" s="8" t="n">
        <v>3421.5</v>
      </c>
      <c r="AL21" s="8" t="n">
        <v>1471.5</v>
      </c>
      <c r="AM21" s="8" t="n">
        <v>2079</v>
      </c>
      <c r="AN21" s="8" t="n">
        <v>2350.5</v>
      </c>
      <c r="AO21" s="8" t="n">
        <v>1924</v>
      </c>
      <c r="AP21" s="8" t="n">
        <v>1533</v>
      </c>
    </row>
    <row r="22" customFormat="false" ht="15.75" hidden="false" customHeight="true" outlineLevel="0" collapsed="false">
      <c r="A22" s="56" t="s">
        <v>13</v>
      </c>
      <c r="B22" s="58" t="n">
        <v>3673</v>
      </c>
      <c r="C22" s="58" t="n">
        <v>4443</v>
      </c>
      <c r="D22" s="58" t="n">
        <v>4568.5</v>
      </c>
      <c r="E22" s="58" t="n">
        <v>2466.5</v>
      </c>
      <c r="F22" s="58" t="n">
        <v>5408.51</v>
      </c>
      <c r="G22" s="58" t="n">
        <v>3862</v>
      </c>
      <c r="H22" s="58" t="n">
        <v>5272</v>
      </c>
      <c r="I22" s="62" t="n">
        <v>3240.5</v>
      </c>
      <c r="J22" s="58" t="n">
        <v>7005</v>
      </c>
      <c r="K22" s="58" t="n">
        <v>6592.5</v>
      </c>
      <c r="L22" s="58" t="n">
        <v>4268.03</v>
      </c>
      <c r="M22" s="58" t="n">
        <v>6416.01</v>
      </c>
      <c r="N22" s="58" t="n">
        <v>7659.03</v>
      </c>
      <c r="O22" s="58" t="n">
        <v>7511.1</v>
      </c>
      <c r="P22" s="58" t="n">
        <v>4206.56</v>
      </c>
      <c r="Q22" s="60" t="n">
        <v>2511.53</v>
      </c>
      <c r="R22" s="58" t="n">
        <v>2458.84</v>
      </c>
      <c r="S22" s="58" t="n">
        <v>2792.03</v>
      </c>
      <c r="T22" s="58" t="n">
        <v>3810.52</v>
      </c>
      <c r="U22" s="58" t="n">
        <v>3454.51</v>
      </c>
      <c r="V22" s="58" t="n">
        <v>2003.5</v>
      </c>
      <c r="W22" s="58" t="n">
        <v>8072.52</v>
      </c>
      <c r="X22" s="58" t="n">
        <v>2487</v>
      </c>
      <c r="Y22" s="58" t="n">
        <v>5551.52</v>
      </c>
      <c r="Z22" s="58" t="n">
        <v>5093.75</v>
      </c>
      <c r="AA22" s="58" t="n">
        <v>4990.75</v>
      </c>
      <c r="AB22" s="58" t="n">
        <v>3048.54</v>
      </c>
      <c r="AC22" s="58" t="n">
        <v>3700</v>
      </c>
      <c r="AD22" s="58" t="n">
        <v>3716.29</v>
      </c>
      <c r="AE22" s="58" t="n">
        <v>2244.5</v>
      </c>
      <c r="AF22" s="58" t="n">
        <v>3196.9</v>
      </c>
      <c r="AG22" s="10" t="n">
        <v>2976.67</v>
      </c>
      <c r="AH22" s="10" t="n">
        <v>3029.9</v>
      </c>
      <c r="AI22" s="10" t="n">
        <v>3360.5</v>
      </c>
      <c r="AJ22" s="10" t="n">
        <v>3522</v>
      </c>
      <c r="AK22" s="8" t="n">
        <v>5946</v>
      </c>
      <c r="AL22" s="8" t="n">
        <v>3689.5</v>
      </c>
      <c r="AM22" s="8" t="n">
        <v>2945.5</v>
      </c>
      <c r="AN22" s="8" t="n">
        <v>4164.5</v>
      </c>
      <c r="AO22" s="8" t="n">
        <v>6114</v>
      </c>
      <c r="AP22" s="8" t="n">
        <v>4087.5</v>
      </c>
    </row>
    <row r="23" customFormat="false" ht="15.75" hidden="false" customHeight="true" outlineLevel="0" collapsed="false">
      <c r="A23" s="56" t="s">
        <v>17</v>
      </c>
      <c r="B23" s="58" t="n">
        <v>3671</v>
      </c>
      <c r="C23" s="58" t="n">
        <v>3675.5</v>
      </c>
      <c r="D23" s="58" t="n">
        <v>3877.5</v>
      </c>
      <c r="E23" s="58" t="n">
        <v>2666</v>
      </c>
      <c r="F23" s="58" t="n">
        <v>3754.5</v>
      </c>
      <c r="G23" s="65" t="n">
        <v>3467</v>
      </c>
      <c r="H23" s="58" t="n">
        <v>4979.01</v>
      </c>
      <c r="I23" s="62" t="n">
        <v>3979.51</v>
      </c>
      <c r="J23" s="58" t="n">
        <v>6027</v>
      </c>
      <c r="K23" s="58" t="n">
        <v>5898</v>
      </c>
      <c r="L23" s="58" t="n">
        <v>4159.5</v>
      </c>
      <c r="M23" s="58" t="n">
        <v>4838.09</v>
      </c>
      <c r="N23" s="58" t="n">
        <v>7680.01</v>
      </c>
      <c r="O23" s="58" t="n">
        <v>6691.53</v>
      </c>
      <c r="P23" s="58" t="n">
        <v>4285.06</v>
      </c>
      <c r="Q23" s="60" t="n">
        <v>2559.55</v>
      </c>
      <c r="R23" s="58" t="n">
        <v>1920.53</v>
      </c>
      <c r="S23" s="58" t="n">
        <v>2969</v>
      </c>
      <c r="T23" s="58" t="n">
        <v>2209.51</v>
      </c>
      <c r="U23" s="58" t="n">
        <v>2628.53</v>
      </c>
      <c r="V23" s="58" t="n">
        <v>3688.5</v>
      </c>
      <c r="W23" s="58" t="n">
        <v>6901.26</v>
      </c>
      <c r="X23" s="58" t="n">
        <v>3171.75</v>
      </c>
      <c r="Y23" s="58" t="n">
        <v>5499.75</v>
      </c>
      <c r="Z23" s="58" t="n">
        <v>4808.85</v>
      </c>
      <c r="AA23" s="58" t="n">
        <v>4930.04</v>
      </c>
      <c r="AB23" s="58" t="n">
        <v>1359</v>
      </c>
      <c r="AC23" s="58" t="n">
        <v>2456.5</v>
      </c>
      <c r="AD23" s="58" t="n">
        <v>2684.02</v>
      </c>
      <c r="AE23" s="58" t="n">
        <v>2258.2</v>
      </c>
      <c r="AF23" s="58" t="n">
        <v>2686.8</v>
      </c>
      <c r="AG23" s="10" t="n">
        <v>2882.9</v>
      </c>
      <c r="AH23" s="10" t="n">
        <v>4194.4</v>
      </c>
      <c r="AI23" s="10" t="n">
        <v>3765.41</v>
      </c>
      <c r="AJ23" s="10" t="n">
        <v>2802.5</v>
      </c>
      <c r="AK23" s="8" t="n">
        <v>6474</v>
      </c>
      <c r="AL23" s="8" t="n">
        <v>2867.5</v>
      </c>
      <c r="AM23" s="8" t="n">
        <v>2583</v>
      </c>
      <c r="AN23" s="8" t="n">
        <v>4225</v>
      </c>
      <c r="AO23" s="8" t="n">
        <v>4655</v>
      </c>
      <c r="AP23" s="8" t="n">
        <v>5419.5</v>
      </c>
    </row>
    <row r="24" customFormat="false" ht="15.75" hidden="false" customHeight="true" outlineLevel="0" collapsed="false">
      <c r="A24" s="56" t="s">
        <v>18</v>
      </c>
      <c r="B24" s="58" t="n">
        <v>4152.5</v>
      </c>
      <c r="C24" s="58" t="n">
        <v>2219</v>
      </c>
      <c r="D24" s="58" t="n">
        <v>2356.5</v>
      </c>
      <c r="E24" s="58" t="n">
        <v>2666</v>
      </c>
      <c r="F24" s="58" t="n">
        <v>2145</v>
      </c>
      <c r="G24" s="66" t="n">
        <v>2881.01</v>
      </c>
      <c r="H24" s="58" t="n">
        <v>2345.5</v>
      </c>
      <c r="I24" s="62" t="n">
        <v>2641.02</v>
      </c>
      <c r="J24" s="58" t="n">
        <v>3158</v>
      </c>
      <c r="K24" s="58" t="n">
        <v>6636.5</v>
      </c>
      <c r="L24" s="58" t="n">
        <v>2293</v>
      </c>
      <c r="M24" s="58" t="n">
        <v>3812.01</v>
      </c>
      <c r="N24" s="58" t="n">
        <v>3044.52</v>
      </c>
      <c r="O24" s="58" t="n">
        <v>2444.53</v>
      </c>
      <c r="P24" s="58" t="n">
        <v>4340.04</v>
      </c>
      <c r="Q24" s="60" t="n">
        <v>2431.9</v>
      </c>
      <c r="R24" s="58" t="n">
        <v>2158.65</v>
      </c>
      <c r="S24" s="58" t="n">
        <v>2250.08</v>
      </c>
      <c r="T24" s="58" t="n">
        <v>0</v>
      </c>
      <c r="U24" s="58" t="n">
        <v>2699.02</v>
      </c>
      <c r="V24" s="58" t="n">
        <v>5089.51</v>
      </c>
      <c r="W24" s="58" t="n">
        <v>4523.53</v>
      </c>
      <c r="X24" s="58" t="n">
        <v>2508</v>
      </c>
      <c r="Y24" s="58" t="n">
        <v>4567.5</v>
      </c>
      <c r="Z24" s="58" t="n">
        <v>3555.75</v>
      </c>
      <c r="AA24" s="58" t="n">
        <v>2571.51</v>
      </c>
      <c r="AB24" s="58" t="n">
        <v>2463.06</v>
      </c>
      <c r="AC24" s="58" t="n">
        <v>2093.52</v>
      </c>
      <c r="AD24" s="58" t="n">
        <v>1500.77</v>
      </c>
      <c r="AE24" s="58" t="n">
        <v>1729</v>
      </c>
      <c r="AF24" s="58" t="n">
        <v>1835</v>
      </c>
      <c r="AG24" s="10" t="n">
        <v>943.5</v>
      </c>
      <c r="AH24" s="10" t="n">
        <v>2376.5</v>
      </c>
      <c r="AI24" s="10" t="n">
        <v>1562.5</v>
      </c>
      <c r="AJ24" s="10" t="n">
        <v>2690.5</v>
      </c>
      <c r="AK24" s="8" t="n">
        <v>2201.51</v>
      </c>
      <c r="AL24" s="8" t="n">
        <v>2008.5</v>
      </c>
      <c r="AM24" s="8" t="n">
        <v>1635.5</v>
      </c>
      <c r="AN24" s="8" t="n">
        <v>2595</v>
      </c>
      <c r="AO24" s="8" t="n">
        <v>1406</v>
      </c>
      <c r="AP24" s="8" t="n">
        <v>1102</v>
      </c>
    </row>
    <row r="25" customFormat="false" ht="15.75" hidden="false" customHeight="true" outlineLevel="0" collapsed="false">
      <c r="A25" s="56" t="s">
        <v>20</v>
      </c>
      <c r="B25" s="58" t="n">
        <v>4456.5</v>
      </c>
      <c r="C25" s="58" t="n">
        <v>2553.5</v>
      </c>
      <c r="D25" s="58" t="n">
        <v>4678.5</v>
      </c>
      <c r="E25" s="58" t="n">
        <v>3580.5</v>
      </c>
      <c r="F25" s="58" t="n">
        <v>2556</v>
      </c>
      <c r="G25" s="58" t="n">
        <v>3468.5</v>
      </c>
      <c r="H25" s="58" t="n">
        <v>3308.01</v>
      </c>
      <c r="I25" s="62" t="n">
        <v>2972</v>
      </c>
      <c r="J25" s="58" t="n">
        <v>2059.5</v>
      </c>
      <c r="K25" s="58" t="n">
        <v>2481</v>
      </c>
      <c r="L25" s="58" t="n">
        <v>2868.5</v>
      </c>
      <c r="M25" s="58" t="n">
        <v>4180</v>
      </c>
      <c r="N25" s="58" t="n">
        <v>2547.53</v>
      </c>
      <c r="O25" s="58" t="n">
        <v>4869.08</v>
      </c>
      <c r="P25" s="58" t="n">
        <v>4233.52</v>
      </c>
      <c r="Q25" s="60" t="n">
        <v>2303.08</v>
      </c>
      <c r="R25" s="58" t="n">
        <v>2025.03</v>
      </c>
      <c r="S25" s="63" t="n">
        <v>2718.09</v>
      </c>
      <c r="T25" s="58" t="n">
        <v>2925.06</v>
      </c>
      <c r="U25" s="58" t="n">
        <v>4766.03</v>
      </c>
      <c r="V25" s="58" t="n">
        <v>3999.38</v>
      </c>
      <c r="W25" s="58" t="n">
        <v>6178.52</v>
      </c>
      <c r="X25" s="58" t="n">
        <v>3633.6</v>
      </c>
      <c r="Y25" s="58" t="n">
        <v>3183.75</v>
      </c>
      <c r="Z25" s="58" t="n">
        <v>3488.54</v>
      </c>
      <c r="AA25" s="58" t="n">
        <v>2507.52</v>
      </c>
      <c r="AB25" s="58" t="n">
        <v>2204.5</v>
      </c>
      <c r="AC25" s="58" t="n">
        <v>2438</v>
      </c>
      <c r="AD25" s="58" t="n">
        <v>1245.76</v>
      </c>
      <c r="AE25" s="58" t="n">
        <v>2054.54</v>
      </c>
      <c r="AF25" s="58" t="n">
        <v>2066</v>
      </c>
      <c r="AG25" s="10" t="n">
        <v>1312.52</v>
      </c>
      <c r="AH25" s="10" t="n">
        <v>2089.5</v>
      </c>
      <c r="AI25" s="10" t="n">
        <v>1135.01</v>
      </c>
      <c r="AJ25" s="10" t="n">
        <v>1277.02</v>
      </c>
      <c r="AK25" s="8" t="n">
        <v>7027.02</v>
      </c>
      <c r="AL25" s="8" t="n">
        <v>2237</v>
      </c>
      <c r="AM25" s="8" t="n">
        <v>2055.5</v>
      </c>
      <c r="AN25" s="8" t="n">
        <v>3196.5</v>
      </c>
      <c r="AO25" s="8" t="n">
        <v>1741</v>
      </c>
      <c r="AP25" s="8" t="n">
        <v>1894</v>
      </c>
    </row>
    <row r="26" customFormat="false" ht="15.75" hidden="false" customHeight="true" outlineLevel="0" collapsed="false">
      <c r="A26" s="56" t="s">
        <v>7</v>
      </c>
      <c r="B26" s="58" t="n">
        <v>4146.5</v>
      </c>
      <c r="C26" s="58" t="n">
        <v>3062</v>
      </c>
      <c r="D26" s="58" t="n">
        <v>2052.5</v>
      </c>
      <c r="E26" s="58" t="n">
        <v>3120.5</v>
      </c>
      <c r="F26" s="58" t="n">
        <v>2371</v>
      </c>
      <c r="G26" s="58" t="n">
        <v>3813</v>
      </c>
      <c r="H26" s="58" t="n">
        <v>3837.04</v>
      </c>
      <c r="I26" s="62" t="n">
        <v>2657</v>
      </c>
      <c r="J26" s="58" t="n">
        <v>3622.5</v>
      </c>
      <c r="K26" s="58" t="n">
        <v>3232</v>
      </c>
      <c r="L26" s="58" t="n">
        <v>2735.51</v>
      </c>
      <c r="M26" s="58" t="n">
        <v>4146.5</v>
      </c>
      <c r="N26" s="58" t="n">
        <v>3458.5</v>
      </c>
      <c r="O26" s="58" t="n">
        <v>3148.57</v>
      </c>
      <c r="P26" s="58" t="n">
        <v>2946.53</v>
      </c>
      <c r="Q26" s="60" t="n">
        <v>2339.07</v>
      </c>
      <c r="R26" s="58" t="n">
        <v>2132.57</v>
      </c>
      <c r="S26" s="58" t="n">
        <v>3490.5</v>
      </c>
      <c r="T26" s="58" t="n">
        <v>3664</v>
      </c>
      <c r="U26" s="58" t="n">
        <v>3146.5</v>
      </c>
      <c r="V26" s="58" t="n">
        <v>1713.06</v>
      </c>
      <c r="W26" s="58" t="n">
        <v>7137.28</v>
      </c>
      <c r="X26" s="58" t="n">
        <v>2616</v>
      </c>
      <c r="Y26" s="58" t="n">
        <v>3561</v>
      </c>
      <c r="Z26" s="58" t="n">
        <v>4198.01</v>
      </c>
      <c r="AA26" s="58" t="n">
        <v>2404.02</v>
      </c>
      <c r="AB26" s="58" t="n">
        <v>2588.51</v>
      </c>
      <c r="AC26" s="58" t="n">
        <v>2086.76</v>
      </c>
      <c r="AD26" s="58" t="n">
        <v>2614.03</v>
      </c>
      <c r="AE26" s="58" t="n">
        <v>2148.03</v>
      </c>
      <c r="AF26" s="58" t="n">
        <v>1960</v>
      </c>
      <c r="AG26" s="10" t="n">
        <v>2002.04</v>
      </c>
      <c r="AH26" s="10" t="n">
        <v>2055.5</v>
      </c>
      <c r="AI26" s="10" t="n">
        <v>2343.01</v>
      </c>
      <c r="AJ26" s="10" t="n">
        <v>0</v>
      </c>
      <c r="AK26" s="8" t="n">
        <v>1784</v>
      </c>
      <c r="AL26" s="8" t="n">
        <v>1707.5</v>
      </c>
      <c r="AM26" s="8" t="n">
        <v>1266</v>
      </c>
      <c r="AN26" s="8" t="n">
        <v>2064.5</v>
      </c>
      <c r="AO26" s="8" t="n">
        <v>1648</v>
      </c>
      <c r="AP26" s="8" t="n">
        <v>1118</v>
      </c>
    </row>
    <row r="27" customFormat="false" ht="15.75" hidden="false" customHeight="true" outlineLevel="0" collapsed="false">
      <c r="A27" s="56" t="s">
        <v>9</v>
      </c>
      <c r="B27" s="58" t="n">
        <v>2418.5</v>
      </c>
      <c r="C27" s="58" t="n">
        <v>2894.5</v>
      </c>
      <c r="D27" s="58" t="n">
        <v>2868</v>
      </c>
      <c r="E27" s="58" t="n">
        <v>1309.5</v>
      </c>
      <c r="F27" s="58" t="n">
        <v>3537.5</v>
      </c>
      <c r="G27" s="58" t="n">
        <v>5307.02</v>
      </c>
      <c r="H27" s="58" t="n">
        <v>3837.04</v>
      </c>
      <c r="I27" s="62" t="n">
        <v>2459.01</v>
      </c>
      <c r="J27" s="58" t="n">
        <v>3047.01</v>
      </c>
      <c r="K27" s="58" t="n">
        <v>2389.51</v>
      </c>
      <c r="L27" s="58" t="n">
        <v>3217.03</v>
      </c>
      <c r="M27" s="58" t="n">
        <v>4785.02</v>
      </c>
      <c r="N27" s="58" t="n">
        <v>5258.01</v>
      </c>
      <c r="O27" s="58" t="n">
        <v>4010.03</v>
      </c>
      <c r="P27" s="58" t="n">
        <v>2552.55</v>
      </c>
      <c r="Q27" s="60" t="n">
        <v>2740.55</v>
      </c>
      <c r="R27" s="58" t="n">
        <v>2538.53</v>
      </c>
      <c r="S27" s="58" t="n">
        <v>3646.03</v>
      </c>
      <c r="T27" s="58" t="n">
        <v>2935.13</v>
      </c>
      <c r="U27" s="58" t="n">
        <v>1952.02</v>
      </c>
      <c r="V27" s="58" t="n">
        <v>2836.53</v>
      </c>
      <c r="W27" s="58" t="n">
        <v>3774.76</v>
      </c>
      <c r="X27" s="58" t="n">
        <v>2690.81</v>
      </c>
      <c r="Y27" s="58" t="n">
        <v>3948.5</v>
      </c>
      <c r="Z27" s="58" t="n">
        <v>3899.51</v>
      </c>
      <c r="AA27" s="58" t="n">
        <v>2565.5</v>
      </c>
      <c r="AB27" s="58" t="n">
        <v>1523.75</v>
      </c>
      <c r="AC27" s="58" t="n">
        <v>2587.26</v>
      </c>
      <c r="AD27" s="58" t="n">
        <v>2380.75</v>
      </c>
      <c r="AE27" s="58" t="n">
        <v>3636.1</v>
      </c>
      <c r="AF27" s="58" t="n">
        <v>4493</v>
      </c>
      <c r="AG27" s="10" t="n">
        <v>2439</v>
      </c>
      <c r="AH27" s="10" t="n">
        <v>1910.5</v>
      </c>
      <c r="AI27" s="10" t="n">
        <v>3377.51</v>
      </c>
      <c r="AJ27" s="10" t="n">
        <v>941.02</v>
      </c>
      <c r="AK27" s="8" t="n">
        <v>4027.53</v>
      </c>
      <c r="AL27" s="8" t="n">
        <v>1749.5</v>
      </c>
      <c r="AM27" s="8" t="n">
        <v>2001.5</v>
      </c>
      <c r="AN27" s="8" t="n">
        <v>3013.5</v>
      </c>
      <c r="AO27" s="8" t="n">
        <v>1950.5</v>
      </c>
      <c r="AP27" s="36" t="n">
        <v>2487</v>
      </c>
    </row>
    <row r="28" customFormat="false" ht="15.75" hidden="false" customHeight="true" outlineLevel="0" collapsed="false">
      <c r="A28" s="56" t="s">
        <v>11</v>
      </c>
      <c r="B28" s="58" t="n">
        <v>3142</v>
      </c>
      <c r="C28" s="58" t="n">
        <v>2850</v>
      </c>
      <c r="D28" s="58" t="n">
        <v>4995.5</v>
      </c>
      <c r="E28" s="58" t="n">
        <v>2044.5</v>
      </c>
      <c r="F28" s="58" t="n">
        <v>3413.5</v>
      </c>
      <c r="G28" s="58" t="n">
        <v>5198.5</v>
      </c>
      <c r="H28" s="58" t="n">
        <v>3264.02</v>
      </c>
      <c r="I28" s="62" t="n">
        <v>4058.5</v>
      </c>
      <c r="J28" s="58" t="n">
        <v>4769</v>
      </c>
      <c r="K28" s="58" t="n">
        <v>3746.5</v>
      </c>
      <c r="L28" s="58" t="n">
        <v>3927</v>
      </c>
      <c r="M28" s="58" t="n">
        <v>5060.5</v>
      </c>
      <c r="N28" s="58" t="n">
        <v>6791.08</v>
      </c>
      <c r="O28" s="58" t="n">
        <v>2485.05</v>
      </c>
      <c r="P28" s="58" t="n">
        <v>3727.06</v>
      </c>
      <c r="Q28" s="60" t="n">
        <v>1891.01</v>
      </c>
      <c r="R28" s="58" t="n">
        <v>2749.59</v>
      </c>
      <c r="S28" s="58" t="n">
        <v>2198.1</v>
      </c>
      <c r="T28" s="63" t="n">
        <v>2231.05</v>
      </c>
      <c r="U28" s="58" t="n">
        <v>2626.01</v>
      </c>
      <c r="V28" s="58" t="n">
        <v>2337.5</v>
      </c>
      <c r="W28" s="58" t="n">
        <v>3855.02</v>
      </c>
      <c r="X28" s="58" t="n">
        <v>2366</v>
      </c>
      <c r="Y28" s="58" t="n">
        <v>6062.25</v>
      </c>
      <c r="Z28" s="58" t="n">
        <v>4059.45</v>
      </c>
      <c r="AA28" s="58" t="n">
        <v>3666.75</v>
      </c>
      <c r="AB28" s="58" t="n">
        <v>3375.5</v>
      </c>
      <c r="AC28" s="58" t="n">
        <v>3058.25</v>
      </c>
      <c r="AD28" s="58" t="n">
        <v>1809.59</v>
      </c>
      <c r="AE28" s="58" t="n">
        <v>1866.5</v>
      </c>
      <c r="AF28" s="58" t="n">
        <v>2014</v>
      </c>
      <c r="AG28" s="10" t="n">
        <v>2878.92</v>
      </c>
      <c r="AH28" s="10" t="n">
        <v>2070.75</v>
      </c>
      <c r="AI28" s="10" t="n">
        <v>2239</v>
      </c>
      <c r="AJ28" s="10" t="n">
        <v>1994.01</v>
      </c>
      <c r="AK28" s="8" t="n">
        <v>3482</v>
      </c>
      <c r="AL28" s="8" t="n">
        <v>2585.4</v>
      </c>
      <c r="AM28" s="8" t="n">
        <v>2674</v>
      </c>
      <c r="AN28" s="8" t="n">
        <v>2211</v>
      </c>
      <c r="AO28" s="8" t="n">
        <v>2996</v>
      </c>
      <c r="AP28" s="8" t="n">
        <v>2805</v>
      </c>
    </row>
    <row r="29" customFormat="false" ht="15.75" hidden="false" customHeight="true" outlineLevel="0" collapsed="false">
      <c r="A29" s="56" t="s">
        <v>13</v>
      </c>
      <c r="B29" s="58" t="n">
        <v>4052.5</v>
      </c>
      <c r="C29" s="58" t="n">
        <v>3524.5</v>
      </c>
      <c r="D29" s="58" t="n">
        <v>4507</v>
      </c>
      <c r="E29" s="58" t="n">
        <v>2214</v>
      </c>
      <c r="F29" s="58" t="n">
        <v>4097.51</v>
      </c>
      <c r="G29" s="58" t="n">
        <v>5675.02</v>
      </c>
      <c r="H29" s="58" t="n">
        <v>4555.02</v>
      </c>
      <c r="I29" s="62" t="n">
        <v>5241</v>
      </c>
      <c r="J29" s="58" t="n">
        <v>5458</v>
      </c>
      <c r="K29" s="58" t="n">
        <v>5092.5</v>
      </c>
      <c r="L29" s="58" t="n">
        <v>2734.5</v>
      </c>
      <c r="M29" s="58" t="n">
        <v>7409.01</v>
      </c>
      <c r="N29" s="58" t="n">
        <v>8037.5</v>
      </c>
      <c r="O29" s="58" t="n">
        <v>5373.52</v>
      </c>
      <c r="P29" s="58" t="n">
        <v>5224.52</v>
      </c>
      <c r="Q29" s="60" t="n">
        <v>3675.05</v>
      </c>
      <c r="R29" s="58" t="n">
        <v>4177.03</v>
      </c>
      <c r="S29" s="58" t="n">
        <v>3770.53</v>
      </c>
      <c r="T29" s="58" t="n">
        <v>3168.51</v>
      </c>
      <c r="U29" s="58" t="n">
        <v>3730.5</v>
      </c>
      <c r="V29" s="58" t="n">
        <v>3618.5</v>
      </c>
      <c r="W29" s="58" t="n">
        <v>6697.26</v>
      </c>
      <c r="X29" s="58" t="n">
        <v>2478.75</v>
      </c>
      <c r="Y29" s="58" t="n">
        <v>6062.25</v>
      </c>
      <c r="Z29" s="58" t="n">
        <v>5634.5</v>
      </c>
      <c r="AA29" s="58" t="n">
        <v>5398.77</v>
      </c>
      <c r="AB29" s="58" t="n">
        <v>4911</v>
      </c>
      <c r="AC29" s="58" t="n">
        <v>5817.01</v>
      </c>
      <c r="AD29" s="58" t="n">
        <v>2224</v>
      </c>
      <c r="AE29" s="58" t="n">
        <v>2461.5</v>
      </c>
      <c r="AF29" s="58" t="n">
        <v>3132.9</v>
      </c>
      <c r="AG29" s="10" t="n">
        <v>3228.5</v>
      </c>
      <c r="AH29" s="10" t="n">
        <v>4417.25</v>
      </c>
      <c r="AI29" s="10" t="n">
        <v>2282.5</v>
      </c>
      <c r="AJ29" s="10" t="n">
        <v>2806.51</v>
      </c>
      <c r="AK29" s="8" t="n">
        <v>6372</v>
      </c>
      <c r="AL29" s="8" t="n">
        <v>4992.01</v>
      </c>
      <c r="AM29" s="8" t="n">
        <v>3262.5</v>
      </c>
      <c r="AN29" s="8" t="n">
        <v>2959.51</v>
      </c>
      <c r="AO29" s="8" t="n">
        <v>3912</v>
      </c>
      <c r="AP29" s="8" t="n">
        <v>4790.5</v>
      </c>
    </row>
    <row r="30" customFormat="false" ht="15.75" hidden="false" customHeight="true" outlineLevel="0" collapsed="false">
      <c r="A30" s="56" t="s">
        <v>17</v>
      </c>
      <c r="B30" s="58" t="n">
        <v>4736</v>
      </c>
      <c r="C30" s="58" t="n">
        <v>2552.5</v>
      </c>
      <c r="D30" s="58" t="n">
        <v>3237.5</v>
      </c>
      <c r="E30" s="58" t="n">
        <v>2214</v>
      </c>
      <c r="F30" s="58" t="n">
        <v>4193.5</v>
      </c>
      <c r="G30" s="65" t="n">
        <v>6820</v>
      </c>
      <c r="H30" s="58" t="n">
        <v>4701.5</v>
      </c>
      <c r="I30" s="62" t="n">
        <v>3710.5</v>
      </c>
      <c r="J30" s="58" t="n">
        <v>5944</v>
      </c>
      <c r="K30" s="58" t="n">
        <v>4474</v>
      </c>
      <c r="L30" s="58" t="n">
        <v>0</v>
      </c>
      <c r="M30" s="58" t="n">
        <v>8351</v>
      </c>
      <c r="N30" s="58" t="n">
        <v>10609.51</v>
      </c>
      <c r="O30" s="58" t="n">
        <v>4384</v>
      </c>
      <c r="P30" s="58" t="n">
        <v>4299.09</v>
      </c>
      <c r="Q30" s="60" t="n">
        <v>2337.51</v>
      </c>
      <c r="R30" s="58" t="n">
        <v>5134.57</v>
      </c>
      <c r="S30" s="58" t="n">
        <v>2330.57</v>
      </c>
      <c r="T30" s="58" t="n">
        <v>3691.09</v>
      </c>
      <c r="U30" s="58" t="n">
        <v>3346</v>
      </c>
      <c r="V30" s="58" t="n">
        <v>4389.5</v>
      </c>
      <c r="W30" s="58" t="n">
        <v>5108.8</v>
      </c>
      <c r="X30" s="58" t="n">
        <v>2270.5</v>
      </c>
      <c r="Y30" s="58" t="n">
        <v>5242.77</v>
      </c>
      <c r="Z30" s="58" t="n">
        <v>4964.25</v>
      </c>
      <c r="AA30" s="58" t="n">
        <v>4646.25</v>
      </c>
      <c r="AB30" s="58" t="n">
        <v>2492.02</v>
      </c>
      <c r="AC30" s="58" t="n">
        <v>4526</v>
      </c>
      <c r="AD30" s="58" t="n">
        <v>2497.59</v>
      </c>
      <c r="AE30" s="58" t="n">
        <v>3170.15</v>
      </c>
      <c r="AF30" s="58" t="n">
        <v>1980</v>
      </c>
      <c r="AG30" s="10" t="n">
        <v>3071</v>
      </c>
      <c r="AH30" s="10" t="n">
        <v>2996.41</v>
      </c>
      <c r="AI30" s="10" t="n">
        <v>2556.5</v>
      </c>
      <c r="AJ30" s="10" t="n">
        <v>3695.5</v>
      </c>
      <c r="AK30" s="8" t="n">
        <v>5614.5</v>
      </c>
      <c r="AL30" s="8" t="n">
        <v>2943.5</v>
      </c>
      <c r="AM30" s="8" t="n">
        <v>3460</v>
      </c>
      <c r="AN30" s="8" t="n">
        <v>3206</v>
      </c>
      <c r="AO30" s="8" t="n">
        <v>3848</v>
      </c>
      <c r="AP30" s="8" t="n">
        <v>3607</v>
      </c>
    </row>
    <row r="31" customFormat="false" ht="15.75" hidden="false" customHeight="true" outlineLevel="0" collapsed="false">
      <c r="A31" s="56" t="s">
        <v>18</v>
      </c>
      <c r="B31" s="58" t="n">
        <v>2425.5</v>
      </c>
      <c r="C31" s="58" t="n">
        <v>2552.5</v>
      </c>
      <c r="D31" s="58" t="n">
        <v>1653</v>
      </c>
      <c r="E31" s="58" t="n">
        <v>2192.5</v>
      </c>
      <c r="F31" s="58" t="n">
        <v>2713.5</v>
      </c>
      <c r="G31" s="66" t="n">
        <v>4827</v>
      </c>
      <c r="H31" s="58" t="n">
        <v>3324</v>
      </c>
      <c r="I31" s="62" t="n">
        <v>2475.5</v>
      </c>
      <c r="J31" s="58" t="n">
        <v>2368.5</v>
      </c>
      <c r="K31" s="58" t="n">
        <v>2362.5</v>
      </c>
      <c r="L31" s="58" t="n">
        <v>2313</v>
      </c>
      <c r="M31" s="58" t="n">
        <v>2831.53</v>
      </c>
      <c r="N31" s="58" t="n">
        <v>5501.53</v>
      </c>
      <c r="O31" s="58" t="n">
        <v>3259.51</v>
      </c>
      <c r="P31" s="58" t="n">
        <v>2297.56</v>
      </c>
      <c r="Q31" s="67" t="n">
        <v>1731.01</v>
      </c>
      <c r="R31" s="58" t="n">
        <v>1687.05</v>
      </c>
      <c r="S31" s="58" t="n">
        <v>2989.59</v>
      </c>
      <c r="T31" s="58" t="n">
        <v>2664.13</v>
      </c>
      <c r="U31" s="63" t="n">
        <v>2559.01</v>
      </c>
      <c r="V31" s="58" t="n">
        <v>3520.01</v>
      </c>
      <c r="W31" s="58" t="n">
        <v>3022.25</v>
      </c>
      <c r="X31" s="58" t="n">
        <v>2607.75</v>
      </c>
      <c r="Y31" s="58" t="n">
        <v>3328</v>
      </c>
      <c r="Z31" s="58" t="n">
        <v>2615.5</v>
      </c>
      <c r="AA31" s="58" t="n">
        <v>2315.75</v>
      </c>
      <c r="AB31" s="58" t="n">
        <v>3103.76</v>
      </c>
      <c r="AC31" s="58" t="n">
        <v>2601.76</v>
      </c>
      <c r="AD31" s="58" t="n">
        <v>1438</v>
      </c>
      <c r="AE31" s="58" t="n">
        <v>1445.76</v>
      </c>
      <c r="AF31" s="58" t="n">
        <v>1707.51</v>
      </c>
      <c r="AG31" s="10" t="n">
        <v>2091.01</v>
      </c>
      <c r="AH31" s="10" t="n">
        <v>1874.5</v>
      </c>
      <c r="AI31" s="10" t="n">
        <v>1871</v>
      </c>
      <c r="AJ31" s="10" t="n">
        <v>3029</v>
      </c>
      <c r="AK31" s="8" t="n">
        <v>1805</v>
      </c>
      <c r="AL31" s="8" t="n">
        <v>1943</v>
      </c>
      <c r="AM31" s="8" t="n">
        <v>1080</v>
      </c>
      <c r="AN31" s="8" t="n">
        <v>1975</v>
      </c>
      <c r="AO31" s="36" t="n">
        <v>3036.5</v>
      </c>
      <c r="AP31" s="8" t="n">
        <v>172.5</v>
      </c>
    </row>
    <row r="32" customFormat="false" ht="15.75" hidden="false" customHeight="true" outlineLevel="0" collapsed="false">
      <c r="A32" s="56" t="s">
        <v>20</v>
      </c>
      <c r="B32" s="58" t="n">
        <v>4354</v>
      </c>
      <c r="C32" s="58" t="n">
        <v>2440.5</v>
      </c>
      <c r="D32" s="58" t="n">
        <v>2390</v>
      </c>
      <c r="E32" s="58" t="n">
        <v>4254.5</v>
      </c>
      <c r="F32" s="58" t="n">
        <v>3506</v>
      </c>
      <c r="G32" s="58" t="n">
        <v>6342.01</v>
      </c>
      <c r="H32" s="58" t="n">
        <v>2423.5</v>
      </c>
      <c r="I32" s="62" t="n">
        <v>3361.5</v>
      </c>
      <c r="J32" s="58" t="n">
        <v>2282</v>
      </c>
      <c r="K32" s="58" t="n">
        <v>2935.53</v>
      </c>
      <c r="L32" s="58" t="n">
        <v>3151.51</v>
      </c>
      <c r="M32" s="58" t="n">
        <v>3881.01</v>
      </c>
      <c r="N32" s="58" t="n">
        <v>6711.53</v>
      </c>
      <c r="O32" s="58" t="n">
        <v>3560.5</v>
      </c>
      <c r="P32" s="58" t="n">
        <v>3683.05</v>
      </c>
      <c r="Q32" s="60" t="n">
        <v>3429.01</v>
      </c>
      <c r="R32" s="58" t="n">
        <v>3827.66</v>
      </c>
      <c r="S32" s="58" t="n">
        <v>3831.03</v>
      </c>
      <c r="T32" s="58" t="n">
        <v>3321.55</v>
      </c>
      <c r="U32" s="58" t="n">
        <v>2304.51</v>
      </c>
      <c r="V32" s="58" t="n">
        <v>2468.53</v>
      </c>
      <c r="W32" s="58" t="n">
        <v>2917.27</v>
      </c>
      <c r="X32" s="58" t="n">
        <v>0</v>
      </c>
      <c r="Y32" s="57" t="n">
        <v>4182</v>
      </c>
      <c r="Z32" s="58" t="n">
        <v>3972.76</v>
      </c>
      <c r="AA32" s="58" t="n">
        <v>2303.25</v>
      </c>
      <c r="AB32" s="58" t="n">
        <v>2110.78</v>
      </c>
      <c r="AC32" s="58" t="n">
        <v>2284.83</v>
      </c>
      <c r="AD32" s="58" t="n">
        <v>1397.52</v>
      </c>
      <c r="AE32" s="58" t="n">
        <v>2105.26</v>
      </c>
      <c r="AF32" s="58" t="n">
        <v>2295</v>
      </c>
      <c r="AG32" s="10" t="n">
        <v>2125.52</v>
      </c>
      <c r="AH32" s="10" t="n">
        <v>835</v>
      </c>
      <c r="AI32" s="10" t="n">
        <v>1636</v>
      </c>
      <c r="AJ32" s="10" t="n">
        <v>2334.51</v>
      </c>
      <c r="AK32" s="8" t="n">
        <v>2564</v>
      </c>
      <c r="AL32" s="8" t="n">
        <v>2723.5</v>
      </c>
      <c r="AM32" s="8" t="n">
        <v>2301</v>
      </c>
      <c r="AN32" s="8" t="n">
        <v>2608.52</v>
      </c>
      <c r="AO32" s="8" t="n">
        <v>1590.5</v>
      </c>
      <c r="AP32" s="8" t="n">
        <v>1627.5</v>
      </c>
    </row>
    <row r="33" customFormat="false" ht="15.75" hidden="false" customHeight="true" outlineLevel="0" collapsed="false">
      <c r="A33" s="56" t="s">
        <v>7</v>
      </c>
      <c r="C33" s="58" t="n">
        <v>2898.31</v>
      </c>
      <c r="D33" s="58" t="n">
        <v>2691</v>
      </c>
      <c r="E33" s="58" t="n">
        <v>2231</v>
      </c>
      <c r="F33" s="58" t="n">
        <v>3397</v>
      </c>
      <c r="G33" s="58" t="n">
        <v>5435</v>
      </c>
      <c r="H33" s="58" t="n">
        <v>3032.01</v>
      </c>
      <c r="I33" s="62" t="n">
        <v>3391</v>
      </c>
      <c r="J33" s="58" t="n">
        <v>2955</v>
      </c>
      <c r="K33" s="58" t="n">
        <v>2625</v>
      </c>
      <c r="L33" s="58" t="n">
        <v>3852.5</v>
      </c>
      <c r="M33" s="58" t="n">
        <v>3380</v>
      </c>
      <c r="N33" s="58" t="n">
        <v>7669.51</v>
      </c>
      <c r="O33" s="58" t="n">
        <v>3606.51</v>
      </c>
      <c r="Q33" s="60" t="n">
        <v>2695.66</v>
      </c>
      <c r="R33" s="58" t="n">
        <v>3091.06</v>
      </c>
      <c r="S33" s="58" t="n">
        <v>2610.6</v>
      </c>
      <c r="T33" s="58" t="n">
        <v>2664.13</v>
      </c>
      <c r="U33" s="58" t="n">
        <v>2470.5</v>
      </c>
      <c r="V33" s="58" t="n">
        <v>2949</v>
      </c>
      <c r="W33" s="58" t="n">
        <v>3455.25</v>
      </c>
      <c r="X33" s="58" t="n">
        <v>1349.75</v>
      </c>
      <c r="Y33" s="58" t="n">
        <v>4014.01</v>
      </c>
      <c r="Z33" s="58" t="n">
        <v>3786.25</v>
      </c>
      <c r="AA33" s="58" t="n">
        <v>3328.25</v>
      </c>
      <c r="AB33" s="58" t="n">
        <v>3014.75</v>
      </c>
      <c r="AC33" s="58" t="n">
        <v>2608.02</v>
      </c>
      <c r="AD33" s="58" t="n">
        <v>2021.76</v>
      </c>
      <c r="AE33" s="58" t="n">
        <v>2285.01</v>
      </c>
      <c r="AF33" s="58" t="n">
        <v>3937.5</v>
      </c>
      <c r="AH33" s="10" t="n">
        <v>2232.03</v>
      </c>
      <c r="AI33" s="10" t="n">
        <v>2386</v>
      </c>
      <c r="AJ33" s="10" t="n">
        <v>0</v>
      </c>
      <c r="AK33" s="8" t="n">
        <v>4048.5</v>
      </c>
      <c r="AL33" s="8" t="n">
        <v>2723.5</v>
      </c>
      <c r="AM33" s="8" t="n">
        <v>2330.5</v>
      </c>
      <c r="AN33" s="8" t="n">
        <v>3424.5</v>
      </c>
      <c r="AO33" s="8" t="n">
        <v>3014.5</v>
      </c>
    </row>
    <row r="34" customFormat="false" ht="15.75" hidden="false" customHeight="true" outlineLevel="0" collapsed="false">
      <c r="A34" s="56" t="s">
        <v>9</v>
      </c>
      <c r="C34" s="58" t="n">
        <v>3012</v>
      </c>
      <c r="D34" s="58" t="n">
        <v>2403.5</v>
      </c>
      <c r="E34" s="58" t="n">
        <v>2854.5</v>
      </c>
      <c r="F34" s="58" t="n">
        <v>2585.51</v>
      </c>
      <c r="G34" s="58" t="n">
        <v>4686</v>
      </c>
      <c r="H34" s="68" t="n">
        <v>4048.52</v>
      </c>
      <c r="I34" s="62" t="n">
        <v>2520.05</v>
      </c>
      <c r="J34" s="58" t="n">
        <v>2615</v>
      </c>
      <c r="K34" s="58" t="n">
        <v>3455</v>
      </c>
      <c r="L34" s="58" t="n">
        <v>4043</v>
      </c>
      <c r="N34" s="58" t="n">
        <v>4429.56</v>
      </c>
      <c r="O34" s="58" t="n">
        <v>3487.53</v>
      </c>
      <c r="Q34" s="67" t="n">
        <v>2140.55</v>
      </c>
      <c r="R34" s="58" t="n">
        <v>3403.54</v>
      </c>
      <c r="T34" s="58" t="n">
        <v>3207.61</v>
      </c>
      <c r="U34" s="58" t="n">
        <v>2039.5</v>
      </c>
      <c r="V34" s="57" t="n">
        <v>3705.03</v>
      </c>
      <c r="W34" s="58" t="n">
        <v>5585.51</v>
      </c>
      <c r="X34" s="58" t="n">
        <v>2033.5</v>
      </c>
      <c r="Y34" s="58" t="n">
        <v>3410.67</v>
      </c>
      <c r="Z34" s="58" t="n">
        <v>2676.76</v>
      </c>
      <c r="AA34" s="58" t="n">
        <v>3336.29</v>
      </c>
      <c r="AC34" s="58" t="n">
        <v>1925.53</v>
      </c>
      <c r="AD34" s="58" t="n">
        <v>1648.5</v>
      </c>
      <c r="AE34" s="58" t="n">
        <v>2123.8</v>
      </c>
      <c r="AF34" s="58" t="n">
        <v>2547</v>
      </c>
      <c r="AH34" s="10" t="n">
        <v>1986</v>
      </c>
      <c r="AI34" s="10" t="n">
        <v>3025.52</v>
      </c>
      <c r="AK34" s="8" t="n">
        <v>3109</v>
      </c>
      <c r="AL34" s="8" t="n">
        <v>2439.5</v>
      </c>
      <c r="AM34" s="8" t="n">
        <v>1821.5</v>
      </c>
      <c r="AN34" s="8" t="n">
        <v>2596.5</v>
      </c>
      <c r="AO34" s="8" t="n">
        <v>2225</v>
      </c>
    </row>
    <row r="35" customFormat="false" ht="15.75" hidden="false" customHeight="true" outlineLevel="0" collapsed="false">
      <c r="A35" s="56" t="s">
        <v>11</v>
      </c>
      <c r="C35" s="69" t="n">
        <v>7191.5</v>
      </c>
      <c r="D35" s="58" t="n">
        <v>3068</v>
      </c>
      <c r="E35" s="58" t="n">
        <v>3672</v>
      </c>
      <c r="F35" s="58" t="n">
        <v>2997.01</v>
      </c>
      <c r="G35" s="58" t="n">
        <v>4838.01</v>
      </c>
      <c r="I35" s="62" t="n">
        <v>7849.5</v>
      </c>
      <c r="J35" s="58" t="n">
        <v>2452</v>
      </c>
      <c r="L35" s="58" t="n">
        <v>2591.5</v>
      </c>
      <c r="O35" s="58" t="n">
        <v>5229</v>
      </c>
      <c r="Q35" s="60" t="n">
        <v>2462.5</v>
      </c>
      <c r="R35" s="58" t="n">
        <v>4879.5</v>
      </c>
      <c r="T35" s="58" t="n">
        <v>2801.6</v>
      </c>
      <c r="U35" s="58" t="n">
        <v>2572.02</v>
      </c>
      <c r="W35" s="58" t="n">
        <v>2607</v>
      </c>
      <c r="X35" s="58" t="n">
        <v>1796.75</v>
      </c>
      <c r="Y35" s="58" t="n">
        <v>4003.76</v>
      </c>
      <c r="Z35" s="57" t="n">
        <v>3058.57</v>
      </c>
      <c r="AA35" s="57" t="n">
        <v>2654.51</v>
      </c>
      <c r="AC35" s="58" t="n">
        <v>2221.78</v>
      </c>
      <c r="AD35" s="58" t="n">
        <v>2261.53</v>
      </c>
      <c r="AF35" s="58" t="n">
        <v>3126.91</v>
      </c>
      <c r="AH35" s="10" t="n">
        <v>1035</v>
      </c>
      <c r="AI35" s="10" t="n">
        <v>3165.5</v>
      </c>
      <c r="AK35" s="8" t="n">
        <v>2112</v>
      </c>
      <c r="AL35" s="8" t="n">
        <v>2766.01</v>
      </c>
      <c r="AM35" s="8" t="n">
        <v>2128</v>
      </c>
      <c r="AO35" s="8" t="n">
        <v>3029.5</v>
      </c>
    </row>
    <row r="36" customFormat="false" ht="15.75" hidden="false" customHeight="true" outlineLevel="0" collapsed="false">
      <c r="A36" s="56" t="s">
        <v>13</v>
      </c>
      <c r="D36" s="58" t="n">
        <v>3659</v>
      </c>
      <c r="E36" s="58" t="n">
        <v>2701.5</v>
      </c>
      <c r="G36" s="58" t="n">
        <v>8039.52</v>
      </c>
      <c r="I36" s="62" t="n">
        <v>6272.5</v>
      </c>
      <c r="J36" s="58" t="n">
        <v>4101.5</v>
      </c>
      <c r="L36" s="58" t="n">
        <v>4350</v>
      </c>
      <c r="O36" s="58" t="n">
        <v>4470.03</v>
      </c>
      <c r="R36" s="58" t="n">
        <v>5251.02</v>
      </c>
      <c r="T36" s="58" t="n">
        <v>2807.51</v>
      </c>
      <c r="U36" s="58" t="n">
        <v>4090.01</v>
      </c>
      <c r="W36" s="58" t="n">
        <v>3276.02</v>
      </c>
      <c r="X36" s="58" t="n">
        <v>2694</v>
      </c>
      <c r="AA36" s="58" t="n">
        <v>3820.25</v>
      </c>
      <c r="AC36" s="58" t="n">
        <v>4849.76</v>
      </c>
      <c r="AD36" s="58" t="n">
        <v>2964.55</v>
      </c>
      <c r="AF36" s="58" t="n">
        <v>3471.5</v>
      </c>
      <c r="AI36" s="10" t="n">
        <v>2383.5</v>
      </c>
      <c r="AK36" s="8" t="n">
        <v>4380.5</v>
      </c>
      <c r="AL36" s="8" t="n">
        <v>3975.5</v>
      </c>
      <c r="AM36" s="8" t="n">
        <v>3662</v>
      </c>
      <c r="AO36" s="8" t="n">
        <v>4465</v>
      </c>
    </row>
    <row r="37" customFormat="false" ht="15.75" hidden="false" customHeight="true" outlineLevel="0" collapsed="false">
      <c r="A37" s="56" t="s">
        <v>17</v>
      </c>
      <c r="D37" s="58" t="n">
        <v>2721</v>
      </c>
      <c r="G37" s="58" t="n">
        <v>7545.03</v>
      </c>
      <c r="J37" s="58" t="n">
        <v>5724</v>
      </c>
      <c r="L37" s="68" t="n">
        <v>0</v>
      </c>
      <c r="O37" s="58" t="n">
        <v>3468.12</v>
      </c>
      <c r="R37" s="58" t="n">
        <v>5516.01</v>
      </c>
      <c r="U37" s="58" t="n">
        <v>2706.52</v>
      </c>
      <c r="X37" s="58" t="n">
        <v>3085.75</v>
      </c>
      <c r="AA37" s="58" t="n">
        <v>3108</v>
      </c>
      <c r="AD37" s="58" t="n">
        <v>3844.15</v>
      </c>
      <c r="AF37" s="58" t="n">
        <v>4099.5</v>
      </c>
      <c r="AI37" s="10" t="n">
        <v>4227.5</v>
      </c>
      <c r="AM37" s="8" t="n">
        <v>4400.5</v>
      </c>
      <c r="AO37" s="8" t="n">
        <v>3762</v>
      </c>
    </row>
    <row r="38" customFormat="false" ht="15.75" hidden="false" customHeight="true" outlineLevel="0" collapsed="false">
      <c r="A38" s="56" t="s">
        <v>18</v>
      </c>
      <c r="G38" s="70" t="n">
        <v>2890</v>
      </c>
      <c r="J38" s="58" t="n">
        <v>2202.57</v>
      </c>
      <c r="U38" s="58" t="n">
        <v>3228.05</v>
      </c>
      <c r="X38" s="58" t="n">
        <v>2174.5</v>
      </c>
      <c r="AA38" s="71" t="n">
        <v>2419.5</v>
      </c>
      <c r="AD38" s="58" t="n">
        <v>1652.16</v>
      </c>
      <c r="AM38" s="8" t="n">
        <v>2178</v>
      </c>
    </row>
    <row r="39" customFormat="false" ht="15.75" hidden="false" customHeight="true" outlineLevel="0" collapsed="false">
      <c r="A39" s="56" t="s">
        <v>20</v>
      </c>
      <c r="J39" s="58" t="n">
        <v>2904.5</v>
      </c>
      <c r="AM39" s="8" t="n">
        <v>2128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>
      <c r="B47" s="72" t="s">
        <v>26</v>
      </c>
      <c r="C47" s="72"/>
      <c r="D47" s="72"/>
      <c r="E47" s="72"/>
      <c r="F47" s="72" t="s">
        <v>27</v>
      </c>
      <c r="G47" s="72"/>
      <c r="H47" s="72"/>
      <c r="I47" s="72"/>
      <c r="J47" s="72"/>
      <c r="K47" s="72" t="s">
        <v>28</v>
      </c>
      <c r="L47" s="72"/>
      <c r="M47" s="72"/>
      <c r="N47" s="72"/>
      <c r="O47" s="72"/>
      <c r="P47" s="72" t="s">
        <v>29</v>
      </c>
      <c r="Q47" s="72"/>
      <c r="R47" s="72"/>
      <c r="S47" s="72"/>
      <c r="T47" s="72"/>
      <c r="U47" s="72" t="s">
        <v>38</v>
      </c>
      <c r="V47" s="72"/>
      <c r="W47" s="72"/>
      <c r="X47" s="72"/>
      <c r="Y47" s="72"/>
      <c r="Z47" s="72" t="s">
        <v>39</v>
      </c>
      <c r="AA47" s="72"/>
      <c r="AB47" s="72"/>
      <c r="AC47" s="72"/>
      <c r="AD47" s="72"/>
      <c r="AE47" s="72" t="s">
        <v>40</v>
      </c>
      <c r="AF47" s="72"/>
      <c r="AG47" s="72"/>
      <c r="AH47" s="72"/>
      <c r="AI47" s="72"/>
      <c r="AJ47" s="72" t="s">
        <v>41</v>
      </c>
      <c r="AK47" s="72"/>
      <c r="AL47" s="72"/>
      <c r="AM47" s="72"/>
      <c r="AN47" s="72"/>
      <c r="AO47" s="72" t="s">
        <v>42</v>
      </c>
      <c r="AP47" s="72"/>
      <c r="AQ47" s="72"/>
      <c r="AR47" s="72"/>
      <c r="AS47" s="72"/>
      <c r="AT47" s="72" t="s">
        <v>43</v>
      </c>
      <c r="AU47" s="72"/>
      <c r="AV47" s="72"/>
      <c r="AW47" s="72"/>
      <c r="AX47" s="72"/>
      <c r="AY47" s="72" t="s">
        <v>36</v>
      </c>
      <c r="AZ47" s="72"/>
      <c r="BA47" s="72"/>
      <c r="BB47" s="72"/>
      <c r="BC47" s="72"/>
      <c r="BD47" s="72" t="s">
        <v>37</v>
      </c>
      <c r="BE47" s="72"/>
      <c r="BF47" s="72"/>
      <c r="BG47" s="72"/>
      <c r="BH47" s="72"/>
      <c r="BI47" s="72" t="s">
        <v>26</v>
      </c>
      <c r="BJ47" s="72"/>
      <c r="BK47" s="72"/>
      <c r="BL47" s="72"/>
      <c r="BM47" s="72"/>
      <c r="BN47" s="72" t="s">
        <v>27</v>
      </c>
      <c r="BO47" s="72"/>
      <c r="BP47" s="72"/>
      <c r="BQ47" s="72"/>
      <c r="BR47" s="72"/>
      <c r="BS47" s="72" t="s">
        <v>28</v>
      </c>
      <c r="BT47" s="72"/>
      <c r="BU47" s="72"/>
      <c r="BV47" s="72"/>
      <c r="BW47" s="72"/>
      <c r="BX47" s="72" t="s">
        <v>29</v>
      </c>
      <c r="BY47" s="72"/>
      <c r="BZ47" s="72"/>
      <c r="CA47" s="72"/>
      <c r="CB47" s="72"/>
      <c r="CC47" s="72" t="s">
        <v>38</v>
      </c>
      <c r="CD47" s="72"/>
      <c r="CE47" s="72"/>
      <c r="CF47" s="72"/>
      <c r="CG47" s="72"/>
      <c r="CH47" s="72" t="s">
        <v>39</v>
      </c>
      <c r="CI47" s="72"/>
      <c r="CJ47" s="72"/>
      <c r="CK47" s="72"/>
      <c r="CL47" s="72"/>
      <c r="CM47" s="72" t="s">
        <v>40</v>
      </c>
      <c r="CN47" s="72"/>
      <c r="CO47" s="72"/>
      <c r="CP47" s="72"/>
      <c r="CQ47" s="72"/>
      <c r="CR47" s="72" t="s">
        <v>41</v>
      </c>
      <c r="CS47" s="72"/>
      <c r="CT47" s="72"/>
      <c r="CU47" s="72"/>
      <c r="CV47" s="72"/>
      <c r="CW47" s="72" t="s">
        <v>42</v>
      </c>
      <c r="CX47" s="72"/>
      <c r="CY47" s="72"/>
      <c r="CZ47" s="72"/>
      <c r="DA47" s="72"/>
      <c r="DB47" s="72" t="s">
        <v>43</v>
      </c>
      <c r="DC47" s="72"/>
      <c r="DD47" s="72"/>
      <c r="DE47" s="72"/>
      <c r="DF47" s="72"/>
      <c r="DG47" s="72" t="s">
        <v>36</v>
      </c>
      <c r="DH47" s="72"/>
      <c r="DI47" s="72"/>
      <c r="DJ47" s="72"/>
      <c r="DK47" s="72"/>
      <c r="DL47" s="72" t="s">
        <v>37</v>
      </c>
      <c r="DM47" s="72"/>
      <c r="DN47" s="72"/>
      <c r="DO47" s="72"/>
      <c r="DP47" s="72"/>
      <c r="DQ47" s="72" t="s">
        <v>26</v>
      </c>
      <c r="DR47" s="72"/>
      <c r="DS47" s="72"/>
      <c r="DT47" s="72"/>
      <c r="DU47" s="72"/>
      <c r="DV47" s="72" t="s">
        <v>27</v>
      </c>
      <c r="DW47" s="72"/>
      <c r="DX47" s="72"/>
      <c r="DY47" s="72"/>
      <c r="DZ47" s="72"/>
      <c r="EA47" s="72" t="s">
        <v>28</v>
      </c>
      <c r="EB47" s="72"/>
      <c r="EC47" s="72"/>
      <c r="ED47" s="72"/>
      <c r="EE47" s="72"/>
      <c r="EF47" s="72" t="s">
        <v>29</v>
      </c>
      <c r="EG47" s="72"/>
      <c r="EH47" s="72"/>
      <c r="EI47" s="72"/>
      <c r="EJ47" s="72"/>
      <c r="EK47" s="72" t="s">
        <v>38</v>
      </c>
      <c r="EL47" s="72"/>
      <c r="EM47" s="72"/>
      <c r="EN47" s="72"/>
      <c r="EO47" s="72"/>
      <c r="EP47" s="72" t="s">
        <v>39</v>
      </c>
      <c r="EQ47" s="72"/>
      <c r="ER47" s="72"/>
      <c r="ES47" s="72"/>
      <c r="ET47" s="72"/>
      <c r="EU47" s="72" t="s">
        <v>40</v>
      </c>
      <c r="EV47" s="72"/>
      <c r="EW47" s="72"/>
      <c r="EX47" s="72"/>
      <c r="EY47" s="72"/>
      <c r="EZ47" s="72" t="s">
        <v>41</v>
      </c>
      <c r="FA47" s="72"/>
      <c r="FB47" s="72"/>
      <c r="FC47" s="72"/>
      <c r="FD47" s="72"/>
      <c r="FE47" s="72" t="s">
        <v>42</v>
      </c>
      <c r="FF47" s="72"/>
      <c r="FG47" s="72"/>
      <c r="FH47" s="72"/>
      <c r="FI47" s="72"/>
      <c r="FJ47" s="72" t="s">
        <v>43</v>
      </c>
      <c r="FK47" s="72"/>
      <c r="FL47" s="72"/>
      <c r="FM47" s="72"/>
      <c r="FN47" s="72"/>
      <c r="FO47" s="72" t="s">
        <v>36</v>
      </c>
      <c r="FP47" s="72"/>
      <c r="FQ47" s="72"/>
      <c r="FR47" s="72"/>
      <c r="FS47" s="72"/>
      <c r="FT47" s="72" t="s">
        <v>37</v>
      </c>
      <c r="FU47" s="72"/>
      <c r="FV47" s="72"/>
      <c r="FW47" s="72"/>
      <c r="FX47" s="72"/>
      <c r="FY47" s="73" t="s">
        <v>26</v>
      </c>
      <c r="FZ47" s="73"/>
      <c r="GA47" s="73"/>
      <c r="GB47" s="73"/>
      <c r="GC47" s="72" t="s">
        <v>27</v>
      </c>
      <c r="GD47" s="72"/>
      <c r="GE47" s="72"/>
      <c r="GF47" s="72"/>
      <c r="GG47" s="72"/>
      <c r="GH47" s="74" t="s">
        <v>28</v>
      </c>
      <c r="GI47" s="74"/>
      <c r="GJ47" s="74"/>
      <c r="GK47" s="74"/>
      <c r="GL47" s="74"/>
      <c r="GM47" s="74" t="s">
        <v>29</v>
      </c>
      <c r="GN47" s="74"/>
      <c r="GO47" s="74"/>
      <c r="GP47" s="74"/>
      <c r="GQ47" s="74"/>
      <c r="GR47" s="74" t="s">
        <v>38</v>
      </c>
      <c r="GS47" s="74"/>
      <c r="GT47" s="74"/>
      <c r="GU47" s="74"/>
      <c r="GV47" s="74"/>
    </row>
    <row r="48" customFormat="false" ht="15.75" hidden="false" customHeight="true" outlineLevel="0" collapsed="false">
      <c r="A48" s="56" t="s">
        <v>18</v>
      </c>
      <c r="B48" s="68" t="n">
        <v>2425.5</v>
      </c>
      <c r="C48" s="58" t="n">
        <v>1924.1</v>
      </c>
      <c r="D48" s="58" t="n">
        <v>4060.5</v>
      </c>
      <c r="E48" s="58" t="n">
        <v>4152.5</v>
      </c>
      <c r="F48" s="75"/>
      <c r="G48" s="58" t="n">
        <v>1963.5</v>
      </c>
      <c r="H48" s="58" t="n">
        <v>1733</v>
      </c>
      <c r="I48" s="58" t="n">
        <v>2219</v>
      </c>
      <c r="J48" s="58" t="n">
        <v>2552.5</v>
      </c>
      <c r="K48" s="75"/>
      <c r="L48" s="58" t="n">
        <v>2511</v>
      </c>
      <c r="M48" s="58" t="n">
        <v>2381.5</v>
      </c>
      <c r="N48" s="58" t="n">
        <v>2356.5</v>
      </c>
      <c r="O48" s="58" t="n">
        <v>1653</v>
      </c>
      <c r="Q48" s="58" t="n">
        <v>2641.5</v>
      </c>
      <c r="R48" s="58" t="n">
        <v>3488</v>
      </c>
      <c r="S48" s="58" t="n">
        <v>2666</v>
      </c>
      <c r="T48" s="58" t="n">
        <v>2192.5</v>
      </c>
      <c r="U48" s="75"/>
      <c r="V48" s="58" t="n">
        <v>2131.5</v>
      </c>
      <c r="W48" s="58" t="n">
        <v>2140.5</v>
      </c>
      <c r="X48" s="58" t="n">
        <v>2145</v>
      </c>
      <c r="Y48" s="58" t="n">
        <v>2713.5</v>
      </c>
      <c r="Z48" s="58" t="n">
        <v>2610.5</v>
      </c>
      <c r="AA48" s="66" t="n">
        <v>2475</v>
      </c>
      <c r="AB48" s="66" t="n">
        <v>2881.01</v>
      </c>
      <c r="AC48" s="66" t="n">
        <v>4827</v>
      </c>
      <c r="AD48" s="70" t="n">
        <v>2890</v>
      </c>
      <c r="AE48" s="76"/>
      <c r="AF48" s="58" t="n">
        <v>2794.5</v>
      </c>
      <c r="AG48" s="58" t="n">
        <v>4478</v>
      </c>
      <c r="AH48" s="58" t="n">
        <v>2345.5</v>
      </c>
      <c r="AI48" s="58" t="n">
        <v>3324</v>
      </c>
      <c r="AJ48" s="57"/>
      <c r="AK48" s="58" t="n">
        <v>2163.51</v>
      </c>
      <c r="AL48" s="58" t="n">
        <v>2128.01</v>
      </c>
      <c r="AM48" s="58" t="n">
        <v>2641.02</v>
      </c>
      <c r="AN48" s="58" t="n">
        <v>2475.5</v>
      </c>
      <c r="AO48" s="58" t="n">
        <v>2202.57</v>
      </c>
      <c r="AP48" s="58" t="n">
        <v>4109.51</v>
      </c>
      <c r="AQ48" s="58" t="n">
        <v>1880.5</v>
      </c>
      <c r="AR48" s="58" t="n">
        <v>3158</v>
      </c>
      <c r="AS48" s="58" t="n">
        <v>2368.5</v>
      </c>
      <c r="AT48" s="58"/>
      <c r="AU48" s="58" t="n">
        <v>1906</v>
      </c>
      <c r="AV48" s="58" t="n">
        <v>2463.52</v>
      </c>
      <c r="AW48" s="58" t="n">
        <v>6636.5</v>
      </c>
      <c r="AX48" s="58" t="n">
        <v>2362.5</v>
      </c>
      <c r="AY48" s="58"/>
      <c r="AZ48" s="58" t="n">
        <v>3183.53</v>
      </c>
      <c r="BA48" s="58" t="n">
        <v>3076</v>
      </c>
      <c r="BB48" s="58" t="n">
        <v>2293</v>
      </c>
      <c r="BC48" s="58" t="n">
        <v>2313</v>
      </c>
      <c r="BD48" s="58" t="n">
        <v>4329</v>
      </c>
      <c r="BE48" s="58" t="n">
        <v>2145.5</v>
      </c>
      <c r="BF48" s="58" t="n">
        <v>2846.51</v>
      </c>
      <c r="BG48" s="58" t="n">
        <v>3812.01</v>
      </c>
      <c r="BH48" s="58" t="n">
        <v>2831.53</v>
      </c>
      <c r="BJ48" s="58" t="n">
        <v>3300.63</v>
      </c>
      <c r="BK48" s="58" t="n">
        <v>3647.55</v>
      </c>
      <c r="BL48" s="58" t="n">
        <v>3044.52</v>
      </c>
      <c r="BM48" s="58" t="n">
        <v>5501.53</v>
      </c>
      <c r="BO48" s="58" t="n">
        <v>3477.02</v>
      </c>
      <c r="BP48" s="58" t="n">
        <v>3917.53</v>
      </c>
      <c r="BQ48" s="58" t="n">
        <v>2444.53</v>
      </c>
      <c r="BR48" s="58" t="n">
        <v>3259.51</v>
      </c>
      <c r="BS48" s="58" t="n">
        <v>2397.07</v>
      </c>
      <c r="BT48" s="58" t="n">
        <v>2049</v>
      </c>
      <c r="BU48" s="58" t="n">
        <v>3081.04</v>
      </c>
      <c r="BV48" s="58" t="n">
        <v>4340.04</v>
      </c>
      <c r="BW48" s="58" t="n">
        <v>2297.56</v>
      </c>
      <c r="BX48" s="58"/>
      <c r="BY48" s="60" t="n">
        <v>1989.07</v>
      </c>
      <c r="BZ48" s="60" t="n">
        <v>3067.68</v>
      </c>
      <c r="CA48" s="60" t="n">
        <v>2431.9</v>
      </c>
      <c r="CB48" s="60" t="n">
        <v>1731.01</v>
      </c>
      <c r="CD48" s="58" t="n">
        <v>2002.58</v>
      </c>
      <c r="CE48" s="63" t="n">
        <v>2220.52</v>
      </c>
      <c r="CF48" s="58" t="n">
        <v>2158.65</v>
      </c>
      <c r="CG48" s="58" t="n">
        <v>1687.05</v>
      </c>
      <c r="CH48" s="58" t="n">
        <v>2267.5</v>
      </c>
      <c r="CI48" s="58" t="n">
        <v>3263.04</v>
      </c>
      <c r="CJ48" s="58" t="n">
        <v>2651.58</v>
      </c>
      <c r="CK48" s="58" t="n">
        <v>2250.08</v>
      </c>
      <c r="CL48" s="58" t="n">
        <v>2989.59</v>
      </c>
      <c r="CN48" s="58" t="n">
        <v>2502.51</v>
      </c>
      <c r="CO48" s="58" t="n">
        <v>2737.7</v>
      </c>
      <c r="CP48" s="58"/>
      <c r="CQ48" s="58" t="n">
        <v>2664.13</v>
      </c>
      <c r="CR48" s="58" t="n">
        <v>2738.03</v>
      </c>
      <c r="CS48" s="58" t="n">
        <v>2681.05</v>
      </c>
      <c r="CT48" s="58" t="n">
        <v>2699.02</v>
      </c>
      <c r="CU48" s="63" t="n">
        <v>2559.01</v>
      </c>
      <c r="CV48" s="58" t="n">
        <v>3228.05</v>
      </c>
      <c r="CX48" s="58" t="n">
        <v>4573.11</v>
      </c>
      <c r="CY48" s="58" t="n">
        <v>1874.51</v>
      </c>
      <c r="CZ48" s="58" t="n">
        <v>5089.51</v>
      </c>
      <c r="DA48" s="58" t="n">
        <v>3520.01</v>
      </c>
      <c r="DC48" s="58" t="n">
        <v>2204.51</v>
      </c>
      <c r="DD48" s="58" t="n">
        <v>4360.75</v>
      </c>
      <c r="DE48" s="58" t="n">
        <v>4523.53</v>
      </c>
      <c r="DF48" s="58" t="n">
        <v>3022.25</v>
      </c>
      <c r="DG48" s="58" t="n">
        <v>3672.88</v>
      </c>
      <c r="DH48" s="58" t="n">
        <v>2929.75</v>
      </c>
      <c r="DI48" s="58" t="n">
        <v>2508</v>
      </c>
      <c r="DJ48" s="58" t="n">
        <v>2607.75</v>
      </c>
      <c r="DK48" s="58" t="n">
        <v>2174.5</v>
      </c>
      <c r="DM48" s="58" t="n">
        <v>2484</v>
      </c>
      <c r="DN48" s="58" t="n">
        <v>2271.75</v>
      </c>
      <c r="DO48" s="58" t="n">
        <v>4567.5</v>
      </c>
      <c r="DP48" s="58" t="n">
        <v>3328</v>
      </c>
      <c r="DR48" s="58" t="n">
        <v>2798.26</v>
      </c>
      <c r="DS48" s="58" t="n">
        <v>4290.77</v>
      </c>
      <c r="DT48" s="58" t="n">
        <v>3555.75</v>
      </c>
      <c r="DU48" s="58" t="n">
        <v>2615.5</v>
      </c>
      <c r="DV48" s="58" t="n">
        <v>2419.5</v>
      </c>
      <c r="DW48" s="58" t="n">
        <v>4028.76</v>
      </c>
      <c r="DX48" s="58" t="n">
        <v>2149.75</v>
      </c>
      <c r="DY48" s="58" t="n">
        <v>2571.51</v>
      </c>
      <c r="DZ48" s="58" t="n">
        <v>2315.75</v>
      </c>
      <c r="EB48" s="58" t="n">
        <v>2848.51</v>
      </c>
      <c r="EC48" s="58" t="n">
        <v>2065.51</v>
      </c>
      <c r="ED48" s="58" t="n">
        <v>2463.06</v>
      </c>
      <c r="EE48" s="58" t="n">
        <v>3103.76</v>
      </c>
      <c r="EG48" s="58" t="n">
        <v>2122.81</v>
      </c>
      <c r="EH48" s="58" t="n">
        <v>1417.26</v>
      </c>
      <c r="EI48" s="58" t="n">
        <v>2093.52</v>
      </c>
      <c r="EJ48" s="58" t="n">
        <v>2601.76</v>
      </c>
      <c r="EK48" s="58" t="n">
        <v>1652.16</v>
      </c>
      <c r="EL48" s="58" t="n">
        <v>1793</v>
      </c>
      <c r="EM48" s="58" t="n">
        <v>2079.5</v>
      </c>
      <c r="EN48" s="58" t="n">
        <v>1500.77</v>
      </c>
      <c r="EO48" s="58" t="n">
        <v>1438</v>
      </c>
      <c r="EQ48" s="58" t="n">
        <v>3226</v>
      </c>
      <c r="ER48" s="58" t="n">
        <v>1470.52</v>
      </c>
      <c r="ES48" s="58" t="n">
        <v>1729</v>
      </c>
      <c r="ET48" s="58" t="n">
        <v>1445.76</v>
      </c>
      <c r="EV48" s="58" t="n">
        <v>3270</v>
      </c>
      <c r="EW48" s="58" t="n">
        <v>2170.52</v>
      </c>
      <c r="EX48" s="58" t="n">
        <v>1835</v>
      </c>
      <c r="EY48" s="58" t="n">
        <v>1707.51</v>
      </c>
      <c r="EZ48" s="10" t="n">
        <v>3205.01</v>
      </c>
      <c r="FA48" s="10" t="n">
        <v>2873.5</v>
      </c>
      <c r="FB48" s="10" t="n">
        <v>2154.75</v>
      </c>
      <c r="FC48" s="10" t="n">
        <v>943.5</v>
      </c>
      <c r="FD48" s="10" t="n">
        <v>2091.01</v>
      </c>
      <c r="FF48" s="10" t="n">
        <v>4037.02</v>
      </c>
      <c r="FG48" s="10" t="n">
        <v>1076.01</v>
      </c>
      <c r="FH48" s="10" t="n">
        <v>2376.5</v>
      </c>
      <c r="FI48" s="10" t="n">
        <v>1874.5</v>
      </c>
      <c r="FK48" s="10" t="n">
        <v>2232</v>
      </c>
      <c r="FL48" s="10" t="n">
        <v>2552</v>
      </c>
      <c r="FM48" s="10" t="n">
        <v>1562.5</v>
      </c>
      <c r="FN48" s="10" t="n">
        <v>1871</v>
      </c>
      <c r="FO48" s="10" t="n">
        <v>3679</v>
      </c>
      <c r="FP48" s="10" t="n">
        <v>2690.5</v>
      </c>
      <c r="FQ48" s="10" t="n">
        <v>1849</v>
      </c>
      <c r="FR48" s="10" t="n">
        <v>2690.5</v>
      </c>
      <c r="FS48" s="10" t="n">
        <v>3029</v>
      </c>
      <c r="FU48" s="8" t="n">
        <v>2465</v>
      </c>
      <c r="FV48" s="8" t="n">
        <v>2547.5</v>
      </c>
      <c r="FW48" s="8" t="n">
        <v>2201.51</v>
      </c>
      <c r="FX48" s="8" t="n">
        <v>1805</v>
      </c>
      <c r="FY48" s="8" t="n">
        <v>2024.5</v>
      </c>
      <c r="FZ48" s="8" t="n">
        <v>3695</v>
      </c>
      <c r="GA48" s="8" t="n">
        <v>2008.5</v>
      </c>
      <c r="GB48" s="8" t="n">
        <v>1943</v>
      </c>
      <c r="GC48" s="8" t="n">
        <v>1674.5</v>
      </c>
      <c r="GD48" s="8" t="n">
        <v>2013.5</v>
      </c>
      <c r="GE48" s="8" t="n">
        <v>1635.5</v>
      </c>
      <c r="GF48" s="8" t="n">
        <v>1080</v>
      </c>
      <c r="GG48" s="8" t="n">
        <v>2178</v>
      </c>
      <c r="GI48" s="8" t="n">
        <v>1649.01</v>
      </c>
      <c r="GJ48" s="8" t="n">
        <v>1953</v>
      </c>
      <c r="GK48" s="8" t="n">
        <v>2595</v>
      </c>
      <c r="GL48" s="8" t="n">
        <v>1975</v>
      </c>
      <c r="GM48" s="8" t="n">
        <v>2540</v>
      </c>
      <c r="GN48" s="36" t="n">
        <v>1685</v>
      </c>
      <c r="GO48" s="8" t="n">
        <v>1406</v>
      </c>
      <c r="GP48" s="36" t="n">
        <v>3036.5</v>
      </c>
      <c r="GR48" s="8" t="n">
        <v>2459.5</v>
      </c>
      <c r="GS48" s="8" t="n">
        <v>1740.5</v>
      </c>
      <c r="GT48" s="8" t="n">
        <v>2679.5</v>
      </c>
      <c r="GU48" s="8" t="n">
        <v>1102</v>
      </c>
      <c r="GV48" s="8" t="n">
        <v>172.5</v>
      </c>
    </row>
    <row r="49" customFormat="false" ht="15.75" hidden="false" customHeight="true" outlineLevel="0" collapsed="false">
      <c r="A49" s="56" t="s">
        <v>20</v>
      </c>
      <c r="B49" s="68" t="n">
        <v>4354</v>
      </c>
      <c r="C49" s="58" t="n">
        <v>2705.14</v>
      </c>
      <c r="D49" s="58" t="n">
        <v>3627.5</v>
      </c>
      <c r="E49" s="58" t="n">
        <v>4456.5</v>
      </c>
      <c r="F49" s="75"/>
      <c r="G49" s="58" t="n">
        <v>2828.5</v>
      </c>
      <c r="H49" s="58" t="n">
        <v>3690</v>
      </c>
      <c r="I49" s="58" t="n">
        <v>2553.5</v>
      </c>
      <c r="J49" s="58" t="n">
        <v>2440.5</v>
      </c>
      <c r="K49" s="75"/>
      <c r="L49" s="58" t="n">
        <v>2393.5</v>
      </c>
      <c r="M49" s="58" t="n">
        <v>1988</v>
      </c>
      <c r="N49" s="58" t="n">
        <v>4678.5</v>
      </c>
      <c r="O49" s="58" t="n">
        <v>2390</v>
      </c>
      <c r="Q49" s="58" t="n">
        <v>4765</v>
      </c>
      <c r="R49" s="58" t="n">
        <v>3590.5</v>
      </c>
      <c r="S49" s="58" t="n">
        <v>3580.5</v>
      </c>
      <c r="T49" s="58" t="n">
        <v>4254.5</v>
      </c>
      <c r="U49" s="75"/>
      <c r="V49" s="58" t="n">
        <v>1955.5</v>
      </c>
      <c r="W49" s="58" t="n">
        <v>2227.5</v>
      </c>
      <c r="X49" s="58" t="n">
        <v>2556</v>
      </c>
      <c r="Y49" s="58" t="n">
        <v>3506</v>
      </c>
      <c r="Z49" s="58" t="n">
        <v>2460</v>
      </c>
      <c r="AA49" s="58" t="n">
        <v>3082.52</v>
      </c>
      <c r="AB49" s="58" t="n">
        <v>3468.5</v>
      </c>
      <c r="AC49" s="58" t="n">
        <v>6342.01</v>
      </c>
      <c r="AE49" s="58" t="n">
        <v>4263</v>
      </c>
      <c r="AF49" s="58" t="n">
        <v>3748.51</v>
      </c>
      <c r="AG49" s="58" t="n">
        <v>3859</v>
      </c>
      <c r="AH49" s="58" t="n">
        <v>3308.01</v>
      </c>
      <c r="AI49" s="58" t="n">
        <v>2423.5</v>
      </c>
      <c r="AJ49" s="57"/>
      <c r="AK49" s="58" t="n">
        <v>5262.5</v>
      </c>
      <c r="AL49" s="58" t="n">
        <v>2463</v>
      </c>
      <c r="AM49" s="58" t="n">
        <v>2972</v>
      </c>
      <c r="AN49" s="58" t="n">
        <v>3361.5</v>
      </c>
      <c r="AO49" s="58" t="n">
        <v>2904.5</v>
      </c>
      <c r="AP49" s="58" t="n">
        <v>4020</v>
      </c>
      <c r="AQ49" s="58" t="n">
        <v>2136.59</v>
      </c>
      <c r="AR49" s="58" t="n">
        <v>2059.5</v>
      </c>
      <c r="AS49" s="58" t="n">
        <v>2282</v>
      </c>
      <c r="AT49" s="58"/>
      <c r="AU49" s="58" t="n">
        <v>3034.5</v>
      </c>
      <c r="AV49" s="58" t="n">
        <v>3122.5</v>
      </c>
      <c r="AW49" s="58" t="n">
        <v>2481</v>
      </c>
      <c r="AX49" s="58" t="n">
        <v>2935.53</v>
      </c>
      <c r="AY49" s="58"/>
      <c r="AZ49" s="58" t="n">
        <v>2779</v>
      </c>
      <c r="BA49" s="58" t="n">
        <v>3028.01</v>
      </c>
      <c r="BB49" s="58" t="n">
        <v>2868.5</v>
      </c>
      <c r="BC49" s="58" t="n">
        <v>3151.51</v>
      </c>
      <c r="BD49" s="58" t="n">
        <v>3538.5</v>
      </c>
      <c r="BE49" s="58" t="n">
        <v>2845</v>
      </c>
      <c r="BF49" s="58" t="n">
        <v>3897.01</v>
      </c>
      <c r="BG49" s="58" t="n">
        <v>4180</v>
      </c>
      <c r="BH49" s="58" t="n">
        <v>3881.01</v>
      </c>
      <c r="BJ49" s="58" t="n">
        <v>4051.51</v>
      </c>
      <c r="BK49" s="58" t="n">
        <v>4739.5</v>
      </c>
      <c r="BL49" s="58" t="n">
        <v>2547.53</v>
      </c>
      <c r="BM49" s="58" t="n">
        <v>6711.53</v>
      </c>
      <c r="BO49" s="58" t="n">
        <v>4959.07</v>
      </c>
      <c r="BP49" s="58" t="n">
        <v>5202</v>
      </c>
      <c r="BQ49" s="58" t="n">
        <v>4869.08</v>
      </c>
      <c r="BR49" s="58" t="n">
        <v>3560.5</v>
      </c>
      <c r="BS49" s="58" t="n">
        <v>3490.12</v>
      </c>
      <c r="BT49" s="58" t="n">
        <v>3501.51</v>
      </c>
      <c r="BU49" s="58" t="n">
        <v>3665.53</v>
      </c>
      <c r="BV49" s="58" t="n">
        <v>4233.52</v>
      </c>
      <c r="BW49" s="58" t="n">
        <v>3683.05</v>
      </c>
      <c r="BX49" s="58"/>
      <c r="BY49" s="60" t="n">
        <v>2624.08</v>
      </c>
      <c r="BZ49" s="60" t="n">
        <v>2663.59</v>
      </c>
      <c r="CA49" s="60" t="n">
        <v>2303.08</v>
      </c>
      <c r="CB49" s="60" t="n">
        <v>3429.01</v>
      </c>
      <c r="CD49" s="58" t="n">
        <v>2648.57</v>
      </c>
      <c r="CE49" s="58" t="n">
        <v>1779.11</v>
      </c>
      <c r="CF49" s="58" t="n">
        <v>2025.03</v>
      </c>
      <c r="CG49" s="58" t="n">
        <v>3827.66</v>
      </c>
      <c r="CH49" s="58" t="n">
        <v>3462.5</v>
      </c>
      <c r="CI49" s="58" t="n">
        <v>2942.51</v>
      </c>
      <c r="CJ49" s="58" t="n">
        <v>2505.5</v>
      </c>
      <c r="CK49" s="63" t="n">
        <v>2718.09</v>
      </c>
      <c r="CL49" s="58" t="n">
        <v>3831.03</v>
      </c>
      <c r="CN49" s="58" t="n">
        <v>2849.68</v>
      </c>
      <c r="CO49" s="58" t="n">
        <v>2837.1</v>
      </c>
      <c r="CP49" s="58" t="n">
        <v>2925.06</v>
      </c>
      <c r="CQ49" s="58" t="n">
        <v>3321.55</v>
      </c>
      <c r="CR49" s="58" t="n">
        <v>2823.51</v>
      </c>
      <c r="CS49" s="58" t="n">
        <v>2430.52</v>
      </c>
      <c r="CT49" s="58" t="n">
        <v>4766.03</v>
      </c>
      <c r="CU49" s="58" t="n">
        <v>2304.51</v>
      </c>
      <c r="CW49" s="58" t="n">
        <v>2892.04</v>
      </c>
      <c r="CX49" s="58" t="n">
        <v>4419.53</v>
      </c>
      <c r="CY49" s="58" t="n">
        <v>3094.03</v>
      </c>
      <c r="CZ49" s="58" t="n">
        <v>3999.38</v>
      </c>
      <c r="DA49" s="58" t="n">
        <v>2468.53</v>
      </c>
      <c r="DC49" s="58" t="n">
        <v>3185.51</v>
      </c>
      <c r="DD49" s="58" t="n">
        <v>5184.8</v>
      </c>
      <c r="DE49" s="58" t="n">
        <v>6178.52</v>
      </c>
      <c r="DF49" s="58" t="n">
        <v>2917.27</v>
      </c>
      <c r="DG49" s="58" t="n">
        <v>3349.51</v>
      </c>
      <c r="DH49" s="58" t="n">
        <v>2934.75</v>
      </c>
      <c r="DI49" s="58" t="n">
        <v>3633.6</v>
      </c>
      <c r="DJ49" s="58"/>
      <c r="DM49" s="58" t="n">
        <v>3829.85</v>
      </c>
      <c r="DN49" s="58" t="n">
        <v>3730.25</v>
      </c>
      <c r="DO49" s="58" t="n">
        <v>3183.75</v>
      </c>
      <c r="DP49" s="57" t="n">
        <v>4182</v>
      </c>
      <c r="DR49" s="58" t="n">
        <v>3123.29</v>
      </c>
      <c r="DS49" s="58" t="n">
        <v>4036</v>
      </c>
      <c r="DT49" s="58" t="n">
        <v>3488.54</v>
      </c>
      <c r="DU49" s="58" t="n">
        <v>3972.76</v>
      </c>
      <c r="DW49" s="58" t="n">
        <v>3807.25</v>
      </c>
      <c r="DX49" s="58" t="n">
        <v>2203.75</v>
      </c>
      <c r="DY49" s="58" t="n">
        <v>2507.52</v>
      </c>
      <c r="DZ49" s="58" t="n">
        <v>2303.25</v>
      </c>
      <c r="EA49" s="58" t="n">
        <v>2152.27</v>
      </c>
      <c r="EB49" s="58" t="n">
        <v>1988.75</v>
      </c>
      <c r="EC49" s="58" t="n">
        <v>1480.76</v>
      </c>
      <c r="ED49" s="58" t="n">
        <v>2204.5</v>
      </c>
      <c r="EE49" s="58" t="n">
        <v>2110.78</v>
      </c>
      <c r="EG49" s="58" t="n">
        <v>2852.76</v>
      </c>
      <c r="EH49" s="58" t="n">
        <v>1942.27</v>
      </c>
      <c r="EI49" s="58" t="n">
        <v>2438</v>
      </c>
      <c r="EJ49" s="58" t="n">
        <v>2284.83</v>
      </c>
      <c r="EL49" s="58" t="n">
        <v>1909.01</v>
      </c>
      <c r="EM49" s="58" t="n">
        <v>2123.76</v>
      </c>
      <c r="EN49" s="58" t="n">
        <v>1245.76</v>
      </c>
      <c r="EO49" s="58" t="n">
        <v>1397.52</v>
      </c>
      <c r="EP49" s="58" t="n">
        <v>1645.71</v>
      </c>
      <c r="EQ49" s="58" t="n">
        <v>1465.51</v>
      </c>
      <c r="ER49" s="58" t="n">
        <v>2484.4</v>
      </c>
      <c r="ES49" s="58" t="n">
        <v>2054.54</v>
      </c>
      <c r="ET49" s="58" t="n">
        <v>2105.26</v>
      </c>
      <c r="EV49" s="58" t="n">
        <v>2543.54</v>
      </c>
      <c r="EW49" s="58" t="n">
        <v>3052</v>
      </c>
      <c r="EX49" s="58" t="n">
        <v>2066</v>
      </c>
      <c r="EY49" s="58" t="n">
        <v>2295</v>
      </c>
      <c r="EZ49" s="10" t="n">
        <v>2619</v>
      </c>
      <c r="FA49" s="10" t="n">
        <v>1530.5</v>
      </c>
      <c r="FB49" s="10" t="n">
        <v>1894.51</v>
      </c>
      <c r="FC49" s="10" t="n">
        <v>1312.52</v>
      </c>
      <c r="FD49" s="10" t="n">
        <v>2125.52</v>
      </c>
      <c r="FF49" s="10" t="n">
        <v>5475.01</v>
      </c>
      <c r="FG49" s="10" t="n">
        <v>2593.01</v>
      </c>
      <c r="FH49" s="10" t="n">
        <v>2089.5</v>
      </c>
      <c r="FI49" s="10" t="n">
        <v>835</v>
      </c>
      <c r="FK49" s="10" t="n">
        <v>1153.25</v>
      </c>
      <c r="FL49" s="10" t="n">
        <v>3252.5</v>
      </c>
      <c r="FM49" s="10" t="n">
        <v>1135.01</v>
      </c>
      <c r="FN49" s="10" t="n">
        <v>1636</v>
      </c>
      <c r="FO49" s="10" t="n">
        <v>2380</v>
      </c>
      <c r="FP49" s="10" t="n">
        <v>3328.5</v>
      </c>
      <c r="FQ49" s="10" t="n">
        <v>1986.51</v>
      </c>
      <c r="FR49" s="10" t="n">
        <v>1277.02</v>
      </c>
      <c r="FS49" s="10" t="n">
        <v>2334.51</v>
      </c>
      <c r="FU49" s="8" t="n">
        <v>2457.51</v>
      </c>
      <c r="FV49" s="8" t="n">
        <v>1989</v>
      </c>
      <c r="FW49" s="8" t="n">
        <v>7027.02</v>
      </c>
      <c r="FX49" s="8" t="n">
        <v>2564</v>
      </c>
      <c r="FY49" s="8" t="n">
        <v>2597.5</v>
      </c>
      <c r="FZ49" s="36" t="n">
        <v>3054.5</v>
      </c>
      <c r="GA49" s="8" t="n">
        <v>2237</v>
      </c>
      <c r="GB49" s="8" t="n">
        <v>2723.5</v>
      </c>
      <c r="GC49" s="8" t="n">
        <v>3251</v>
      </c>
      <c r="GD49" s="36" t="n">
        <v>2396</v>
      </c>
      <c r="GE49" s="8" t="n">
        <v>2055.5</v>
      </c>
      <c r="GF49" s="8" t="n">
        <v>2301</v>
      </c>
      <c r="GG49" s="8" t="n">
        <v>2128</v>
      </c>
      <c r="GI49" s="8" t="n">
        <v>1514</v>
      </c>
      <c r="GJ49" s="8" t="n">
        <v>2354.55</v>
      </c>
      <c r="GK49" s="8" t="n">
        <v>3196.5</v>
      </c>
      <c r="GL49" s="8" t="n">
        <v>2608.52</v>
      </c>
      <c r="GM49" s="8" t="n">
        <v>1781</v>
      </c>
      <c r="GN49" s="8" t="n">
        <v>2066</v>
      </c>
      <c r="GO49" s="8" t="n">
        <v>1741</v>
      </c>
      <c r="GP49" s="8" t="n">
        <v>1590.5</v>
      </c>
      <c r="GR49" s="8" t="n">
        <v>2137.5</v>
      </c>
      <c r="GS49" s="8" t="n">
        <v>2010</v>
      </c>
      <c r="GT49" s="8" t="n">
        <v>1493.5</v>
      </c>
      <c r="GU49" s="8" t="n">
        <v>1894</v>
      </c>
      <c r="GV49" s="8" t="n">
        <v>1627.5</v>
      </c>
    </row>
    <row r="50" customFormat="false" ht="15.75" hidden="false" customHeight="true" outlineLevel="0" collapsed="false">
      <c r="A50" s="56" t="s">
        <v>7</v>
      </c>
      <c r="B50" s="58" t="n">
        <v>3910.81</v>
      </c>
      <c r="C50" s="58" t="n">
        <v>2399.9</v>
      </c>
      <c r="D50" s="58" t="n">
        <v>3655.62</v>
      </c>
      <c r="E50" s="58" t="n">
        <v>4146.5</v>
      </c>
      <c r="F50" s="58" t="n">
        <v>2935</v>
      </c>
      <c r="G50" s="58" t="n">
        <v>3716</v>
      </c>
      <c r="H50" s="58" t="n">
        <v>3608.5</v>
      </c>
      <c r="I50" s="58" t="n">
        <v>3062</v>
      </c>
      <c r="J50" s="58" t="n">
        <v>2898.31</v>
      </c>
      <c r="K50" s="75"/>
      <c r="L50" s="58" t="n">
        <v>2022.5</v>
      </c>
      <c r="M50" s="58" t="n">
        <v>2640</v>
      </c>
      <c r="N50" s="58" t="n">
        <v>2052.5</v>
      </c>
      <c r="O50" s="58" t="n">
        <v>2691</v>
      </c>
      <c r="Q50" s="58" t="n">
        <v>4180.5</v>
      </c>
      <c r="R50" s="58" t="n">
        <v>2005.5</v>
      </c>
      <c r="S50" s="58" t="n">
        <v>3120.5</v>
      </c>
      <c r="T50" s="58" t="n">
        <v>2231</v>
      </c>
      <c r="U50" s="75"/>
      <c r="V50" s="58" t="n">
        <v>3011.5</v>
      </c>
      <c r="W50" s="58" t="n">
        <v>3156.51</v>
      </c>
      <c r="X50" s="58" t="n">
        <v>2371</v>
      </c>
      <c r="Y50" s="58" t="n">
        <v>3397</v>
      </c>
      <c r="Z50" s="58" t="n">
        <v>2996.5</v>
      </c>
      <c r="AA50" s="58" t="n">
        <v>3377.5</v>
      </c>
      <c r="AB50" s="58" t="n">
        <v>3813</v>
      </c>
      <c r="AC50" s="58" t="n">
        <v>5435</v>
      </c>
      <c r="AE50" s="58" t="n">
        <v>3839.5</v>
      </c>
      <c r="AF50" s="58" t="n">
        <v>3880.5</v>
      </c>
      <c r="AG50" s="58" t="n">
        <v>3860.01</v>
      </c>
      <c r="AH50" s="58" t="n">
        <v>3837.04</v>
      </c>
      <c r="AI50" s="58" t="n">
        <v>3032.01</v>
      </c>
      <c r="AJ50" s="57"/>
      <c r="AK50" s="58" t="n">
        <v>2961.01</v>
      </c>
      <c r="AL50" s="58" t="n">
        <v>3068</v>
      </c>
      <c r="AM50" s="58" t="n">
        <v>2657</v>
      </c>
      <c r="AN50" s="58" t="n">
        <v>3391</v>
      </c>
      <c r="AO50" s="57"/>
      <c r="AP50" s="58" t="n">
        <v>3080.5</v>
      </c>
      <c r="AQ50" s="58" t="n">
        <v>3153.51</v>
      </c>
      <c r="AR50" s="58" t="n">
        <v>3622.5</v>
      </c>
      <c r="AS50" s="58" t="n">
        <v>2955</v>
      </c>
      <c r="AT50" s="58" t="n">
        <v>3877.5</v>
      </c>
      <c r="AU50" s="58" t="n">
        <v>3194.02</v>
      </c>
      <c r="AV50" s="58" t="n">
        <v>8558.5</v>
      </c>
      <c r="AW50" s="58" t="n">
        <v>3232</v>
      </c>
      <c r="AX50" s="58" t="n">
        <v>2625</v>
      </c>
      <c r="AY50" s="58"/>
      <c r="AZ50" s="58" t="n">
        <v>2817.5</v>
      </c>
      <c r="BA50" s="58" t="n">
        <v>3176</v>
      </c>
      <c r="BB50" s="58" t="n">
        <v>2735.51</v>
      </c>
      <c r="BC50" s="58" t="n">
        <v>3852.5</v>
      </c>
      <c r="BD50" s="58" t="n">
        <v>3345.5</v>
      </c>
      <c r="BE50" s="58" t="n">
        <v>3176.51</v>
      </c>
      <c r="BF50" s="58" t="n">
        <v>3552.02</v>
      </c>
      <c r="BG50" s="58" t="n">
        <v>4146.5</v>
      </c>
      <c r="BH50" s="58" t="n">
        <v>3380</v>
      </c>
      <c r="BJ50" s="58" t="n">
        <v>3850</v>
      </c>
      <c r="BK50" s="58" t="n">
        <v>3983.03</v>
      </c>
      <c r="BL50" s="58" t="n">
        <v>3458.5</v>
      </c>
      <c r="BM50" s="58" t="n">
        <v>7669.51</v>
      </c>
      <c r="BO50" s="58" t="n">
        <v>4626.51</v>
      </c>
      <c r="BP50" s="58" t="n">
        <v>4511.03</v>
      </c>
      <c r="BQ50" s="58" t="n">
        <v>3148.57</v>
      </c>
      <c r="BR50" s="58" t="n">
        <v>3606.51</v>
      </c>
      <c r="BS50" s="58" t="n">
        <v>2457.5</v>
      </c>
      <c r="BT50" s="58" t="n">
        <v>3855.04</v>
      </c>
      <c r="BU50" s="58" t="n">
        <v>3542.58</v>
      </c>
      <c r="BV50" s="58" t="n">
        <v>2946.53</v>
      </c>
      <c r="BX50" s="60" t="n">
        <v>3035.03</v>
      </c>
      <c r="BY50" s="60" t="n">
        <v>2410.55</v>
      </c>
      <c r="BZ50" s="60" t="n">
        <v>2751.06</v>
      </c>
      <c r="CA50" s="60" t="n">
        <v>2339.07</v>
      </c>
      <c r="CB50" s="60" t="n">
        <v>2695.66</v>
      </c>
      <c r="CD50" s="58" t="n">
        <v>2459.08</v>
      </c>
      <c r="CE50" s="58" t="n">
        <v>3044.03</v>
      </c>
      <c r="CF50" s="58" t="n">
        <v>2132.57</v>
      </c>
      <c r="CG50" s="58" t="n">
        <v>3091.06</v>
      </c>
      <c r="CH50" s="58" t="n">
        <v>3879.05</v>
      </c>
      <c r="CI50" s="63" t="n">
        <v>2437.05</v>
      </c>
      <c r="CJ50" s="58" t="n">
        <v>3621.52</v>
      </c>
      <c r="CK50" s="58" t="n">
        <v>3490.5</v>
      </c>
      <c r="CL50" s="58" t="n">
        <v>2610.6</v>
      </c>
      <c r="CN50" s="58" t="n">
        <v>1872.57</v>
      </c>
      <c r="CO50" s="58" t="n">
        <v>3064.52</v>
      </c>
      <c r="CP50" s="58" t="n">
        <v>3664</v>
      </c>
      <c r="CQ50" s="58" t="n">
        <v>2664.13</v>
      </c>
      <c r="CR50" s="58" t="n">
        <v>2639.54</v>
      </c>
      <c r="CS50" s="58" t="n">
        <v>2415.5</v>
      </c>
      <c r="CT50" s="58" t="n">
        <v>3146.5</v>
      </c>
      <c r="CU50" s="58" t="n">
        <v>2470.5</v>
      </c>
      <c r="CW50" s="58" t="n">
        <v>3157.5</v>
      </c>
      <c r="CX50" s="58" t="n">
        <v>4276.57</v>
      </c>
      <c r="CY50" s="58" t="n">
        <v>2191.5</v>
      </c>
      <c r="CZ50" s="58" t="n">
        <v>1713.06</v>
      </c>
      <c r="DA50" s="58" t="n">
        <v>2949</v>
      </c>
      <c r="DC50" s="58" t="n">
        <v>2361.06</v>
      </c>
      <c r="DD50" s="58" t="n">
        <v>6840.76</v>
      </c>
      <c r="DE50" s="58" t="n">
        <v>7137.28</v>
      </c>
      <c r="DF50" s="58" t="n">
        <v>3455.25</v>
      </c>
      <c r="DG50" s="58" t="n">
        <v>2933</v>
      </c>
      <c r="DH50" s="58" t="n">
        <v>2933.75</v>
      </c>
      <c r="DI50" s="58" t="n">
        <v>2616</v>
      </c>
      <c r="DJ50" s="58" t="n">
        <v>1349.75</v>
      </c>
      <c r="DM50" s="58" t="n">
        <v>4595.25</v>
      </c>
      <c r="DN50" s="58" t="n">
        <v>3770.26</v>
      </c>
      <c r="DO50" s="58" t="n">
        <v>3561</v>
      </c>
      <c r="DP50" s="58" t="n">
        <v>4014.01</v>
      </c>
      <c r="DR50" s="58" t="n">
        <v>3196.5</v>
      </c>
      <c r="DS50" s="58" t="n">
        <v>5012.26</v>
      </c>
      <c r="DT50" s="58" t="n">
        <v>4198.01</v>
      </c>
      <c r="DU50" s="58" t="n">
        <v>3786.25</v>
      </c>
      <c r="DW50" s="58" t="n">
        <v>3865.78</v>
      </c>
      <c r="DX50" s="58" t="n">
        <v>3651</v>
      </c>
      <c r="DY50" s="58" t="n">
        <v>2404.02</v>
      </c>
      <c r="DZ50" s="58" t="n">
        <v>3328.25</v>
      </c>
      <c r="EA50" s="58" t="n">
        <v>2586.75</v>
      </c>
      <c r="EB50" s="58" t="n">
        <v>2392</v>
      </c>
      <c r="EC50" s="58" t="n">
        <v>3039</v>
      </c>
      <c r="ED50" s="58" t="n">
        <v>2588.51</v>
      </c>
      <c r="EE50" s="58" t="n">
        <v>3014.75</v>
      </c>
      <c r="EG50" s="58" t="n">
        <v>2315.5</v>
      </c>
      <c r="EH50" s="58" t="n">
        <v>2700</v>
      </c>
      <c r="EI50" s="58" t="n">
        <v>2086.76</v>
      </c>
      <c r="EJ50" s="58" t="n">
        <v>2608.02</v>
      </c>
      <c r="EL50" s="58" t="n">
        <v>2132.76</v>
      </c>
      <c r="EM50" s="58" t="n">
        <v>2997.75</v>
      </c>
      <c r="EN50" s="58" t="n">
        <v>2614.03</v>
      </c>
      <c r="EO50" s="58" t="n">
        <v>2021.76</v>
      </c>
      <c r="EP50" s="58" t="n">
        <v>2767.5</v>
      </c>
      <c r="EQ50" s="58" t="n">
        <v>2495.5</v>
      </c>
      <c r="ER50" s="58" t="n">
        <v>2447.5</v>
      </c>
      <c r="ES50" s="58" t="n">
        <v>2148.03</v>
      </c>
      <c r="ET50" s="58" t="n">
        <v>2285.01</v>
      </c>
      <c r="EV50" s="58" t="n">
        <v>2101.01</v>
      </c>
      <c r="EW50" s="58" t="n">
        <v>3561.52</v>
      </c>
      <c r="EX50" s="58" t="n">
        <v>1960</v>
      </c>
      <c r="EY50" s="58" t="n">
        <v>3937.5</v>
      </c>
      <c r="EZ50" s="10" t="n">
        <v>2668.51</v>
      </c>
      <c r="FA50" s="10" t="n">
        <v>2097.29</v>
      </c>
      <c r="FB50" s="10" t="n">
        <v>2338.51</v>
      </c>
      <c r="FC50" s="10" t="n">
        <v>2002.04</v>
      </c>
      <c r="FE50" s="10" t="n">
        <v>1866.01</v>
      </c>
      <c r="FF50" s="10" t="n">
        <v>7205.5</v>
      </c>
      <c r="FG50" s="10" t="n">
        <v>2003.52</v>
      </c>
      <c r="FH50" s="10" t="n">
        <v>2055.5</v>
      </c>
      <c r="FI50" s="10" t="n">
        <v>2232.03</v>
      </c>
      <c r="FK50" s="10" t="n">
        <v>2083.5</v>
      </c>
      <c r="FL50" s="10" t="n">
        <v>1830.5</v>
      </c>
      <c r="FM50" s="10" t="n">
        <v>2343.01</v>
      </c>
      <c r="FN50" s="10" t="n">
        <v>2386</v>
      </c>
      <c r="FO50" s="10" t="n">
        <v>3015.02</v>
      </c>
      <c r="FP50" s="10" t="n">
        <v>2934.01</v>
      </c>
      <c r="FQ50" s="10" t="n">
        <v>1610</v>
      </c>
      <c r="FR50" s="10"/>
      <c r="FU50" s="8" t="n">
        <v>3659</v>
      </c>
      <c r="FV50" s="8" t="n">
        <v>3473.04</v>
      </c>
      <c r="FW50" s="8" t="n">
        <v>1784</v>
      </c>
      <c r="FX50" s="8" t="n">
        <v>4048.5</v>
      </c>
      <c r="FY50" s="8" t="n">
        <v>2935.91</v>
      </c>
      <c r="FZ50" s="36" t="n">
        <v>4457</v>
      </c>
      <c r="GA50" s="8" t="n">
        <v>1707.5</v>
      </c>
      <c r="GB50" s="8" t="n">
        <v>2723.5</v>
      </c>
      <c r="GC50" s="8" t="n">
        <v>2356</v>
      </c>
      <c r="GD50" s="36" t="n">
        <v>5202</v>
      </c>
      <c r="GE50" s="8" t="n">
        <v>1266</v>
      </c>
      <c r="GF50" s="8" t="n">
        <v>2330.5</v>
      </c>
      <c r="GH50" s="8" t="n">
        <v>1454</v>
      </c>
      <c r="GI50" s="8" t="n">
        <v>2793</v>
      </c>
      <c r="GJ50" s="8" t="n">
        <v>2607.51</v>
      </c>
      <c r="GK50" s="8" t="n">
        <v>2064.5</v>
      </c>
      <c r="GL50" s="8" t="n">
        <v>3424.5</v>
      </c>
      <c r="GM50" s="8" t="n">
        <v>3419.5</v>
      </c>
      <c r="GN50" s="8" t="n">
        <v>3548</v>
      </c>
      <c r="GO50" s="8" t="n">
        <v>1648</v>
      </c>
      <c r="GP50" s="8" t="n">
        <v>3014.5</v>
      </c>
      <c r="GR50" s="8" t="n">
        <v>3578</v>
      </c>
      <c r="GS50" s="36" t="n">
        <v>3002.02</v>
      </c>
      <c r="GT50" s="8" t="n">
        <v>2014</v>
      </c>
      <c r="GU50" s="8" t="n">
        <v>1118</v>
      </c>
    </row>
    <row r="51" customFormat="false" ht="15.75" hidden="false" customHeight="true" outlineLevel="0" collapsed="false">
      <c r="A51" s="56" t="s">
        <v>9</v>
      </c>
      <c r="B51" s="58" t="n">
        <v>2479.32</v>
      </c>
      <c r="C51" s="58" t="n">
        <v>3475.38</v>
      </c>
      <c r="D51" s="58" t="n">
        <v>2025</v>
      </c>
      <c r="E51" s="58" t="n">
        <v>2418.5</v>
      </c>
      <c r="F51" s="58" t="n">
        <v>2988</v>
      </c>
      <c r="G51" s="58" t="n">
        <v>2288.5</v>
      </c>
      <c r="H51" s="58" t="n">
        <v>2119.5</v>
      </c>
      <c r="I51" s="58" t="n">
        <v>2894.5</v>
      </c>
      <c r="J51" s="58" t="n">
        <v>3012</v>
      </c>
      <c r="K51" s="75"/>
      <c r="L51" s="58" t="n">
        <v>2776</v>
      </c>
      <c r="M51" s="58" t="n">
        <v>2426.5</v>
      </c>
      <c r="N51" s="58" t="n">
        <v>2868</v>
      </c>
      <c r="O51" s="58" t="n">
        <v>2403.5</v>
      </c>
      <c r="P51" s="58" t="n">
        <v>3650</v>
      </c>
      <c r="Q51" s="58" t="n">
        <v>1962</v>
      </c>
      <c r="R51" s="58" t="n">
        <v>2120.5</v>
      </c>
      <c r="S51" s="58" t="n">
        <v>1309.5</v>
      </c>
      <c r="T51" s="58" t="n">
        <v>2854.5</v>
      </c>
      <c r="U51" s="58" t="n">
        <v>2119</v>
      </c>
      <c r="V51" s="58" t="n">
        <v>4296</v>
      </c>
      <c r="W51" s="58" t="n">
        <v>2657.51</v>
      </c>
      <c r="X51" s="58" t="n">
        <v>3537.5</v>
      </c>
      <c r="Y51" s="58" t="n">
        <v>2585.51</v>
      </c>
      <c r="Z51" s="58" t="n">
        <v>2261.52</v>
      </c>
      <c r="AA51" s="58" t="n">
        <v>3606.02</v>
      </c>
      <c r="AB51" s="58" t="n">
        <v>5307.02</v>
      </c>
      <c r="AC51" s="58" t="n">
        <v>4686</v>
      </c>
      <c r="AE51" s="58" t="n">
        <v>4248.04</v>
      </c>
      <c r="AF51" s="58" t="n">
        <v>2187.51</v>
      </c>
      <c r="AG51" s="58" t="n">
        <v>2902.5</v>
      </c>
      <c r="AH51" s="58" t="n">
        <v>3837.04</v>
      </c>
      <c r="AI51" s="68" t="n">
        <v>4048.52</v>
      </c>
      <c r="AJ51" s="57"/>
      <c r="AK51" s="58" t="n">
        <v>4629</v>
      </c>
      <c r="AL51" s="58" t="n">
        <v>2362</v>
      </c>
      <c r="AM51" s="58" t="n">
        <v>2459.01</v>
      </c>
      <c r="AN51" s="58" t="n">
        <v>2520.05</v>
      </c>
      <c r="AO51" s="57"/>
      <c r="AP51" s="58" t="n">
        <v>2868.01</v>
      </c>
      <c r="AQ51" s="58" t="n">
        <v>6548.5</v>
      </c>
      <c r="AR51" s="58" t="n">
        <v>3047.01</v>
      </c>
      <c r="AS51" s="58" t="n">
        <v>2615</v>
      </c>
      <c r="AT51" s="58" t="n">
        <v>6601.53</v>
      </c>
      <c r="AU51" s="58" t="n">
        <v>3569.03</v>
      </c>
      <c r="AV51" s="58" t="n">
        <v>2608.5</v>
      </c>
      <c r="AW51" s="58" t="n">
        <v>2389.51</v>
      </c>
      <c r="AX51" s="58" t="n">
        <v>3455</v>
      </c>
      <c r="AY51" s="58"/>
      <c r="AZ51" s="58" t="n">
        <v>3965.53</v>
      </c>
      <c r="BA51" s="58" t="n">
        <v>3841.51</v>
      </c>
      <c r="BB51" s="58" t="n">
        <v>3217.03</v>
      </c>
      <c r="BC51" s="58" t="n">
        <v>4043</v>
      </c>
      <c r="BD51" s="58" t="n">
        <v>2988.51</v>
      </c>
      <c r="BE51" s="58" t="n">
        <v>3624.04</v>
      </c>
      <c r="BF51" s="58" t="n">
        <v>2445.5</v>
      </c>
      <c r="BG51" s="58" t="n">
        <v>4785.02</v>
      </c>
      <c r="BH51" s="75"/>
      <c r="BI51" s="58" t="n">
        <v>4371.62</v>
      </c>
      <c r="BJ51" s="58" t="n">
        <v>2967.53</v>
      </c>
      <c r="BK51" s="58" t="n">
        <v>4318.03</v>
      </c>
      <c r="BL51" s="58" t="n">
        <v>5258.01</v>
      </c>
      <c r="BM51" s="58" t="n">
        <v>4429.56</v>
      </c>
      <c r="BO51" s="58" t="n">
        <v>4090.51</v>
      </c>
      <c r="BP51" s="58" t="n">
        <v>2940.52</v>
      </c>
      <c r="BQ51" s="58" t="n">
        <v>4010.03</v>
      </c>
      <c r="BR51" s="58" t="n">
        <v>3487.53</v>
      </c>
      <c r="BS51" s="58" t="n">
        <v>4090.51</v>
      </c>
      <c r="BT51" s="58" t="n">
        <v>4783.54</v>
      </c>
      <c r="BU51" s="58" t="n">
        <v>3078.1</v>
      </c>
      <c r="BV51" s="58" t="n">
        <v>2552.55</v>
      </c>
      <c r="BX51" s="60" t="n">
        <v>2139.02</v>
      </c>
      <c r="BY51" s="60" t="n">
        <v>2216.54</v>
      </c>
      <c r="BZ51" s="60" t="n">
        <v>2984.53</v>
      </c>
      <c r="CA51" s="60" t="n">
        <v>2740.55</v>
      </c>
      <c r="CB51" s="60" t="n">
        <v>2140.55</v>
      </c>
      <c r="CD51" s="58" t="n">
        <v>1952.52</v>
      </c>
      <c r="CE51" s="58" t="n">
        <v>2266.57</v>
      </c>
      <c r="CF51" s="58" t="n">
        <v>2538.53</v>
      </c>
      <c r="CG51" s="58" t="n">
        <v>3403.54</v>
      </c>
      <c r="CH51" s="58" t="n">
        <v>3291</v>
      </c>
      <c r="CI51" s="58" t="n">
        <v>3111.5</v>
      </c>
      <c r="CJ51" s="58" t="n">
        <v>2359.5</v>
      </c>
      <c r="CK51" s="58" t="n">
        <v>3646.03</v>
      </c>
      <c r="CM51" s="58" t="n">
        <v>2321.08</v>
      </c>
      <c r="CN51" s="58" t="n">
        <v>3432.62</v>
      </c>
      <c r="CO51" s="58" t="n">
        <v>2748.05</v>
      </c>
      <c r="CP51" s="58" t="n">
        <v>2935.13</v>
      </c>
      <c r="CQ51" s="58" t="n">
        <v>3207.61</v>
      </c>
      <c r="CR51" s="58" t="n">
        <v>1626.01</v>
      </c>
      <c r="CS51" s="58" t="n">
        <v>2605.52</v>
      </c>
      <c r="CT51" s="58" t="n">
        <v>1952.02</v>
      </c>
      <c r="CU51" s="58" t="n">
        <v>2039.5</v>
      </c>
      <c r="CW51" s="58" t="n">
        <v>2555.52</v>
      </c>
      <c r="CX51" s="58" t="n">
        <v>4676.55</v>
      </c>
      <c r="CY51" s="58" t="n">
        <v>2777.54</v>
      </c>
      <c r="CZ51" s="58" t="n">
        <v>2836.53</v>
      </c>
      <c r="DA51" s="57" t="n">
        <v>3705.03</v>
      </c>
      <c r="DC51" s="58" t="n">
        <v>5680.52</v>
      </c>
      <c r="DD51" s="58" t="n">
        <v>3973.78</v>
      </c>
      <c r="DE51" s="58" t="n">
        <v>3774.76</v>
      </c>
      <c r="DF51" s="58" t="n">
        <v>5585.51</v>
      </c>
      <c r="DG51" s="58" t="n">
        <v>2908</v>
      </c>
      <c r="DH51" s="58" t="n">
        <v>2501.6</v>
      </c>
      <c r="DI51" s="58" t="n">
        <v>2690.81</v>
      </c>
      <c r="DJ51" s="58" t="n">
        <v>2033.5</v>
      </c>
      <c r="DL51" s="58" t="n">
        <v>2801.25</v>
      </c>
      <c r="DM51" s="58" t="n">
        <v>3879.5</v>
      </c>
      <c r="DN51" s="58" t="n">
        <v>3424.02</v>
      </c>
      <c r="DO51" s="58" t="n">
        <v>3948.5</v>
      </c>
      <c r="DP51" s="58" t="n">
        <v>3410.67</v>
      </c>
      <c r="DR51" s="58" t="n">
        <v>4774.27</v>
      </c>
      <c r="DS51" s="58" t="n">
        <v>4701.75</v>
      </c>
      <c r="DT51" s="58" t="n">
        <v>3899.51</v>
      </c>
      <c r="DU51" s="58" t="n">
        <v>2676.76</v>
      </c>
      <c r="DW51" s="58" t="n">
        <v>4310.26</v>
      </c>
      <c r="DX51" s="58" t="n">
        <v>3370.25</v>
      </c>
      <c r="DY51" s="58" t="n">
        <v>2565.5</v>
      </c>
      <c r="DZ51" s="58" t="n">
        <v>3336.29</v>
      </c>
      <c r="EA51" s="58" t="n">
        <v>1924.01</v>
      </c>
      <c r="EB51" s="58" t="n">
        <v>2441.01</v>
      </c>
      <c r="EC51" s="58" t="n">
        <v>2141.04</v>
      </c>
      <c r="ED51" s="58" t="n">
        <v>1523.75</v>
      </c>
      <c r="EF51" s="58" t="n">
        <v>4156.01</v>
      </c>
      <c r="EG51" s="58" t="n">
        <v>2369.26</v>
      </c>
      <c r="EH51" s="58" t="n">
        <v>2343</v>
      </c>
      <c r="EI51" s="58" t="n">
        <v>2587.26</v>
      </c>
      <c r="EJ51" s="58" t="n">
        <v>1925.53</v>
      </c>
      <c r="EL51" s="58" t="n">
        <v>1690.26</v>
      </c>
      <c r="EM51" s="58" t="n">
        <v>3996.29</v>
      </c>
      <c r="EN51" s="58" t="n">
        <v>2380.75</v>
      </c>
      <c r="EO51" s="58" t="n">
        <v>1648.5</v>
      </c>
      <c r="EP51" s="58" t="n">
        <v>2230.26</v>
      </c>
      <c r="EQ51" s="58" t="n">
        <v>3523.02</v>
      </c>
      <c r="ER51" s="58" t="n">
        <v>2762.5</v>
      </c>
      <c r="ES51" s="58" t="n">
        <v>3636.1</v>
      </c>
      <c r="ET51" s="58" t="n">
        <v>2123.8</v>
      </c>
      <c r="EV51" s="58" t="n">
        <v>2547.42</v>
      </c>
      <c r="EW51" s="58" t="n">
        <v>2677.52</v>
      </c>
      <c r="EX51" s="58" t="n">
        <v>4493</v>
      </c>
      <c r="EY51" s="58" t="n">
        <v>2547</v>
      </c>
      <c r="EZ51" s="10" t="n">
        <v>2248.51</v>
      </c>
      <c r="FA51" s="10" t="n">
        <v>2250</v>
      </c>
      <c r="FB51" s="10" t="n">
        <v>1838</v>
      </c>
      <c r="FC51" s="10" t="n">
        <v>2439</v>
      </c>
      <c r="FE51" s="10" t="n">
        <v>3476.5</v>
      </c>
      <c r="FF51" s="10" t="n">
        <v>7879.81</v>
      </c>
      <c r="FG51" s="10" t="n">
        <v>2930.52</v>
      </c>
      <c r="FH51" s="10" t="n">
        <v>1910.5</v>
      </c>
      <c r="FI51" s="10" t="n">
        <v>1986</v>
      </c>
      <c r="FK51" s="10" t="n">
        <v>3006.26</v>
      </c>
      <c r="FL51" s="10" t="n">
        <v>2209</v>
      </c>
      <c r="FM51" s="10" t="n">
        <v>3377.51</v>
      </c>
      <c r="FN51" s="10" t="n">
        <v>3025.52</v>
      </c>
      <c r="FO51" s="10" t="n">
        <v>3900.5</v>
      </c>
      <c r="FP51" s="10" t="n">
        <v>2524</v>
      </c>
      <c r="FQ51" s="10" t="n">
        <v>2127.5</v>
      </c>
      <c r="FR51" s="10" t="n">
        <v>941.02</v>
      </c>
      <c r="FT51" s="8" t="n">
        <v>2674</v>
      </c>
      <c r="FU51" s="8" t="n">
        <v>2701.5</v>
      </c>
      <c r="FV51" s="8" t="n">
        <v>2970</v>
      </c>
      <c r="FW51" s="8" t="n">
        <v>4027.53</v>
      </c>
      <c r="FX51" s="8" t="n">
        <v>3109</v>
      </c>
      <c r="FY51" s="8" t="n">
        <v>3079.5</v>
      </c>
      <c r="FZ51" s="8" t="n">
        <v>1257</v>
      </c>
      <c r="GA51" s="8" t="n">
        <v>1749.5</v>
      </c>
      <c r="GB51" s="8" t="n">
        <v>2439.5</v>
      </c>
      <c r="GC51" s="8" t="n">
        <v>1897.5</v>
      </c>
      <c r="GD51" s="8" t="n">
        <v>2442.5</v>
      </c>
      <c r="GE51" s="8" t="n">
        <v>2001.5</v>
      </c>
      <c r="GF51" s="8" t="n">
        <v>1821.5</v>
      </c>
      <c r="GH51" s="8" t="n">
        <v>1926.5</v>
      </c>
      <c r="GI51" s="8" t="n">
        <v>2022.5</v>
      </c>
      <c r="GJ51" s="8" t="n">
        <v>1818.5</v>
      </c>
      <c r="GK51" s="8" t="n">
        <v>3013.5</v>
      </c>
      <c r="GL51" s="8" t="n">
        <v>2596.5</v>
      </c>
      <c r="GM51" s="8" t="n">
        <v>3043.5</v>
      </c>
      <c r="GN51" s="8" t="n">
        <v>1981.53</v>
      </c>
      <c r="GO51" s="8" t="n">
        <v>1950.5</v>
      </c>
      <c r="GP51" s="8" t="n">
        <v>2225</v>
      </c>
      <c r="GR51" s="8" t="n">
        <v>5026</v>
      </c>
      <c r="GS51" s="36" t="n">
        <v>1727.5</v>
      </c>
      <c r="GT51" s="8" t="n">
        <v>2269</v>
      </c>
      <c r="GU51" s="36" t="n">
        <v>2487</v>
      </c>
    </row>
    <row r="52" customFormat="false" ht="15.75" hidden="false" customHeight="true" outlineLevel="0" collapsed="false">
      <c r="A52" s="56" t="s">
        <v>11</v>
      </c>
      <c r="B52" s="58" t="n">
        <v>4701.23</v>
      </c>
      <c r="C52" s="58" t="n">
        <v>4031.92</v>
      </c>
      <c r="D52" s="58" t="n">
        <v>2346.5</v>
      </c>
      <c r="E52" s="58" t="n">
        <v>3142</v>
      </c>
      <c r="F52" s="58" t="n">
        <v>3214</v>
      </c>
      <c r="G52" s="58" t="n">
        <v>3160.5</v>
      </c>
      <c r="H52" s="58" t="n">
        <v>3235.5</v>
      </c>
      <c r="I52" s="58" t="n">
        <v>2850</v>
      </c>
      <c r="J52" s="58" t="n">
        <v>7191.5</v>
      </c>
      <c r="K52" s="75"/>
      <c r="L52" s="58" t="n">
        <v>4051.5</v>
      </c>
      <c r="M52" s="58" t="n">
        <v>6451</v>
      </c>
      <c r="N52" s="58" t="n">
        <v>4995.5</v>
      </c>
      <c r="O52" s="58" t="n">
        <v>3068</v>
      </c>
      <c r="P52" s="58" t="n">
        <v>2156</v>
      </c>
      <c r="Q52" s="58" t="n">
        <v>2081.5</v>
      </c>
      <c r="R52" s="58" t="n">
        <v>2688</v>
      </c>
      <c r="S52" s="58" t="n">
        <v>2044.5</v>
      </c>
      <c r="T52" s="58" t="n">
        <v>3672</v>
      </c>
      <c r="U52" s="58" t="n">
        <v>2262</v>
      </c>
      <c r="V52" s="58" t="n">
        <v>3098.5</v>
      </c>
      <c r="W52" s="58" t="n">
        <v>2385.02</v>
      </c>
      <c r="X52" s="58" t="n">
        <v>3413.5</v>
      </c>
      <c r="Y52" s="58" t="n">
        <v>2997.01</v>
      </c>
      <c r="Z52" s="58" t="n">
        <v>2952.01</v>
      </c>
      <c r="AA52" s="58" t="n">
        <v>3082.5</v>
      </c>
      <c r="AB52" s="58" t="n">
        <v>5198.5</v>
      </c>
      <c r="AC52" s="58" t="n">
        <v>4838.01</v>
      </c>
      <c r="AE52" s="58" t="n">
        <v>4161.51</v>
      </c>
      <c r="AF52" s="58" t="n">
        <v>2958</v>
      </c>
      <c r="AG52" s="58" t="n">
        <v>2904</v>
      </c>
      <c r="AH52" s="58" t="n">
        <v>3264.02</v>
      </c>
      <c r="AJ52" s="58" t="n">
        <v>2905.5</v>
      </c>
      <c r="AK52" s="58" t="n">
        <v>3444</v>
      </c>
      <c r="AL52" s="58" t="n">
        <v>3320.5</v>
      </c>
      <c r="AM52" s="58" t="n">
        <v>4058.5</v>
      </c>
      <c r="AN52" s="58" t="n">
        <v>7849.5</v>
      </c>
      <c r="AO52" s="58"/>
      <c r="AP52" s="58" t="n">
        <v>3473.51</v>
      </c>
      <c r="AQ52" s="58" t="n">
        <v>6433</v>
      </c>
      <c r="AR52" s="58" t="n">
        <v>4769</v>
      </c>
      <c r="AS52" s="58" t="n">
        <v>2452</v>
      </c>
      <c r="AT52" s="58" t="n">
        <v>3818.04</v>
      </c>
      <c r="AU52" s="58" t="n">
        <v>3728.02</v>
      </c>
      <c r="AV52" s="58" t="n">
        <v>3220</v>
      </c>
      <c r="AW52" s="58" t="n">
        <v>3746.5</v>
      </c>
      <c r="AX52" s="58"/>
      <c r="AY52" s="58" t="n">
        <v>4192.5</v>
      </c>
      <c r="AZ52" s="58" t="n">
        <v>3688</v>
      </c>
      <c r="BA52" s="58" t="n">
        <v>2814.01</v>
      </c>
      <c r="BB52" s="58" t="n">
        <v>3927</v>
      </c>
      <c r="BC52" s="58" t="n">
        <v>2591.5</v>
      </c>
      <c r="BD52" s="58" t="n">
        <v>3696</v>
      </c>
      <c r="BE52" s="58" t="n">
        <v>3733.53</v>
      </c>
      <c r="BF52" s="58" t="n">
        <v>3505.01</v>
      </c>
      <c r="BG52" s="58" t="n">
        <v>5060.5</v>
      </c>
      <c r="BH52" s="75"/>
      <c r="BI52" s="58" t="n">
        <v>4086.52</v>
      </c>
      <c r="BJ52" s="58" t="n">
        <v>3114.53</v>
      </c>
      <c r="BK52" s="58" t="n">
        <v>5971.5</v>
      </c>
      <c r="BL52" s="58" t="n">
        <v>6791.08</v>
      </c>
      <c r="BN52" s="58" t="n">
        <v>5660.52</v>
      </c>
      <c r="BO52" s="58" t="n">
        <v>6856.5</v>
      </c>
      <c r="BP52" s="58" t="n">
        <v>3841.5</v>
      </c>
      <c r="BQ52" s="58" t="n">
        <v>2485.05</v>
      </c>
      <c r="BR52" s="58" t="n">
        <v>5229</v>
      </c>
      <c r="BS52" s="58" t="n">
        <v>3500.52</v>
      </c>
      <c r="BT52" s="58" t="n">
        <v>3759.54</v>
      </c>
      <c r="BU52" s="58" t="n">
        <v>3223</v>
      </c>
      <c r="BV52" s="58" t="n">
        <v>3727.06</v>
      </c>
      <c r="BX52" s="60" t="n">
        <v>1931.02</v>
      </c>
      <c r="BY52" s="64" t="n">
        <v>2109.57</v>
      </c>
      <c r="BZ52" s="60" t="n">
        <v>2660.53</v>
      </c>
      <c r="CA52" s="60" t="n">
        <v>1891.01</v>
      </c>
      <c r="CB52" s="60" t="n">
        <v>2462.5</v>
      </c>
      <c r="CD52" s="58" t="n">
        <v>2451.6</v>
      </c>
      <c r="CE52" s="58" t="n">
        <v>3083.04</v>
      </c>
      <c r="CF52" s="58" t="n">
        <v>2749.59</v>
      </c>
      <c r="CG52" s="58" t="n">
        <v>4879.5</v>
      </c>
      <c r="CH52" s="58" t="n">
        <v>2809.01</v>
      </c>
      <c r="CI52" s="58" t="n">
        <v>2512.56</v>
      </c>
      <c r="CJ52" s="58" t="n">
        <v>3186.5</v>
      </c>
      <c r="CK52" s="58" t="n">
        <v>2198.1</v>
      </c>
      <c r="CM52" s="58" t="n">
        <v>2473.12</v>
      </c>
      <c r="CN52" s="58" t="n">
        <v>2343.63</v>
      </c>
      <c r="CO52" s="58" t="n">
        <v>1730</v>
      </c>
      <c r="CP52" s="63" t="n">
        <v>2231.05</v>
      </c>
      <c r="CQ52" s="58" t="n">
        <v>2801.6</v>
      </c>
      <c r="CR52" s="58" t="n">
        <v>2656.51</v>
      </c>
      <c r="CS52" s="58" t="n">
        <v>2431.5</v>
      </c>
      <c r="CT52" s="58" t="n">
        <v>2626.01</v>
      </c>
      <c r="CU52" s="58" t="n">
        <v>2572.02</v>
      </c>
      <c r="CW52" s="58" t="n">
        <v>6734.42</v>
      </c>
      <c r="CX52" s="58" t="n">
        <v>4732.57</v>
      </c>
      <c r="CY52" s="58" t="n">
        <v>2639.51</v>
      </c>
      <c r="CZ52" s="58" t="n">
        <v>2337.5</v>
      </c>
      <c r="DB52" s="58" t="n">
        <v>2717.01</v>
      </c>
      <c r="DC52" s="58" t="n">
        <v>6553.12</v>
      </c>
      <c r="DD52" s="58" t="n">
        <v>8689.26</v>
      </c>
      <c r="DE52" s="58" t="n">
        <v>3855.02</v>
      </c>
      <c r="DF52" s="58" t="n">
        <v>2607</v>
      </c>
      <c r="DG52" s="58" t="n">
        <v>2907.85</v>
      </c>
      <c r="DH52" s="58" t="n">
        <v>3563.35</v>
      </c>
      <c r="DI52" s="58" t="n">
        <v>2366</v>
      </c>
      <c r="DJ52" s="58" t="n">
        <v>1796.75</v>
      </c>
      <c r="DL52" s="58" t="n">
        <v>2801.51</v>
      </c>
      <c r="DM52" s="58" t="n">
        <v>2982.75</v>
      </c>
      <c r="DN52" s="58" t="n">
        <v>2989.75</v>
      </c>
      <c r="DO52" s="58" t="n">
        <v>6062.25</v>
      </c>
      <c r="DP52" s="58" t="n">
        <v>4003.76</v>
      </c>
      <c r="DR52" s="58" t="n">
        <v>5214.75</v>
      </c>
      <c r="DS52" s="58" t="n">
        <v>3829.5</v>
      </c>
      <c r="DT52" s="58" t="n">
        <v>4059.45</v>
      </c>
      <c r="DU52" s="57" t="n">
        <v>3058.57</v>
      </c>
      <c r="DW52" s="58" t="n">
        <v>4051.5</v>
      </c>
      <c r="DX52" s="58" t="n">
        <v>2659.01</v>
      </c>
      <c r="DY52" s="58" t="n">
        <v>3666.75</v>
      </c>
      <c r="DZ52" s="57" t="n">
        <v>2654.51</v>
      </c>
      <c r="EA52" s="58" t="n">
        <v>2322.27</v>
      </c>
      <c r="EB52" s="58" t="n">
        <v>3065.81</v>
      </c>
      <c r="EC52" s="58" t="n">
        <v>1976.5</v>
      </c>
      <c r="ED52" s="58" t="n">
        <v>3375.5</v>
      </c>
      <c r="EF52" s="58" t="n">
        <v>3059.75</v>
      </c>
      <c r="EG52" s="58" t="n">
        <v>2985.26</v>
      </c>
      <c r="EH52" s="58" t="n">
        <v>2099.76</v>
      </c>
      <c r="EI52" s="58" t="n">
        <v>3058.25</v>
      </c>
      <c r="EJ52" s="58" t="n">
        <v>2221.78</v>
      </c>
      <c r="EL52" s="58" t="n">
        <v>2939.29</v>
      </c>
      <c r="EM52" s="58" t="n">
        <v>1930.5</v>
      </c>
      <c r="EN52" s="58" t="n">
        <v>1809.59</v>
      </c>
      <c r="EO52" s="58" t="n">
        <v>2261.53</v>
      </c>
      <c r="EP52" s="58" t="n">
        <v>3552.76</v>
      </c>
      <c r="EQ52" s="58" t="n">
        <v>3388.5</v>
      </c>
      <c r="ER52" s="58" t="n">
        <v>2244.27</v>
      </c>
      <c r="ES52" s="58" t="n">
        <v>1866.5</v>
      </c>
      <c r="EU52" s="58" t="n">
        <v>1669</v>
      </c>
      <c r="EV52" s="58" t="n">
        <v>1932.5</v>
      </c>
      <c r="EW52" s="58" t="n">
        <v>2163.5</v>
      </c>
      <c r="EX52" s="58" t="n">
        <v>2014</v>
      </c>
      <c r="EY52" s="58" t="n">
        <v>3126.91</v>
      </c>
      <c r="EZ52" s="10" t="n">
        <v>1568</v>
      </c>
      <c r="FA52" s="10" t="n">
        <v>2097.93</v>
      </c>
      <c r="FB52" s="10" t="n">
        <v>1633.01</v>
      </c>
      <c r="FC52" s="10" t="n">
        <v>2878.92</v>
      </c>
      <c r="FE52" s="10" t="n">
        <v>5068.51</v>
      </c>
      <c r="FF52" s="10" t="n">
        <v>6661.76</v>
      </c>
      <c r="FG52" s="10" t="n">
        <v>1796.5</v>
      </c>
      <c r="FH52" s="10" t="n">
        <v>2070.75</v>
      </c>
      <c r="FI52" s="10" t="n">
        <v>1035</v>
      </c>
      <c r="FK52" s="10" t="n">
        <v>3303.75</v>
      </c>
      <c r="FL52" s="10" t="n">
        <v>2235</v>
      </c>
      <c r="FM52" s="10" t="n">
        <v>2239</v>
      </c>
      <c r="FN52" s="10" t="n">
        <v>3165.5</v>
      </c>
      <c r="FO52" s="10" t="n">
        <v>2976.01</v>
      </c>
      <c r="FP52" s="10" t="n">
        <v>2651</v>
      </c>
      <c r="FQ52" s="10" t="n">
        <v>1266</v>
      </c>
      <c r="FR52" s="10" t="n">
        <v>1994.01</v>
      </c>
      <c r="FT52" s="8" t="n">
        <v>4655.5</v>
      </c>
      <c r="FU52" s="8" t="n">
        <v>3397.5</v>
      </c>
      <c r="FV52" s="8" t="n">
        <v>3421.5</v>
      </c>
      <c r="FW52" s="8" t="n">
        <v>3482</v>
      </c>
      <c r="FX52" s="8" t="n">
        <v>2112</v>
      </c>
      <c r="FY52" s="8" t="n">
        <v>2657.5</v>
      </c>
      <c r="FZ52" s="8" t="n">
        <v>1471.5</v>
      </c>
      <c r="GA52" s="8" t="n">
        <v>2585.4</v>
      </c>
      <c r="GB52" s="8" t="n">
        <v>2766.01</v>
      </c>
      <c r="GC52" s="8" t="n">
        <v>2130.5</v>
      </c>
      <c r="GD52" s="8" t="n">
        <v>2079</v>
      </c>
      <c r="GE52" s="8" t="n">
        <v>2674</v>
      </c>
      <c r="GF52" s="8" t="n">
        <v>2128</v>
      </c>
      <c r="GH52" s="8" t="n">
        <v>2649</v>
      </c>
      <c r="GI52" s="36" t="n">
        <v>2358</v>
      </c>
      <c r="GJ52" s="8" t="n">
        <v>2350.5</v>
      </c>
      <c r="GK52" s="8" t="n">
        <v>2211</v>
      </c>
      <c r="GM52" s="8" t="n">
        <v>1952</v>
      </c>
      <c r="GN52" s="8" t="n">
        <v>1924</v>
      </c>
      <c r="GO52" s="8" t="n">
        <v>2996</v>
      </c>
      <c r="GP52" s="8" t="n">
        <v>3029.5</v>
      </c>
      <c r="GQ52" s="8" t="n">
        <v>6527.5</v>
      </c>
      <c r="GR52" s="8" t="n">
        <v>4458</v>
      </c>
      <c r="GS52" s="8" t="n">
        <v>4061.01</v>
      </c>
      <c r="GT52" s="8" t="n">
        <v>1533</v>
      </c>
      <c r="GU52" s="8" t="n">
        <v>2805</v>
      </c>
    </row>
    <row r="53" customFormat="false" ht="15.75" hidden="false" customHeight="true" outlineLevel="0" collapsed="false">
      <c r="A53" s="56" t="s">
        <v>13</v>
      </c>
      <c r="B53" s="58" t="n">
        <v>6723.1</v>
      </c>
      <c r="C53" s="58" t="n">
        <v>5536.05</v>
      </c>
      <c r="D53" s="58" t="n">
        <v>3673</v>
      </c>
      <c r="E53" s="58" t="n">
        <v>4052.5</v>
      </c>
      <c r="F53" s="58" t="n">
        <v>4675.5</v>
      </c>
      <c r="G53" s="58" t="n">
        <v>5589.5</v>
      </c>
      <c r="H53" s="58" t="n">
        <v>4443</v>
      </c>
      <c r="I53" s="58" t="n">
        <v>3524.5</v>
      </c>
      <c r="J53" s="75"/>
      <c r="K53" s="58" t="n">
        <v>4355</v>
      </c>
      <c r="L53" s="58" t="n">
        <v>5664.5</v>
      </c>
      <c r="M53" s="58" t="n">
        <v>4568.5</v>
      </c>
      <c r="N53" s="58" t="n">
        <v>4507</v>
      </c>
      <c r="O53" s="58" t="n">
        <v>3659</v>
      </c>
      <c r="P53" s="58" t="n">
        <v>2190</v>
      </c>
      <c r="Q53" s="58" t="n">
        <v>2482</v>
      </c>
      <c r="R53" s="58" t="n">
        <v>2466.5</v>
      </c>
      <c r="S53" s="58" t="n">
        <v>2214</v>
      </c>
      <c r="T53" s="58" t="n">
        <v>2701.5</v>
      </c>
      <c r="U53" s="58" t="n">
        <v>4739.5</v>
      </c>
      <c r="V53" s="58" t="n">
        <v>3258.5</v>
      </c>
      <c r="W53" s="58" t="n">
        <v>5408.51</v>
      </c>
      <c r="X53" s="58" t="n">
        <v>4097.51</v>
      </c>
      <c r="Y53" s="58"/>
      <c r="Z53" s="58" t="n">
        <v>2952.01</v>
      </c>
      <c r="AA53" s="58" t="n">
        <v>3862</v>
      </c>
      <c r="AB53" s="58" t="n">
        <v>5675.02</v>
      </c>
      <c r="AC53" s="58" t="n">
        <v>8039.52</v>
      </c>
      <c r="AD53" s="66" t="n">
        <v>3232.5</v>
      </c>
      <c r="AE53" s="58" t="n">
        <v>6064</v>
      </c>
      <c r="AF53" s="58" t="n">
        <v>4542.01</v>
      </c>
      <c r="AG53" s="58" t="n">
        <v>5272</v>
      </c>
      <c r="AH53" s="58" t="n">
        <v>4555.02</v>
      </c>
      <c r="AI53" s="57"/>
      <c r="AJ53" s="58" t="n">
        <v>5756</v>
      </c>
      <c r="AK53" s="58" t="n">
        <v>4754.01</v>
      </c>
      <c r="AL53" s="58" t="n">
        <v>3240.5</v>
      </c>
      <c r="AM53" s="58" t="n">
        <v>5241</v>
      </c>
      <c r="AN53" s="58" t="n">
        <v>6272.5</v>
      </c>
      <c r="AO53" s="58"/>
      <c r="AP53" s="58" t="n">
        <v>6836</v>
      </c>
      <c r="AQ53" s="58" t="n">
        <v>7005</v>
      </c>
      <c r="AR53" s="58" t="n">
        <v>5458</v>
      </c>
      <c r="AS53" s="58" t="n">
        <v>4101.5</v>
      </c>
      <c r="AT53" s="58" t="n">
        <v>2671</v>
      </c>
      <c r="AU53" s="58" t="n">
        <v>4232</v>
      </c>
      <c r="AV53" s="58" t="n">
        <v>6592.5</v>
      </c>
      <c r="AW53" s="58" t="n">
        <v>5092.5</v>
      </c>
      <c r="AX53" s="58"/>
      <c r="AY53" s="58" t="n">
        <v>5839.52</v>
      </c>
      <c r="AZ53" s="58" t="n">
        <v>5054.5</v>
      </c>
      <c r="BA53" s="58" t="n">
        <v>4268.03</v>
      </c>
      <c r="BB53" s="58" t="n">
        <v>2734.5</v>
      </c>
      <c r="BC53" s="58" t="n">
        <v>4350</v>
      </c>
      <c r="BD53" s="58" t="n">
        <v>5441.55</v>
      </c>
      <c r="BE53" s="58" t="n">
        <v>5902.04</v>
      </c>
      <c r="BF53" s="58" t="n">
        <v>6416.01</v>
      </c>
      <c r="BG53" s="58" t="n">
        <v>7409.01</v>
      </c>
      <c r="BH53" s="75"/>
      <c r="BI53" s="58" t="n">
        <v>8196.01</v>
      </c>
      <c r="BJ53" s="58" t="n">
        <v>4429.56</v>
      </c>
      <c r="BK53" s="58" t="n">
        <v>7659.03</v>
      </c>
      <c r="BL53" s="58" t="n">
        <v>8037.5</v>
      </c>
      <c r="BN53" s="58" t="n">
        <v>7785.52</v>
      </c>
      <c r="BO53" s="58" t="n">
        <v>7348.01</v>
      </c>
      <c r="BP53" s="58" t="n">
        <v>7511.1</v>
      </c>
      <c r="BQ53" s="58" t="n">
        <v>5373.52</v>
      </c>
      <c r="BR53" s="58" t="n">
        <v>4470.03</v>
      </c>
      <c r="BS53" s="58" t="n">
        <v>5998.03</v>
      </c>
      <c r="BT53" s="58" t="n">
        <v>5133.04</v>
      </c>
      <c r="BU53" s="58" t="n">
        <v>4206.56</v>
      </c>
      <c r="BV53" s="58" t="n">
        <v>5224.52</v>
      </c>
      <c r="BX53" s="60" t="n">
        <v>2095.53</v>
      </c>
      <c r="BY53" s="60" t="n">
        <v>2295.52</v>
      </c>
      <c r="BZ53" s="60" t="n">
        <v>2511.53</v>
      </c>
      <c r="CA53" s="60" t="n">
        <v>3675.05</v>
      </c>
      <c r="CC53" s="58" t="n">
        <v>2436.04</v>
      </c>
      <c r="CD53" s="58" t="n">
        <v>2090</v>
      </c>
      <c r="CE53" s="58" t="n">
        <v>2458.84</v>
      </c>
      <c r="CF53" s="58" t="n">
        <v>4177.03</v>
      </c>
      <c r="CG53" s="58" t="n">
        <v>5251.02</v>
      </c>
      <c r="CH53" s="58" t="n">
        <v>3387.03</v>
      </c>
      <c r="CI53" s="58" t="n">
        <v>3434.54</v>
      </c>
      <c r="CJ53" s="58" t="n">
        <v>2792.03</v>
      </c>
      <c r="CK53" s="58" t="n">
        <v>3770.53</v>
      </c>
      <c r="CM53" s="58" t="n">
        <v>2189.54</v>
      </c>
      <c r="CN53" s="58" t="n">
        <v>3024.06</v>
      </c>
      <c r="CO53" s="58" t="n">
        <v>3810.52</v>
      </c>
      <c r="CP53" s="58" t="n">
        <v>3168.51</v>
      </c>
      <c r="CQ53" s="58" t="n">
        <v>2807.51</v>
      </c>
      <c r="CR53" s="58" t="n">
        <v>3874</v>
      </c>
      <c r="CS53" s="58" t="n">
        <v>3454.51</v>
      </c>
      <c r="CT53" s="58" t="n">
        <v>3730.5</v>
      </c>
      <c r="CU53" s="58" t="n">
        <v>4090.01</v>
      </c>
      <c r="CW53" s="58" t="n">
        <v>7501.06</v>
      </c>
      <c r="CX53" s="58" t="n">
        <v>5725.01</v>
      </c>
      <c r="CY53" s="58" t="n">
        <v>2003.5</v>
      </c>
      <c r="CZ53" s="58" t="n">
        <v>3618.5</v>
      </c>
      <c r="DB53" s="58" t="n">
        <v>3755.01</v>
      </c>
      <c r="DC53" s="58" t="n">
        <v>8614</v>
      </c>
      <c r="DD53" s="58" t="n">
        <v>8072.52</v>
      </c>
      <c r="DE53" s="58" t="n">
        <v>6697.26</v>
      </c>
      <c r="DF53" s="58" t="n">
        <v>3276.02</v>
      </c>
      <c r="DG53" s="58" t="n">
        <v>3392.75</v>
      </c>
      <c r="DH53" s="58" t="n">
        <v>2487</v>
      </c>
      <c r="DI53" s="58" t="n">
        <v>2478.75</v>
      </c>
      <c r="DJ53" s="58" t="n">
        <v>2694</v>
      </c>
      <c r="DL53" s="58" t="n">
        <v>4097.75</v>
      </c>
      <c r="DM53" s="58" t="n">
        <v>5174</v>
      </c>
      <c r="DN53" s="58" t="n">
        <v>5551.52</v>
      </c>
      <c r="DO53" s="58" t="n">
        <v>6062.25</v>
      </c>
      <c r="DQ53" s="58" t="n">
        <v>5627.25</v>
      </c>
      <c r="DR53" s="58" t="n">
        <v>6359.77</v>
      </c>
      <c r="DS53" s="58" t="n">
        <v>5093.75</v>
      </c>
      <c r="DT53" s="58" t="n">
        <v>5634.5</v>
      </c>
      <c r="DV53" s="58" t="n">
        <v>4655</v>
      </c>
      <c r="DW53" s="58" t="n">
        <v>6328.75</v>
      </c>
      <c r="DX53" s="58" t="n">
        <v>4990.75</v>
      </c>
      <c r="DY53" s="58" t="n">
        <v>5398.77</v>
      </c>
      <c r="DZ53" s="58" t="n">
        <v>3820.25</v>
      </c>
      <c r="EA53" s="58" t="n">
        <v>2719.76</v>
      </c>
      <c r="EB53" s="58" t="n">
        <v>3065.25</v>
      </c>
      <c r="EC53" s="58" t="n">
        <v>3048.54</v>
      </c>
      <c r="ED53" s="58" t="n">
        <v>4911</v>
      </c>
      <c r="EF53" s="58" t="n">
        <v>3847.75</v>
      </c>
      <c r="EG53" s="58" t="n">
        <v>3706.01</v>
      </c>
      <c r="EH53" s="58" t="n">
        <v>3700</v>
      </c>
      <c r="EI53" s="58" t="n">
        <v>5817.01</v>
      </c>
      <c r="EJ53" s="58" t="n">
        <v>4849.76</v>
      </c>
      <c r="EL53" s="58" t="n">
        <v>3811.75</v>
      </c>
      <c r="EM53" s="58" t="n">
        <v>3716.29</v>
      </c>
      <c r="EN53" s="58" t="n">
        <v>2224</v>
      </c>
      <c r="EO53" s="58" t="n">
        <v>2964.55</v>
      </c>
      <c r="EP53" s="58" t="n">
        <v>2805</v>
      </c>
      <c r="EQ53" s="58" t="n">
        <v>4008.16</v>
      </c>
      <c r="ER53" s="58" t="n">
        <v>2244.5</v>
      </c>
      <c r="ES53" s="58" t="n">
        <v>2461.5</v>
      </c>
      <c r="EU53" s="58" t="n">
        <v>3284.15</v>
      </c>
      <c r="EV53" s="58" t="n">
        <v>3584.42</v>
      </c>
      <c r="EW53" s="58" t="n">
        <v>3196.9</v>
      </c>
      <c r="EX53" s="58" t="n">
        <v>3132.9</v>
      </c>
      <c r="EY53" s="58" t="n">
        <v>3471.5</v>
      </c>
      <c r="EZ53" s="10" t="n">
        <v>3452.51</v>
      </c>
      <c r="FA53" s="10" t="n">
        <v>3593.8</v>
      </c>
      <c r="FB53" s="10" t="n">
        <v>2976.67</v>
      </c>
      <c r="FC53" s="10" t="n">
        <v>3228.5</v>
      </c>
      <c r="FE53" s="10" t="n">
        <v>5921.51</v>
      </c>
      <c r="FF53" s="10" t="n">
        <v>8622</v>
      </c>
      <c r="FG53" s="10" t="n">
        <v>3029.9</v>
      </c>
      <c r="FH53" s="10" t="n">
        <v>4417.25</v>
      </c>
      <c r="FJ53" s="10" t="n">
        <v>4149.5</v>
      </c>
      <c r="FK53" s="10" t="n">
        <v>5357.5</v>
      </c>
      <c r="FL53" s="10" t="n">
        <v>3360.5</v>
      </c>
      <c r="FM53" s="10" t="n">
        <v>2282.5</v>
      </c>
      <c r="FN53" s="10" t="n">
        <v>2383.5</v>
      </c>
      <c r="FO53" s="10" t="n">
        <v>4037.5</v>
      </c>
      <c r="FP53" s="10" t="n">
        <v>4429.01</v>
      </c>
      <c r="FQ53" s="10" t="n">
        <v>3522</v>
      </c>
      <c r="FR53" s="10" t="n">
        <v>2806.51</v>
      </c>
      <c r="FT53" s="8" t="n">
        <v>5409.5</v>
      </c>
      <c r="FU53" s="8" t="n">
        <v>5844.01</v>
      </c>
      <c r="FV53" s="8" t="n">
        <v>5946</v>
      </c>
      <c r="FW53" s="8" t="n">
        <v>6372</v>
      </c>
      <c r="FX53" s="8" t="n">
        <v>4380.5</v>
      </c>
      <c r="FY53" s="8" t="n">
        <v>5130</v>
      </c>
      <c r="FZ53" s="8" t="n">
        <v>3689.5</v>
      </c>
      <c r="GA53" s="8" t="n">
        <v>4992.01</v>
      </c>
      <c r="GB53" s="8" t="n">
        <v>3975.5</v>
      </c>
      <c r="GC53" s="8" t="n">
        <v>3652.01</v>
      </c>
      <c r="GD53" s="8" t="n">
        <v>2945.5</v>
      </c>
      <c r="GE53" s="8" t="n">
        <v>3262.5</v>
      </c>
      <c r="GF53" s="8" t="n">
        <v>3662</v>
      </c>
      <c r="GH53" s="8" t="n">
        <v>4476.5</v>
      </c>
      <c r="GI53" s="36" t="n">
        <v>4750.5</v>
      </c>
      <c r="GJ53" s="8" t="n">
        <v>4164.5</v>
      </c>
      <c r="GK53" s="8" t="n">
        <v>2959.51</v>
      </c>
      <c r="GM53" s="8" t="n">
        <v>6028.06</v>
      </c>
      <c r="GN53" s="8" t="n">
        <v>6114</v>
      </c>
      <c r="GO53" s="8" t="n">
        <v>3912</v>
      </c>
      <c r="GP53" s="8" t="n">
        <v>4465</v>
      </c>
      <c r="GQ53" s="8" t="n">
        <v>3245.5</v>
      </c>
      <c r="GR53" s="8" t="n">
        <v>4887.5</v>
      </c>
      <c r="GS53" s="8" t="n">
        <v>1059</v>
      </c>
      <c r="GT53" s="8" t="n">
        <v>4087.5</v>
      </c>
      <c r="GU53" s="8" t="n">
        <v>4790.5</v>
      </c>
    </row>
    <row r="54" customFormat="false" ht="15.75" hidden="false" customHeight="true" outlineLevel="0" collapsed="false">
      <c r="A54" s="56" t="s">
        <v>17</v>
      </c>
      <c r="B54" s="58" t="n">
        <v>5052.11</v>
      </c>
      <c r="C54" s="58" t="n">
        <v>5480.5</v>
      </c>
      <c r="D54" s="58" t="n">
        <v>3671</v>
      </c>
      <c r="E54" s="58" t="n">
        <v>4736</v>
      </c>
      <c r="F54" s="58" t="n">
        <v>5030</v>
      </c>
      <c r="G54" s="58" t="n">
        <v>4383</v>
      </c>
      <c r="H54" s="58" t="n">
        <v>3675.5</v>
      </c>
      <c r="I54" s="58" t="n">
        <v>2552.5</v>
      </c>
      <c r="J54" s="75"/>
      <c r="K54" s="58" t="n">
        <v>4468.5</v>
      </c>
      <c r="L54" s="58" t="n">
        <v>3716</v>
      </c>
      <c r="M54" s="58" t="n">
        <v>3877.5</v>
      </c>
      <c r="N54" s="58" t="n">
        <v>3237.5</v>
      </c>
      <c r="O54" s="58" t="n">
        <v>2721</v>
      </c>
      <c r="P54" s="58" t="n">
        <v>2986</v>
      </c>
      <c r="Q54" s="58" t="n">
        <v>2258</v>
      </c>
      <c r="R54" s="58" t="n">
        <v>2666</v>
      </c>
      <c r="S54" s="58" t="n">
        <v>2214</v>
      </c>
      <c r="U54" s="58" t="n">
        <v>3980.5</v>
      </c>
      <c r="V54" s="58" t="n">
        <v>3123.5</v>
      </c>
      <c r="W54" s="58" t="n">
        <v>3754.5</v>
      </c>
      <c r="X54" s="58" t="n">
        <v>4193.5</v>
      </c>
      <c r="Y54" s="75"/>
      <c r="Z54" s="65" t="n">
        <v>4798.5</v>
      </c>
      <c r="AA54" s="65" t="n">
        <v>3467</v>
      </c>
      <c r="AB54" s="65" t="n">
        <v>6820</v>
      </c>
      <c r="AC54" s="58" t="n">
        <v>7545.03</v>
      </c>
      <c r="AD54" s="58" t="n">
        <v>3942.5</v>
      </c>
      <c r="AE54" s="58" t="n">
        <v>4671.02</v>
      </c>
      <c r="AF54" s="58" t="n">
        <v>3816.5</v>
      </c>
      <c r="AG54" s="58" t="n">
        <v>4979.01</v>
      </c>
      <c r="AH54" s="58" t="n">
        <v>4701.5</v>
      </c>
      <c r="AI54" s="57"/>
      <c r="AJ54" s="58" t="n">
        <v>4584.01</v>
      </c>
      <c r="AK54" s="58" t="n">
        <v>3477.13</v>
      </c>
      <c r="AL54" s="58" t="n">
        <v>3979.51</v>
      </c>
      <c r="AM54" s="58" t="n">
        <v>3710.5</v>
      </c>
      <c r="AO54" s="58" t="n">
        <v>7505</v>
      </c>
      <c r="AP54" s="58" t="n">
        <v>4521</v>
      </c>
      <c r="AQ54" s="58" t="n">
        <v>6027</v>
      </c>
      <c r="AR54" s="58" t="n">
        <v>5944</v>
      </c>
      <c r="AS54" s="58" t="n">
        <v>5724</v>
      </c>
      <c r="AT54" s="58" t="n">
        <v>4268.02</v>
      </c>
      <c r="AU54" s="58" t="n">
        <v>6334.5</v>
      </c>
      <c r="AV54" s="58" t="n">
        <v>5898</v>
      </c>
      <c r="AW54" s="58" t="n">
        <v>4474</v>
      </c>
      <c r="AX54" s="58"/>
      <c r="AY54" s="58" t="n">
        <v>4675.5</v>
      </c>
      <c r="AZ54" s="58" t="n">
        <v>6274</v>
      </c>
      <c r="BA54" s="58" t="n">
        <v>4159.5</v>
      </c>
      <c r="BB54" s="58"/>
      <c r="BC54" s="68"/>
      <c r="BD54" s="58" t="n">
        <v>4982</v>
      </c>
      <c r="BE54" s="58" t="n">
        <v>6163.5</v>
      </c>
      <c r="BF54" s="58" t="n">
        <v>4838.09</v>
      </c>
      <c r="BG54" s="58" t="n">
        <v>8351</v>
      </c>
      <c r="BH54" s="58"/>
      <c r="BI54" s="58" t="n">
        <v>6234.5</v>
      </c>
      <c r="BJ54" s="58" t="n">
        <v>5069.52</v>
      </c>
      <c r="BK54" s="58" t="n">
        <v>7680.01</v>
      </c>
      <c r="BL54" s="58" t="n">
        <v>10609.51</v>
      </c>
      <c r="BN54" s="58" t="n">
        <v>7755.51</v>
      </c>
      <c r="BO54" s="58" t="n">
        <v>7547.04</v>
      </c>
      <c r="BP54" s="58" t="n">
        <v>6691.53</v>
      </c>
      <c r="BQ54" s="58" t="n">
        <v>4384</v>
      </c>
      <c r="BR54" s="58" t="n">
        <v>3468.12</v>
      </c>
      <c r="BS54" s="58" t="n">
        <v>4436.54</v>
      </c>
      <c r="BT54" s="58" t="n">
        <v>4879.5</v>
      </c>
      <c r="BU54" s="58" t="n">
        <v>4285.06</v>
      </c>
      <c r="BV54" s="58" t="n">
        <v>4299.09</v>
      </c>
      <c r="BX54" s="60" t="n">
        <v>3064.05</v>
      </c>
      <c r="BY54" s="60" t="n">
        <v>2134.07</v>
      </c>
      <c r="BZ54" s="60" t="n">
        <v>2559.55</v>
      </c>
      <c r="CA54" s="60" t="n">
        <v>2337.51</v>
      </c>
      <c r="CC54" s="58" t="n">
        <v>1830</v>
      </c>
      <c r="CD54" s="58" t="n">
        <v>1864.57</v>
      </c>
      <c r="CE54" s="58" t="n">
        <v>1920.53</v>
      </c>
      <c r="CF54" s="58" t="n">
        <v>5134.57</v>
      </c>
      <c r="CG54" s="58" t="n">
        <v>5516.01</v>
      </c>
      <c r="CH54" s="58" t="n">
        <v>3640</v>
      </c>
      <c r="CI54" s="58" t="n">
        <v>2638.06</v>
      </c>
      <c r="CJ54" s="58" t="n">
        <v>2969</v>
      </c>
      <c r="CK54" s="58" t="n">
        <v>2330.57</v>
      </c>
      <c r="CM54" s="58" t="n">
        <v>2452.03</v>
      </c>
      <c r="CN54" s="58" t="n">
        <v>1972.08</v>
      </c>
      <c r="CO54" s="58" t="n">
        <v>2209.51</v>
      </c>
      <c r="CP54" s="58" t="n">
        <v>3691.09</v>
      </c>
      <c r="CR54" s="58" t="n">
        <v>2695.5</v>
      </c>
      <c r="CS54" s="58" t="n">
        <v>2628.53</v>
      </c>
      <c r="CT54" s="58" t="n">
        <v>3346</v>
      </c>
      <c r="CU54" s="58" t="n">
        <v>2706.52</v>
      </c>
      <c r="CV54" s="58" t="n">
        <v>2102</v>
      </c>
      <c r="CW54" s="58" t="n">
        <v>5339.56</v>
      </c>
      <c r="CX54" s="58" t="n">
        <v>6097.03</v>
      </c>
      <c r="CY54" s="58" t="n">
        <v>3688.5</v>
      </c>
      <c r="CZ54" s="58" t="n">
        <v>4389.5</v>
      </c>
      <c r="DB54" s="58" t="n">
        <v>2770.5</v>
      </c>
      <c r="DC54" s="58" t="n">
        <v>8551.27</v>
      </c>
      <c r="DD54" s="58" t="n">
        <v>6901.26</v>
      </c>
      <c r="DE54" s="58" t="n">
        <v>5108.8</v>
      </c>
      <c r="DG54" s="58" t="n">
        <v>2658.25</v>
      </c>
      <c r="DH54" s="58" t="n">
        <v>3171.75</v>
      </c>
      <c r="DI54" s="58" t="n">
        <v>2270.5</v>
      </c>
      <c r="DJ54" s="58" t="n">
        <v>3085.75</v>
      </c>
      <c r="DK54" s="58" t="n">
        <v>3470.75</v>
      </c>
      <c r="DL54" s="58" t="n">
        <v>3457.81</v>
      </c>
      <c r="DM54" s="58" t="n">
        <v>3844.25</v>
      </c>
      <c r="DN54" s="58" t="n">
        <v>5499.75</v>
      </c>
      <c r="DO54" s="58" t="n">
        <v>5242.77</v>
      </c>
      <c r="DQ54" s="58" t="n">
        <v>4641.26</v>
      </c>
      <c r="DR54" s="58" t="n">
        <v>7420.75</v>
      </c>
      <c r="DS54" s="58" t="n">
        <v>4808.85</v>
      </c>
      <c r="DT54" s="58" t="n">
        <v>4964.25</v>
      </c>
      <c r="DV54" s="58" t="n">
        <v>3510.53</v>
      </c>
      <c r="DW54" s="58" t="n">
        <v>5694.01</v>
      </c>
      <c r="DX54" s="58" t="n">
        <v>4930.04</v>
      </c>
      <c r="DY54" s="58" t="n">
        <v>4646.25</v>
      </c>
      <c r="DZ54" s="58" t="n">
        <v>3108</v>
      </c>
      <c r="EA54" s="58" t="n">
        <v>3215.25</v>
      </c>
      <c r="EB54" s="58" t="n">
        <v>2786.01</v>
      </c>
      <c r="EC54" s="58" t="n">
        <v>1359</v>
      </c>
      <c r="ED54" s="58" t="n">
        <v>2492.02</v>
      </c>
      <c r="EF54" s="58" t="n">
        <v>3424.27</v>
      </c>
      <c r="EG54" s="58" t="n">
        <v>2910.75</v>
      </c>
      <c r="EH54" s="58" t="n">
        <v>2456.5</v>
      </c>
      <c r="EI54" s="58" t="n">
        <v>4526</v>
      </c>
      <c r="EK54" s="58" t="n">
        <v>4180.83</v>
      </c>
      <c r="EL54" s="58" t="n">
        <v>4635.29</v>
      </c>
      <c r="EM54" s="58" t="n">
        <v>2684.02</v>
      </c>
      <c r="EN54" s="58" t="n">
        <v>2497.59</v>
      </c>
      <c r="EO54" s="58" t="n">
        <v>3844.15</v>
      </c>
      <c r="EP54" s="58" t="n">
        <v>3583.24</v>
      </c>
      <c r="EQ54" s="58" t="n">
        <v>2679.07</v>
      </c>
      <c r="ER54" s="58" t="n">
        <v>2258.2</v>
      </c>
      <c r="ES54" s="58" t="n">
        <v>3170.15</v>
      </c>
      <c r="EU54" s="58" t="n">
        <v>3413.9</v>
      </c>
      <c r="EV54" s="58" t="n">
        <v>3536.91</v>
      </c>
      <c r="EW54" s="58" t="n">
        <v>2686.8</v>
      </c>
      <c r="EX54" s="58" t="n">
        <v>1980</v>
      </c>
      <c r="EY54" s="58" t="n">
        <v>4099.5</v>
      </c>
      <c r="EZ54" s="10" t="n">
        <v>3052.5</v>
      </c>
      <c r="FA54" s="10" t="n">
        <v>2751</v>
      </c>
      <c r="FB54" s="10" t="n">
        <v>2882.9</v>
      </c>
      <c r="FC54" s="10" t="n">
        <v>3071</v>
      </c>
      <c r="FE54" s="10" t="n">
        <v>6536.4</v>
      </c>
      <c r="FF54" s="10" t="n">
        <v>7934.7</v>
      </c>
      <c r="FG54" s="10" t="n">
        <v>4194.4</v>
      </c>
      <c r="FH54" s="10" t="n">
        <v>2996.41</v>
      </c>
      <c r="FJ54" s="10" t="n">
        <v>3339.9</v>
      </c>
      <c r="FK54" s="10" t="n">
        <v>5717.4</v>
      </c>
      <c r="FL54" s="10" t="n">
        <v>3765.41</v>
      </c>
      <c r="FM54" s="10" t="n">
        <v>2556.5</v>
      </c>
      <c r="FN54" s="10" t="n">
        <v>4227.5</v>
      </c>
      <c r="FO54" s="10" t="n">
        <v>3251.01</v>
      </c>
      <c r="FP54" s="10" t="n">
        <v>2350.5</v>
      </c>
      <c r="FQ54" s="10" t="n">
        <v>2802.5</v>
      </c>
      <c r="FR54" s="10" t="n">
        <v>3695.5</v>
      </c>
      <c r="FT54" s="8" t="n">
        <v>5360.01</v>
      </c>
      <c r="FU54" s="8" t="n">
        <v>5247</v>
      </c>
      <c r="FV54" s="8" t="n">
        <v>6474</v>
      </c>
      <c r="FW54" s="8" t="n">
        <v>5614.5</v>
      </c>
      <c r="FY54" s="8" t="n">
        <v>7023.5</v>
      </c>
      <c r="FZ54" s="8" t="n">
        <v>2867.5</v>
      </c>
      <c r="GA54" s="8" t="n">
        <v>2943.5</v>
      </c>
      <c r="GB54" s="8" t="n">
        <v>6048.5</v>
      </c>
      <c r="GC54" s="8" t="n">
        <v>3740.5</v>
      </c>
      <c r="GD54" s="8" t="n">
        <v>2583</v>
      </c>
      <c r="GE54" s="8" t="n">
        <v>3460</v>
      </c>
      <c r="GF54" s="8" t="n">
        <v>4400.5</v>
      </c>
      <c r="GG54" s="8" t="n">
        <v>3500.5</v>
      </c>
      <c r="GH54" s="8" t="n">
        <v>2620.5</v>
      </c>
      <c r="GI54" s="8" t="n">
        <v>4090</v>
      </c>
      <c r="GJ54" s="8" t="n">
        <v>4225</v>
      </c>
      <c r="GK54" s="8" t="n">
        <v>3206</v>
      </c>
      <c r="GM54" s="36" t="n">
        <v>3823</v>
      </c>
      <c r="GN54" s="8" t="n">
        <v>4655</v>
      </c>
      <c r="GO54" s="8" t="n">
        <v>3848</v>
      </c>
      <c r="GP54" s="8" t="n">
        <v>3762</v>
      </c>
      <c r="GQ54" s="8" t="n">
        <v>6348</v>
      </c>
      <c r="GR54" s="8" t="n">
        <v>2861.5</v>
      </c>
      <c r="GS54" s="8" t="n">
        <v>4069.5</v>
      </c>
      <c r="GT54" s="8" t="n">
        <v>5419.5</v>
      </c>
      <c r="GU54" s="8" t="n">
        <v>3607</v>
      </c>
    </row>
    <row r="55" customFormat="false" ht="15.75" hidden="false" customHeight="true" outlineLevel="0" collapsed="false"/>
    <row r="56" customFormat="false" ht="15.75" hidden="false" customHeight="true" outlineLevel="0" collapsed="false">
      <c r="B56" s="77" t="s">
        <v>44</v>
      </c>
      <c r="C56" s="77" t="s">
        <v>45</v>
      </c>
      <c r="D56" s="77" t="s">
        <v>46</v>
      </c>
      <c r="E56" s="77" t="s">
        <v>47</v>
      </c>
      <c r="F56" s="77" t="s">
        <v>48</v>
      </c>
      <c r="G56" s="77" t="s">
        <v>49</v>
      </c>
    </row>
    <row r="57" customFormat="false" ht="15.75" hidden="false" customHeight="true" outlineLevel="0" collapsed="false">
      <c r="A57" s="56" t="s">
        <v>18</v>
      </c>
      <c r="B57" s="55" t="n">
        <f aca="false">MAX(FT48:GV48)</f>
        <v>3695</v>
      </c>
      <c r="C57" s="55" t="n">
        <f aca="false">MIN(FT48:GV48)</f>
        <v>172.5</v>
      </c>
      <c r="D57" s="77" t="n">
        <f aca="false">COUNTA(FT48:GV48)</f>
        <v>26</v>
      </c>
      <c r="E57" s="55" t="n">
        <f aca="false">SUM(FT48:GV48)/D57</f>
        <v>2010.19307692308</v>
      </c>
      <c r="F57" s="55" t="n">
        <f aca="false">(SUM(FT48:GV48)-B57-C57)/(D57-2)</f>
        <v>2016.56333333333</v>
      </c>
      <c r="G57" s="55" t="n">
        <f aca="false">F57*1.1</f>
        <v>2218.21966666667</v>
      </c>
      <c r="H57" s="78"/>
    </row>
    <row r="58" customFormat="false" ht="15.75" hidden="false" customHeight="true" outlineLevel="0" collapsed="false">
      <c r="A58" s="56" t="s">
        <v>20</v>
      </c>
      <c r="B58" s="55" t="n">
        <f aca="false">MAX(FT49:GV49)</f>
        <v>7027.02</v>
      </c>
      <c r="C58" s="55" t="n">
        <f aca="false">MIN(FT49:GV49)</f>
        <v>1493.5</v>
      </c>
      <c r="D58" s="77" t="n">
        <f aca="false">COUNTA(FT49:GV49)</f>
        <v>26</v>
      </c>
      <c r="E58" s="55" t="n">
        <f aca="false">SUM(FT49:GV49)/D58</f>
        <v>2415.23461538462</v>
      </c>
      <c r="F58" s="55" t="n">
        <f aca="false">(SUM(FT49:GV49)-B58-C58)/(D58-2)</f>
        <v>2261.4825</v>
      </c>
      <c r="G58" s="55" t="n">
        <f aca="false">F58*1.1</f>
        <v>2487.63075</v>
      </c>
      <c r="H58" s="78"/>
    </row>
    <row r="59" customFormat="false" ht="15.75" hidden="false" customHeight="true" outlineLevel="0" collapsed="false">
      <c r="A59" s="56" t="s">
        <v>7</v>
      </c>
      <c r="B59" s="55" t="n">
        <f aca="false">MAX(FT50:GV50)</f>
        <v>5202</v>
      </c>
      <c r="C59" s="55" t="n">
        <f aca="false">MIN(FT50:GV50)</f>
        <v>1118</v>
      </c>
      <c r="D59" s="77" t="n">
        <f aca="false">COUNTA(FT50:GV50)</f>
        <v>25</v>
      </c>
      <c r="E59" s="55" t="n">
        <f aca="false">SUM(FT50:GV50)/D59</f>
        <v>2785.1392</v>
      </c>
      <c r="F59" s="55" t="n">
        <f aca="false">(SUM(FT50:GV50)-B59-C59)/(D59-2)</f>
        <v>2752.54260869565</v>
      </c>
      <c r="G59" s="55" t="n">
        <f aca="false">F59*1.1</f>
        <v>3027.79686956522</v>
      </c>
      <c r="H59" s="78"/>
    </row>
    <row r="60" customFormat="false" ht="15.75" hidden="false" customHeight="true" outlineLevel="0" collapsed="false">
      <c r="A60" s="56" t="s">
        <v>9</v>
      </c>
      <c r="B60" s="55" t="n">
        <f aca="false">MAX(FT51:GV51)</f>
        <v>5026</v>
      </c>
      <c r="C60" s="55" t="n">
        <f aca="false">MIN(FT51:GV51)</f>
        <v>1257</v>
      </c>
      <c r="D60" s="77" t="n">
        <f aca="false">COUNTA(FT51:GV51)</f>
        <v>26</v>
      </c>
      <c r="E60" s="55" t="n">
        <f aca="false">SUM(FT51:GV51)/D60</f>
        <v>2471.46384615385</v>
      </c>
      <c r="F60" s="55" t="n">
        <f aca="false">(SUM(FT51:GV51)-B60-C60)/(D60-2)</f>
        <v>2415.6275</v>
      </c>
      <c r="G60" s="55" t="n">
        <f aca="false">F60*1.1</f>
        <v>2657.19025</v>
      </c>
      <c r="H60" s="78"/>
    </row>
    <row r="61" customFormat="false" ht="15.75" hidden="false" customHeight="true" outlineLevel="0" collapsed="false">
      <c r="A61" s="56" t="s">
        <v>11</v>
      </c>
      <c r="B61" s="55" t="n">
        <f aca="false">MAX(FT52:GV52)</f>
        <v>6527.5</v>
      </c>
      <c r="C61" s="55" t="n">
        <f aca="false">MIN(FT52:GV52)</f>
        <v>1471.5</v>
      </c>
      <c r="D61" s="77" t="n">
        <f aca="false">COUNTA(FT52:GV52)</f>
        <v>26</v>
      </c>
      <c r="E61" s="55" t="n">
        <f aca="false">SUM(FT52:GV52)/D61</f>
        <v>2862.11230769231</v>
      </c>
      <c r="F61" s="55" t="n">
        <f aca="false">(SUM(FT52:GV52)-B61-C61)/(D61-2)</f>
        <v>2767.33</v>
      </c>
      <c r="G61" s="55" t="n">
        <f aca="false">F61*1.1</f>
        <v>3044.063</v>
      </c>
      <c r="H61" s="78"/>
    </row>
    <row r="62" customFormat="false" ht="15.75" hidden="false" customHeight="true" outlineLevel="0" collapsed="false">
      <c r="A62" s="56" t="s">
        <v>13</v>
      </c>
      <c r="B62" s="55" t="n">
        <f aca="false">MAX(FT53:GV53)</f>
        <v>6372</v>
      </c>
      <c r="C62" s="55" t="n">
        <f aca="false">MIN(FT53:GV53)</f>
        <v>1059</v>
      </c>
      <c r="D62" s="77" t="n">
        <f aca="false">COUNTA(FT53:GV53)</f>
        <v>26</v>
      </c>
      <c r="E62" s="55" t="n">
        <f aca="false">SUM(FT53:GV53)/D62</f>
        <v>4392.35</v>
      </c>
      <c r="F62" s="55" t="n">
        <f aca="false">(SUM(FT53:GV53)-B62-C62)/(D62-2)</f>
        <v>4448.75416666667</v>
      </c>
      <c r="G62" s="55" t="n">
        <f aca="false">F62*1.1</f>
        <v>4893.62958333333</v>
      </c>
      <c r="H62" s="78"/>
    </row>
    <row r="63" customFormat="false" ht="15.75" hidden="false" customHeight="true" outlineLevel="0" collapsed="false">
      <c r="A63" s="56" t="s">
        <v>17</v>
      </c>
      <c r="B63" s="55" t="n">
        <f aca="false">MAX(FT54:GV54)</f>
        <v>7023.5</v>
      </c>
      <c r="C63" s="55" t="n">
        <f aca="false">MIN(FT54:GV54)</f>
        <v>2583</v>
      </c>
      <c r="D63" s="77" t="n">
        <f aca="false">COUNTA(FT54:GV54)</f>
        <v>26</v>
      </c>
      <c r="E63" s="55" t="n">
        <f aca="false">SUM(FT54:GV54)/D63</f>
        <v>4299.92346153846</v>
      </c>
      <c r="F63" s="55" t="n">
        <f aca="false">(SUM(FT54:GV54)-B63-C63)/(D63-2)</f>
        <v>4257.97958333333</v>
      </c>
      <c r="G63" s="55" t="n">
        <f aca="false">F63*1.1</f>
        <v>4683.77754166667</v>
      </c>
      <c r="H63" s="78"/>
    </row>
    <row r="64" customFormat="false" ht="15.75" hidden="false" customHeight="true" outlineLevel="0" collapsed="false"/>
    <row r="65" customFormat="false" ht="15.75" hidden="false" customHeight="true" outlineLevel="0" collapsed="false">
      <c r="E65" s="77" t="s">
        <v>50</v>
      </c>
    </row>
    <row r="66" customFormat="false" ht="15.75" hidden="false" customHeight="true" outlineLevel="0" collapsed="false">
      <c r="E66" s="3" t="n">
        <v>2441.72591666667</v>
      </c>
      <c r="F66" s="55" t="n">
        <v>2218.21966666667</v>
      </c>
      <c r="G66" s="55" t="n">
        <f aca="false">F66-E66</f>
        <v>-223.50625</v>
      </c>
      <c r="H66" s="54"/>
    </row>
    <row r="67" customFormat="false" ht="15.75" hidden="false" customHeight="true" outlineLevel="0" collapsed="false">
      <c r="E67" s="3" t="n">
        <v>2595.82125</v>
      </c>
      <c r="F67" s="55" t="n">
        <v>2487.63075</v>
      </c>
      <c r="G67" s="55" t="n">
        <f aca="false">F67-E67</f>
        <v>-108.1905</v>
      </c>
      <c r="H67" s="54"/>
    </row>
    <row r="68" customFormat="false" ht="15.75" hidden="false" customHeight="true" outlineLevel="0" collapsed="false">
      <c r="E68" s="21" t="n">
        <v>3050.3745</v>
      </c>
      <c r="F68" s="55" t="n">
        <v>3027.79686956522</v>
      </c>
      <c r="G68" s="55" t="n">
        <f aca="false">F68-E68</f>
        <v>-22.5776304347823</v>
      </c>
      <c r="H68" s="54"/>
    </row>
    <row r="69" customFormat="false" ht="15.75" hidden="false" customHeight="true" outlineLevel="0" collapsed="false">
      <c r="E69" s="3" t="n">
        <v>2625.013875</v>
      </c>
      <c r="F69" s="55" t="n">
        <v>2657.19025</v>
      </c>
      <c r="G69" s="55" t="n">
        <f aca="false">F69-E69</f>
        <v>32.1763749999995</v>
      </c>
      <c r="H69" s="54"/>
    </row>
    <row r="70" customFormat="false" ht="15.75" hidden="false" customHeight="true" outlineLevel="0" collapsed="false">
      <c r="E70" s="3" t="n">
        <v>2871.523875</v>
      </c>
      <c r="F70" s="55" t="n">
        <v>3044.063</v>
      </c>
      <c r="G70" s="55" t="n">
        <f aca="false">F70-E70</f>
        <v>172.539125</v>
      </c>
      <c r="H70" s="54"/>
    </row>
    <row r="71" customFormat="false" ht="15.75" hidden="false" customHeight="true" outlineLevel="0" collapsed="false">
      <c r="E71" s="3" t="n">
        <v>4812.18420833333</v>
      </c>
      <c r="F71" s="55" t="n">
        <v>4893.62958333333</v>
      </c>
      <c r="G71" s="55" t="n">
        <f aca="false">F71-E71</f>
        <v>81.4453750000002</v>
      </c>
      <c r="H71" s="54"/>
    </row>
    <row r="72" customFormat="false" ht="15.75" hidden="false" customHeight="true" outlineLevel="0" collapsed="false">
      <c r="E72" s="32" t="n">
        <v>4517.60925</v>
      </c>
      <c r="F72" s="55" t="n">
        <v>4683.77754166667</v>
      </c>
      <c r="G72" s="55" t="n">
        <f aca="false">F72-E72</f>
        <v>166.168291666666</v>
      </c>
      <c r="H72" s="54"/>
    </row>
    <row r="73" customFormat="false" ht="15.75" hidden="false" customHeight="true" outlineLevel="0" collapsed="false">
      <c r="E73" s="55" t="n">
        <f aca="false">SUM(E66:E72)</f>
        <v>22914.252875</v>
      </c>
      <c r="F73" s="55" t="n">
        <f aca="false">SUM(F66:F72)</f>
        <v>23012.3076612319</v>
      </c>
      <c r="G73" s="79" t="n">
        <f aca="false">F73/E73</f>
        <v>1.00427920503308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</sheetData>
  <sheetProtection algorithmName="SHA-512" hashValue="Pdu5veC7xB3nmyB1zcwjH93/8brX1ov9tMk0SkufXdJo57GyxQtzmSxKcovKWbMy0DRCSCyEa43BmCdzrKApsg==" saltValue="gmVj9NaSKc5GgvgfgEnRvw==" spinCount="100000" sheet="true" objects="true" scenarios="true"/>
  <mergeCells count="41">
    <mergeCell ref="B47:E47"/>
    <mergeCell ref="F47:J47"/>
    <mergeCell ref="K47:O47"/>
    <mergeCell ref="P47:T47"/>
    <mergeCell ref="U47:Y47"/>
    <mergeCell ref="Z47:AD47"/>
    <mergeCell ref="AE47:AI47"/>
    <mergeCell ref="AJ47:AN47"/>
    <mergeCell ref="AO47:AS47"/>
    <mergeCell ref="AT47:AX47"/>
    <mergeCell ref="AY47:BC47"/>
    <mergeCell ref="BD47:BH47"/>
    <mergeCell ref="BI47:BM47"/>
    <mergeCell ref="BN47:BR47"/>
    <mergeCell ref="BS47:BW47"/>
    <mergeCell ref="BX47:CB47"/>
    <mergeCell ref="CC47:CG47"/>
    <mergeCell ref="CH47:CL47"/>
    <mergeCell ref="CM47:CQ47"/>
    <mergeCell ref="CR47:CV47"/>
    <mergeCell ref="CW47:DA47"/>
    <mergeCell ref="DB47:DF47"/>
    <mergeCell ref="DG47:DK47"/>
    <mergeCell ref="DL47:DP47"/>
    <mergeCell ref="DQ47:DU47"/>
    <mergeCell ref="DV47:DZ47"/>
    <mergeCell ref="EA47:EE47"/>
    <mergeCell ref="EF47:EJ47"/>
    <mergeCell ref="EK47:EO47"/>
    <mergeCell ref="EP47:ET47"/>
    <mergeCell ref="EU47:EY47"/>
    <mergeCell ref="EZ47:FD47"/>
    <mergeCell ref="FE47:FI47"/>
    <mergeCell ref="FJ47:FN47"/>
    <mergeCell ref="FO47:FS47"/>
    <mergeCell ref="FT47:FX47"/>
    <mergeCell ref="FY47:GB47"/>
    <mergeCell ref="GC47:GG47"/>
    <mergeCell ref="GH47:GL47"/>
    <mergeCell ref="GM47:GQ47"/>
    <mergeCell ref="GR47:GV47"/>
  </mergeCells>
  <conditionalFormatting sqref="AJ3:AJ33">
    <cfRule type="cellIs" priority="2" operator="greaterThanOrEqual" aboveAverage="0" equalAverage="0" bottom="0" percent="0" rank="0" text="" dxfId="4">
      <formula>$F3</formula>
    </cfRule>
    <cfRule type="cellIs" priority="3" operator="lessThan" aboveAverage="0" equalAverage="0" bottom="0" percent="0" rank="0" text="" dxfId="5">
      <formula>$F3</formula>
    </cfRule>
  </conditionalFormatting>
  <conditionalFormatting sqref="AL9:AL36">
    <cfRule type="expression" priority="4" aboveAverage="0" equalAverage="0" bottom="0" percent="0" rank="0" text="" dxfId="6">
      <formula>$D9&gt;=$F9</formula>
    </cfRule>
    <cfRule type="expression" priority="5" aboveAverage="0" equalAverage="0" bottom="0" percent="0" rank="0" text="" dxfId="7">
      <formula>$D9&lt;$F9</formula>
    </cfRule>
  </conditionalFormatting>
  <conditionalFormatting sqref="AM9:AM39">
    <cfRule type="expression" priority="6" aboveAverage="0" equalAverage="0" bottom="0" percent="0" rank="0" text="" dxfId="8">
      <formula>$D9&gt;=$F9</formula>
    </cfRule>
    <cfRule type="expression" priority="7" aboveAverage="0" equalAverage="0" bottom="0" percent="0" rank="0" text="" dxfId="9">
      <formula>$D9&lt;$F9</formula>
    </cfRule>
  </conditionalFormatting>
  <conditionalFormatting sqref="AN5:AN34">
    <cfRule type="expression" priority="8" aboveAverage="0" equalAverage="0" bottom="0" percent="0" rank="0" text="" dxfId="10">
      <formula>$D5&gt;=$F5</formula>
    </cfRule>
    <cfRule type="expression" priority="9" aboveAverage="0" equalAverage="0" bottom="0" percent="0" rank="0" text="" dxfId="11">
      <formula>$D5&lt;$F5</formula>
    </cfRule>
  </conditionalFormatting>
  <conditionalFormatting sqref="AO7:AO37">
    <cfRule type="expression" priority="10" aboveAverage="0" equalAverage="0" bottom="0" percent="0" rank="0" text="" dxfId="12">
      <formula>$D7&gt;=$F7</formula>
    </cfRule>
    <cfRule type="expression" priority="11" aboveAverage="0" equalAverage="0" bottom="0" percent="0" rank="0" text="" dxfId="13">
      <formula>$D7&lt;$F7</formula>
    </cfRule>
  </conditionalFormatting>
  <conditionalFormatting sqref="FO48:FR54">
    <cfRule type="cellIs" priority="12" operator="greaterThanOrEqual" aboveAverage="0" equalAverage="0" bottom="0" percent="0" rank="0" text="" dxfId="14">
      <formula>$F3</formula>
    </cfRule>
    <cfRule type="cellIs" priority="13" operator="lessThan" aboveAverage="0" equalAverage="0" bottom="0" percent="0" rank="0" text="" dxfId="15">
      <formula>$F3</formula>
    </cfRule>
  </conditionalFormatting>
  <conditionalFormatting sqref="FS48:FS49">
    <cfRule type="cellIs" priority="14" operator="greaterThanOrEqual" aboveAverage="0" equalAverage="0" bottom="0" percent="0" rank="0" text="" dxfId="16">
      <formula>$F3</formula>
    </cfRule>
    <cfRule type="cellIs" priority="15" operator="lessThan" aboveAverage="0" equalAverage="0" bottom="0" percent="0" rank="0" text="" dxfId="17">
      <formula>$F3</formula>
    </cfRule>
  </conditionalFormatting>
  <conditionalFormatting sqref="FY48:FY54">
    <cfRule type="expression" priority="16" aboveAverage="0" equalAverage="0" bottom="0" percent="0" rank="0" text="" dxfId="18">
      <formula>$D9&gt;=$F9</formula>
    </cfRule>
    <cfRule type="expression" priority="17" aboveAverage="0" equalAverage="0" bottom="0" percent="0" rank="0" text="" dxfId="19">
      <formula>$D9&lt;$F9</formula>
    </cfRule>
  </conditionalFormatting>
  <conditionalFormatting sqref="FZ48:GB54">
    <cfRule type="expression" priority="18" aboveAverage="0" equalAverage="0" bottom="0" percent="0" rank="0" text="" dxfId="20">
      <formula>$D10&gt;=$F10</formula>
    </cfRule>
    <cfRule type="expression" priority="19" aboveAverage="0" equalAverage="0" bottom="0" percent="0" rank="0" text="" dxfId="21">
      <formula>$D10&lt;$F10</formula>
    </cfRule>
  </conditionalFormatting>
  <conditionalFormatting sqref="GC48:GF54">
    <cfRule type="expression" priority="20" aboveAverage="0" equalAverage="0" bottom="0" percent="0" rank="0" text="" dxfId="22">
      <formula>$D9&gt;=$F9</formula>
    </cfRule>
    <cfRule type="expression" priority="21" aboveAverage="0" equalAverage="0" bottom="0" percent="0" rank="0" text="" dxfId="23">
      <formula>$D9&lt;$F9</formula>
    </cfRule>
  </conditionalFormatting>
  <conditionalFormatting sqref="GG48:GG49">
    <cfRule type="expression" priority="22" aboveAverage="0" equalAverage="0" bottom="0" percent="0" rank="0" text="" dxfId="24">
      <formula>$D9&gt;=$F9</formula>
    </cfRule>
    <cfRule type="expression" priority="23" aboveAverage="0" equalAverage="0" bottom="0" percent="0" rank="0" text="" dxfId="25">
      <formula>$D9&lt;$F9</formula>
    </cfRule>
  </conditionalFormatting>
  <conditionalFormatting sqref="GG54">
    <cfRule type="expression" priority="24" aboveAverage="0" equalAverage="0" bottom="0" percent="0" rank="0" text="" dxfId="26">
      <formula>$D15&gt;=$F15</formula>
    </cfRule>
    <cfRule type="expression" priority="25" aboveAverage="0" equalAverage="0" bottom="0" percent="0" rank="0" text="" dxfId="27">
      <formula>$D15&lt;$F15</formula>
    </cfRule>
  </conditionalFormatting>
  <conditionalFormatting sqref="GH50:GH54">
    <cfRule type="expression" priority="26" aboveAverage="0" equalAverage="0" bottom="0" percent="0" rank="0" text="" dxfId="28">
      <formula>$D5&gt;=$F5</formula>
    </cfRule>
    <cfRule type="expression" priority="27" aboveAverage="0" equalAverage="0" bottom="0" percent="0" rank="0" text="" dxfId="29">
      <formula>$D5&lt;$F5</formula>
    </cfRule>
  </conditionalFormatting>
  <conditionalFormatting sqref="GI48:GK54">
    <cfRule type="expression" priority="28" aboveAverage="0" equalAverage="0" bottom="0" percent="0" rank="0" text="" dxfId="30">
      <formula>$D3&gt;=$F3</formula>
    </cfRule>
    <cfRule type="expression" priority="29" aboveAverage="0" equalAverage="0" bottom="0" percent="0" rank="0" text="" dxfId="31">
      <formula>$D3&lt;$F3</formula>
    </cfRule>
  </conditionalFormatting>
  <conditionalFormatting sqref="GL48:GL51">
    <cfRule type="expression" priority="30" aboveAverage="0" equalAverage="0" bottom="0" percent="0" rank="0" text="" dxfId="32">
      <formula>$D3&gt;=$F3</formula>
    </cfRule>
    <cfRule type="expression" priority="31" aboveAverage="0" equalAverage="0" bottom="0" percent="0" rank="0" text="" dxfId="33">
      <formula>$D3&lt;$F3</formula>
    </cfRule>
  </conditionalFormatting>
  <conditionalFormatting sqref="GM48:GP54">
    <cfRule type="expression" priority="32" aboveAverage="0" equalAverage="0" bottom="0" percent="0" rank="0" text="" dxfId="34">
      <formula>$D3&gt;=$F3</formula>
    </cfRule>
    <cfRule type="expression" priority="33" aboveAverage="0" equalAverage="0" bottom="0" percent="0" rank="0" text="" dxfId="35">
      <formula>$D3&lt;$F3</formula>
    </cfRule>
  </conditionalFormatting>
  <conditionalFormatting sqref="GQ52:GQ54">
    <cfRule type="expression" priority="34" aboveAverage="0" equalAverage="0" bottom="0" percent="0" rank="0" text="" dxfId="36">
      <formula>$D7&gt;=$F7</formula>
    </cfRule>
    <cfRule type="expression" priority="35" aboveAverage="0" equalAverage="0" bottom="0" percent="0" rank="0" text="" dxfId="37">
      <formula>$D7&lt;$F7</formula>
    </cfRule>
  </conditionalFormatting>
  <conditionalFormatting sqref="AP3:AP32">
    <cfRule type="expression" priority="36" aboveAverage="0" equalAverage="0" bottom="0" percent="0" rank="0" text="" dxfId="38">
      <formula>$D3&gt;=$F3</formula>
    </cfRule>
    <cfRule type="expression" priority="37" aboveAverage="0" equalAverage="0" bottom="0" percent="0" rank="0" text="" dxfId="39">
      <formula>$D3&lt;$F3</formula>
    </cfRule>
  </conditionalFormatting>
  <conditionalFormatting sqref="GR48:GR54">
    <cfRule type="expression" priority="38" aboveAverage="0" equalAverage="0" bottom="0" percent="0" rank="0" text="" dxfId="40">
      <formula>$D3&gt;=$F3</formula>
    </cfRule>
    <cfRule type="expression" priority="39" aboveAverage="0" equalAverage="0" bottom="0" percent="0" rank="0" text="" dxfId="41">
      <formula>$D3&lt;$F3</formula>
    </cfRule>
  </conditionalFormatting>
  <conditionalFormatting sqref="GS48:GS54">
    <cfRule type="expression" priority="40" aboveAverage="0" equalAverage="0" bottom="0" percent="0" rank="0" text="" dxfId="42">
      <formula>$D3&gt;=$F3</formula>
    </cfRule>
    <cfRule type="expression" priority="41" aboveAverage="0" equalAverage="0" bottom="0" percent="0" rank="0" text="" dxfId="43">
      <formula>$D3&lt;$F3</formula>
    </cfRule>
  </conditionalFormatting>
  <conditionalFormatting sqref="GT48:GT54">
    <cfRule type="expression" priority="42" aboveAverage="0" equalAverage="0" bottom="0" percent="0" rank="0" text="" dxfId="44">
      <formula>$D3&gt;=$F3</formula>
    </cfRule>
    <cfRule type="expression" priority="43" aboveAverage="0" equalAverage="0" bottom="0" percent="0" rank="0" text="" dxfId="45">
      <formula>$D3&lt;$F3</formula>
    </cfRule>
  </conditionalFormatting>
  <conditionalFormatting sqref="GU48:GU54">
    <cfRule type="expression" priority="44" aboveAverage="0" equalAverage="0" bottom="0" percent="0" rank="0" text="" dxfId="46">
      <formula>$D3&gt;=$F3</formula>
    </cfRule>
    <cfRule type="expression" priority="45" aboveAverage="0" equalAverage="0" bottom="0" percent="0" rank="0" text="" dxfId="47">
      <formula>$D3&lt;$F3</formula>
    </cfRule>
  </conditionalFormatting>
  <conditionalFormatting sqref="GV48:GV49">
    <cfRule type="expression" priority="46" aboveAverage="0" equalAverage="0" bottom="0" percent="0" rank="0" text="" dxfId="48">
      <formula>$D3&gt;=$F3</formula>
    </cfRule>
    <cfRule type="expression" priority="47" aboveAverage="0" equalAverage="0" bottom="0" percent="0" rank="0" text="" dxfId="49">
      <formula>$D3&lt;$F3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K234"/>
  <sheetViews>
    <sheetView showFormulas="false" showGridLines="true" showRowColHeaders="true" showZeros="true" rightToLeft="false" tabSelected="false" showOutlineSymbols="true" defaultGridColor="true" view="normal" topLeftCell="IA1" colorId="64" zoomScale="100" zoomScaleNormal="100" zoomScalePageLayoutView="100" workbookViewId="0">
      <selection pane="topLeft" activeCell="IN22" activeCellId="0" sqref="IN22"/>
    </sheetView>
  </sheetViews>
  <sheetFormatPr defaultColWidth="14.4296875" defaultRowHeight="15" zeroHeight="false" outlineLevelRow="0" outlineLevelCol="0"/>
  <cols>
    <col collapsed="false" customWidth="true" hidden="true" outlineLevel="0" max="1" min="1" style="0" width="5.85"/>
    <col collapsed="false" customWidth="true" hidden="true" outlineLevel="0" max="2" min="2" style="0" width="9.71"/>
    <col collapsed="false" customWidth="true" hidden="true" outlineLevel="0" max="3" min="3" style="0" width="11"/>
    <col collapsed="false" customWidth="true" hidden="true" outlineLevel="0" max="4" min="4" style="0" width="11.85"/>
    <col collapsed="false" customWidth="true" hidden="true" outlineLevel="0" max="5" min="5" style="0" width="4.85"/>
    <col collapsed="false" customWidth="true" hidden="true" outlineLevel="0" max="6" min="6" style="0" width="5.71"/>
    <col collapsed="false" customWidth="true" hidden="true" outlineLevel="0" max="7" min="7" style="0" width="5.85"/>
    <col collapsed="false" customWidth="true" hidden="true" outlineLevel="0" max="8" min="8" style="0" width="9.71"/>
    <col collapsed="false" customWidth="true" hidden="true" outlineLevel="0" max="10" min="9" style="0" width="11.85"/>
    <col collapsed="false" customWidth="true" hidden="true" outlineLevel="0" max="11" min="11" style="0" width="4.85"/>
    <col collapsed="false" customWidth="true" hidden="true" outlineLevel="0" max="12" min="12" style="0" width="5.71"/>
    <col collapsed="false" customWidth="true" hidden="true" outlineLevel="0" max="13" min="13" style="0" width="5.85"/>
    <col collapsed="false" customWidth="true" hidden="true" outlineLevel="0" max="14" min="14" style="0" width="9.71"/>
    <col collapsed="false" customWidth="true" hidden="true" outlineLevel="0" max="15" min="15" style="0" width="11.85"/>
    <col collapsed="false" customWidth="true" hidden="true" outlineLevel="0" max="16" min="16" style="0" width="11"/>
    <col collapsed="false" customWidth="true" hidden="true" outlineLevel="0" max="17" min="17" style="0" width="4.28"/>
    <col collapsed="false" customWidth="true" hidden="true" outlineLevel="0" max="19" min="18" style="0" width="5.71"/>
    <col collapsed="false" customWidth="true" hidden="true" outlineLevel="0" max="20" min="20" style="0" width="9.71"/>
    <col collapsed="false" customWidth="true" hidden="true" outlineLevel="0" max="21" min="21" style="0" width="11.85"/>
    <col collapsed="false" customWidth="true" hidden="true" outlineLevel="0" max="22" min="22" style="0" width="11"/>
    <col collapsed="false" customWidth="true" hidden="true" outlineLevel="0" max="24" min="23" style="0" width="5.71"/>
    <col collapsed="false" customWidth="true" hidden="true" outlineLevel="0" max="25" min="25" style="0" width="2.57"/>
    <col collapsed="false" customWidth="true" hidden="true" outlineLevel="0" max="26" min="26" style="0" width="10.14"/>
    <col collapsed="false" customWidth="true" hidden="true" outlineLevel="0" max="27" min="27" style="0" width="11.85"/>
    <col collapsed="false" customWidth="true" hidden="true" outlineLevel="0" max="28" min="28" style="0" width="11"/>
    <col collapsed="false" customWidth="true" hidden="true" outlineLevel="0" max="31" min="29" style="0" width="5.71"/>
    <col collapsed="false" customWidth="true" hidden="true" outlineLevel="0" max="32" min="32" style="0" width="10.14"/>
    <col collapsed="false" customWidth="true" hidden="true" outlineLevel="0" max="34" min="33" style="0" width="11.85"/>
    <col collapsed="false" customWidth="true" hidden="true" outlineLevel="0" max="37" min="35" style="0" width="5.71"/>
    <col collapsed="false" customWidth="true" hidden="true" outlineLevel="0" max="38" min="38" style="0" width="10.14"/>
    <col collapsed="false" customWidth="true" hidden="true" outlineLevel="0" max="40" min="39" style="0" width="11.85"/>
    <col collapsed="false" customWidth="true" hidden="true" outlineLevel="0" max="43" min="41" style="0" width="5.71"/>
    <col collapsed="false" customWidth="true" hidden="true" outlineLevel="0" max="44" min="44" style="0" width="9.71"/>
    <col collapsed="false" customWidth="true" hidden="true" outlineLevel="0" max="46" min="45" style="0" width="11.85"/>
    <col collapsed="false" customWidth="true" hidden="true" outlineLevel="0" max="49" min="47" style="0" width="5.71"/>
    <col collapsed="false" customWidth="true" hidden="true" outlineLevel="0" max="50" min="50" style="0" width="10.14"/>
    <col collapsed="false" customWidth="true" hidden="true" outlineLevel="0" max="52" min="51" style="0" width="11.85"/>
    <col collapsed="false" customWidth="true" hidden="true" outlineLevel="0" max="55" min="53" style="0" width="5.71"/>
    <col collapsed="false" customWidth="true" hidden="true" outlineLevel="0" max="56" min="56" style="0" width="10.14"/>
    <col collapsed="false" customWidth="true" hidden="true" outlineLevel="0" max="58" min="57" style="0" width="11.85"/>
    <col collapsed="false" customWidth="true" hidden="true" outlineLevel="0" max="61" min="59" style="0" width="5.71"/>
    <col collapsed="false" customWidth="true" hidden="true" outlineLevel="0" max="62" min="62" style="0" width="10.14"/>
    <col collapsed="false" customWidth="true" hidden="true" outlineLevel="0" max="64" min="63" style="0" width="11.85"/>
    <col collapsed="false" customWidth="true" hidden="true" outlineLevel="0" max="67" min="65" style="0" width="5.71"/>
    <col collapsed="false" customWidth="true" hidden="true" outlineLevel="0" max="68" min="68" style="0" width="10.14"/>
    <col collapsed="false" customWidth="true" hidden="true" outlineLevel="0" max="70" min="69" style="0" width="11.85"/>
    <col collapsed="false" customWidth="true" hidden="true" outlineLevel="0" max="73" min="71" style="0" width="5.71"/>
    <col collapsed="false" customWidth="true" hidden="true" outlineLevel="0" max="74" min="74" style="0" width="10.14"/>
    <col collapsed="false" customWidth="true" hidden="true" outlineLevel="0" max="76" min="75" style="0" width="11.85"/>
    <col collapsed="false" customWidth="true" hidden="true" outlineLevel="0" max="79" min="77" style="0" width="5.71"/>
    <col collapsed="false" customWidth="true" hidden="true" outlineLevel="0" max="80" min="80" style="0" width="9.71"/>
    <col collapsed="false" customWidth="true" hidden="true" outlineLevel="0" max="82" min="81" style="0" width="11.14"/>
    <col collapsed="false" customWidth="true" hidden="true" outlineLevel="0" max="85" min="83" style="0" width="5.71"/>
    <col collapsed="false" customWidth="true" hidden="true" outlineLevel="0" max="86" min="86" style="0" width="9.57"/>
    <col collapsed="false" customWidth="true" hidden="true" outlineLevel="0" max="88" min="87" style="0" width="11.57"/>
    <col collapsed="false" customWidth="true" hidden="true" outlineLevel="0" max="91" min="89" style="0" width="5.71"/>
    <col collapsed="false" customWidth="true" hidden="true" outlineLevel="0" max="92" min="92" style="0" width="10.14"/>
    <col collapsed="false" customWidth="true" hidden="true" outlineLevel="0" max="93" min="93" style="0" width="11.85"/>
    <col collapsed="false" customWidth="true" hidden="true" outlineLevel="0" max="94" min="94" style="0" width="11"/>
    <col collapsed="false" customWidth="true" hidden="true" outlineLevel="0" max="96" min="95" style="0" width="5.71"/>
    <col collapsed="false" customWidth="true" hidden="true" outlineLevel="0" max="97" min="97" style="0" width="2.57"/>
    <col collapsed="false" customWidth="true" hidden="true" outlineLevel="0" max="98" min="98" style="0" width="10.14"/>
    <col collapsed="false" customWidth="true" hidden="true" outlineLevel="0" max="99" min="99" style="0" width="11.85"/>
    <col collapsed="false" customWidth="true" hidden="true" outlineLevel="0" max="100" min="100" style="0" width="11"/>
    <col collapsed="false" customWidth="true" hidden="true" outlineLevel="0" max="103" min="101" style="0" width="5.71"/>
    <col collapsed="false" customWidth="true" hidden="true" outlineLevel="0" max="104" min="104" style="0" width="10.14"/>
    <col collapsed="false" customWidth="true" hidden="true" outlineLevel="0" max="105" min="105" style="0" width="11.85"/>
    <col collapsed="false" customWidth="true" hidden="true" outlineLevel="0" max="106" min="106" style="0" width="11"/>
    <col collapsed="false" customWidth="true" hidden="true" outlineLevel="0" max="109" min="107" style="0" width="5.71"/>
    <col collapsed="false" customWidth="true" hidden="true" outlineLevel="0" max="110" min="110" style="0" width="10.14"/>
    <col collapsed="false" customWidth="true" hidden="true" outlineLevel="0" max="111" min="111" style="0" width="11.85"/>
    <col collapsed="false" customWidth="true" hidden="true" outlineLevel="0" max="112" min="112" style="0" width="11"/>
    <col collapsed="false" customWidth="true" hidden="true" outlineLevel="0" max="116" min="113" style="0" width="5.71"/>
    <col collapsed="false" customWidth="true" hidden="true" outlineLevel="0" max="117" min="117" style="0" width="11.14"/>
    <col collapsed="false" customWidth="true" hidden="true" outlineLevel="0" max="118" min="118" style="0" width="10.43"/>
    <col collapsed="false" customWidth="true" hidden="true" outlineLevel="0" max="121" min="119" style="0" width="5.71"/>
    <col collapsed="false" customWidth="true" hidden="true" outlineLevel="0" max="122" min="122" style="0" width="10.14"/>
    <col collapsed="false" customWidth="true" hidden="true" outlineLevel="0" max="123" min="123" style="0" width="11"/>
    <col collapsed="false" customWidth="true" hidden="true" outlineLevel="0" max="124" min="124" style="0" width="11.85"/>
    <col collapsed="false" customWidth="true" hidden="true" outlineLevel="0" max="127" min="125" style="0" width="5.71"/>
    <col collapsed="false" customWidth="true" hidden="true" outlineLevel="0" max="128" min="128" style="0" width="9.71"/>
    <col collapsed="false" customWidth="true" hidden="true" outlineLevel="0" max="130" min="129" style="0" width="11.14"/>
    <col collapsed="false" customWidth="true" hidden="true" outlineLevel="0" max="133" min="131" style="0" width="5.71"/>
    <col collapsed="false" customWidth="true" hidden="true" outlineLevel="0" max="134" min="134" style="0" width="10.14"/>
    <col collapsed="false" customWidth="true" hidden="true" outlineLevel="0" max="135" min="135" style="0" width="12"/>
    <col collapsed="false" customWidth="true" hidden="true" outlineLevel="0" max="136" min="136" style="0" width="11.14"/>
    <col collapsed="false" customWidth="true" hidden="true" outlineLevel="0" max="139" min="137" style="0" width="5.71"/>
    <col collapsed="false" customWidth="true" hidden="true" outlineLevel="0" max="140" min="140" style="0" width="15.14"/>
    <col collapsed="false" customWidth="true" hidden="true" outlineLevel="0" max="142" min="141" style="0" width="18"/>
    <col collapsed="false" customWidth="true" hidden="true" outlineLevel="0" max="143" min="143" style="0" width="7.14"/>
    <col collapsed="false" customWidth="true" hidden="true" outlineLevel="0" max="145" min="144" style="0" width="5.71"/>
    <col collapsed="false" customWidth="true" hidden="true" outlineLevel="0" max="146" min="146" style="0" width="15.14"/>
    <col collapsed="false" customWidth="true" hidden="true" outlineLevel="0" max="148" min="147" style="0" width="17.85"/>
    <col collapsed="false" customWidth="true" hidden="true" outlineLevel="0" max="149" min="149" style="0" width="7.14"/>
    <col collapsed="false" customWidth="true" hidden="true" outlineLevel="0" max="151" min="150" style="0" width="5.71"/>
    <col collapsed="false" customWidth="true" hidden="true" outlineLevel="0" max="152" min="152" style="0" width="15.14"/>
    <col collapsed="false" customWidth="true" hidden="true" outlineLevel="0" max="154" min="153" style="0" width="18"/>
    <col collapsed="false" customWidth="true" hidden="true" outlineLevel="0" max="155" min="155" style="0" width="7.14"/>
    <col collapsed="false" customWidth="true" hidden="true" outlineLevel="0" max="157" min="156" style="0" width="9.57"/>
    <col collapsed="false" customWidth="true" hidden="true" outlineLevel="0" max="158" min="158" style="0" width="15.14"/>
    <col collapsed="false" customWidth="true" hidden="true" outlineLevel="0" max="159" min="159" style="0" width="18"/>
    <col collapsed="false" customWidth="true" hidden="true" outlineLevel="0" max="160" min="160" style="0" width="16.57"/>
    <col collapsed="false" customWidth="true" hidden="true" outlineLevel="0" max="163" min="161" style="0" width="9.57"/>
    <col collapsed="false" customWidth="true" hidden="true" outlineLevel="0" max="164" min="164" style="0" width="15.14"/>
    <col collapsed="false" customWidth="true" hidden="true" outlineLevel="0" max="165" min="165" style="0" width="18"/>
    <col collapsed="false" customWidth="true" hidden="true" outlineLevel="0" max="166" min="166" style="0" width="16.57"/>
    <col collapsed="false" customWidth="true" hidden="true" outlineLevel="0" max="170" min="167" style="0" width="9.57"/>
    <col collapsed="false" customWidth="true" hidden="true" outlineLevel="0" max="171" min="171" style="0" width="18"/>
    <col collapsed="false" customWidth="true" hidden="true" outlineLevel="0" max="172" min="172" style="0" width="16.57"/>
    <col collapsed="false" customWidth="true" hidden="true" outlineLevel="0" max="175" min="173" style="0" width="9.57"/>
    <col collapsed="false" customWidth="true" hidden="true" outlineLevel="0" max="176" min="176" style="0" width="15.14"/>
    <col collapsed="false" customWidth="true" hidden="true" outlineLevel="0" max="177" min="177" style="0" width="18"/>
    <col collapsed="false" customWidth="true" hidden="true" outlineLevel="0" max="178" min="178" style="0" width="16.57"/>
    <col collapsed="false" customWidth="true" hidden="true" outlineLevel="0" max="179" min="179" style="0" width="9.57"/>
    <col collapsed="false" customWidth="true" hidden="true" outlineLevel="0" max="181" min="180" style="0" width="11"/>
    <col collapsed="false" customWidth="true" hidden="true" outlineLevel="0" max="182" min="182" style="0" width="13.28"/>
    <col collapsed="false" customWidth="true" hidden="true" outlineLevel="0" max="183" min="183" style="0" width="18"/>
    <col collapsed="false" customWidth="true" hidden="true" outlineLevel="0" max="184" min="184" style="0" width="16.57"/>
    <col collapsed="false" customWidth="true" hidden="true" outlineLevel="0" max="187" min="185" style="0" width="11"/>
    <col collapsed="false" customWidth="true" hidden="true" outlineLevel="0" max="188" min="188" style="0" width="14"/>
    <col collapsed="false" customWidth="true" hidden="true" outlineLevel="0" max="190" min="189" style="0" width="14.71"/>
    <col collapsed="false" customWidth="true" hidden="true" outlineLevel="0" max="193" min="191" style="0" width="11"/>
    <col collapsed="false" customWidth="true" hidden="true" outlineLevel="0" max="194" min="194" style="0" width="14"/>
    <col collapsed="false" customWidth="true" hidden="true" outlineLevel="0" max="195" min="195" style="0" width="14.71"/>
    <col collapsed="false" customWidth="true" hidden="true" outlineLevel="0" max="196" min="196" style="0" width="15.85"/>
    <col collapsed="false" customWidth="true" hidden="true" outlineLevel="0" max="197" min="197" style="0" width="11"/>
    <col collapsed="false" customWidth="true" hidden="true" outlineLevel="0" max="200" min="198" style="0" width="12.57"/>
    <col collapsed="false" customWidth="true" hidden="true" outlineLevel="0" max="201" min="201" style="0" width="15.85"/>
    <col collapsed="false" customWidth="true" hidden="true" outlineLevel="0" max="202" min="202" style="0" width="14.71"/>
    <col collapsed="false" customWidth="true" hidden="true" outlineLevel="0" max="203" min="203" style="0" width="12.57"/>
    <col collapsed="false" customWidth="true" hidden="true" outlineLevel="0" max="210" min="204" style="0" width="0.14"/>
    <col collapsed="false" customWidth="true" hidden="false" outlineLevel="0" max="214" min="214" style="0" width="15.85"/>
    <col collapsed="false" customWidth="true" hidden="false" outlineLevel="0" max="219" min="219" style="0" width="14.71"/>
    <col collapsed="false" customWidth="true" hidden="false" outlineLevel="0" max="237" min="237" style="0" width="15.85"/>
  </cols>
  <sheetData>
    <row r="1" customFormat="false" ht="15.75" hidden="false" customHeight="false" outlineLevel="0" collapsed="false">
      <c r="A1" s="80" t="n">
        <v>44958</v>
      </c>
      <c r="B1" s="80"/>
      <c r="C1" s="80"/>
      <c r="D1" s="80"/>
      <c r="E1" s="80"/>
      <c r="F1" s="81"/>
      <c r="G1" s="80" t="n">
        <v>44986</v>
      </c>
      <c r="H1" s="80"/>
      <c r="I1" s="80"/>
      <c r="J1" s="80"/>
      <c r="K1" s="80"/>
      <c r="L1" s="81"/>
      <c r="M1" s="80" t="n">
        <v>45017</v>
      </c>
      <c r="N1" s="80"/>
      <c r="O1" s="80"/>
      <c r="P1" s="80"/>
      <c r="Q1" s="80"/>
      <c r="R1" s="81"/>
      <c r="S1" s="80" t="n">
        <v>45047</v>
      </c>
      <c r="T1" s="80"/>
      <c r="U1" s="80"/>
      <c r="V1" s="80"/>
      <c r="W1" s="80"/>
      <c r="X1" s="81"/>
      <c r="Y1" s="82" t="n">
        <v>45078</v>
      </c>
      <c r="Z1" s="82"/>
      <c r="AA1" s="82"/>
      <c r="AB1" s="82"/>
      <c r="AC1" s="82"/>
      <c r="AD1" s="81"/>
      <c r="AE1" s="82" t="n">
        <v>45108</v>
      </c>
      <c r="AF1" s="82"/>
      <c r="AG1" s="82"/>
      <c r="AH1" s="82"/>
      <c r="AI1" s="82"/>
      <c r="AJ1" s="81"/>
      <c r="AK1" s="82" t="n">
        <v>45139</v>
      </c>
      <c r="AL1" s="82"/>
      <c r="AM1" s="82"/>
      <c r="AN1" s="82"/>
      <c r="AO1" s="82"/>
      <c r="AP1" s="81"/>
      <c r="AQ1" s="83" t="n">
        <v>45170</v>
      </c>
      <c r="AR1" s="83"/>
      <c r="AS1" s="83"/>
      <c r="AT1" s="83"/>
      <c r="AU1" s="81"/>
      <c r="AV1" s="81"/>
      <c r="AW1" s="83" t="n">
        <v>45200</v>
      </c>
      <c r="AX1" s="83"/>
      <c r="AY1" s="83"/>
      <c r="AZ1" s="83"/>
      <c r="BA1" s="81"/>
      <c r="BB1" s="81"/>
      <c r="BC1" s="82" t="n">
        <v>45231</v>
      </c>
      <c r="BD1" s="82"/>
      <c r="BE1" s="82"/>
      <c r="BF1" s="82"/>
      <c r="BG1" s="82"/>
      <c r="BH1" s="81"/>
      <c r="BI1" s="82" t="n">
        <v>45261</v>
      </c>
      <c r="BJ1" s="82"/>
      <c r="BK1" s="82"/>
      <c r="BL1" s="82"/>
      <c r="BM1" s="82"/>
      <c r="BN1" s="81"/>
      <c r="BO1" s="82" t="n">
        <v>45292</v>
      </c>
      <c r="BP1" s="82"/>
      <c r="BQ1" s="82"/>
      <c r="BR1" s="82"/>
      <c r="BS1" s="82"/>
      <c r="BT1" s="81"/>
      <c r="BU1" s="82" t="n">
        <v>45323</v>
      </c>
      <c r="BV1" s="82"/>
      <c r="BW1" s="82"/>
      <c r="BX1" s="82"/>
      <c r="BY1" s="82"/>
      <c r="BZ1" s="81"/>
      <c r="CA1" s="82" t="n">
        <v>45352</v>
      </c>
      <c r="CB1" s="82"/>
      <c r="CC1" s="82"/>
      <c r="CD1" s="82"/>
      <c r="CE1" s="82"/>
      <c r="CF1" s="81"/>
      <c r="CG1" s="82" t="n">
        <v>45383</v>
      </c>
      <c r="CH1" s="82"/>
      <c r="CI1" s="82"/>
      <c r="CJ1" s="82"/>
      <c r="CK1" s="82"/>
      <c r="CL1" s="81"/>
      <c r="CM1" s="82" t="n">
        <v>45413</v>
      </c>
      <c r="CN1" s="82"/>
      <c r="CO1" s="82"/>
      <c r="CP1" s="82"/>
      <c r="CQ1" s="82"/>
      <c r="CR1" s="81"/>
      <c r="CS1" s="82" t="n">
        <v>45444</v>
      </c>
      <c r="CT1" s="82"/>
      <c r="CU1" s="82"/>
      <c r="CV1" s="82"/>
      <c r="CW1" s="82"/>
      <c r="CX1" s="81"/>
      <c r="CY1" s="82" t="n">
        <v>45474</v>
      </c>
      <c r="CZ1" s="82"/>
      <c r="DA1" s="82"/>
      <c r="DB1" s="82"/>
      <c r="DC1" s="82"/>
      <c r="DD1" s="81"/>
      <c r="DE1" s="82" t="n">
        <v>45505</v>
      </c>
      <c r="DF1" s="82"/>
      <c r="DG1" s="82"/>
      <c r="DH1" s="82"/>
      <c r="DI1" s="82"/>
      <c r="DJ1" s="81"/>
      <c r="DK1" s="82" t="n">
        <v>45536</v>
      </c>
      <c r="DL1" s="82"/>
      <c r="DM1" s="82"/>
      <c r="DN1" s="82"/>
      <c r="DO1" s="82"/>
      <c r="DP1" s="81"/>
      <c r="DQ1" s="82" t="n">
        <v>45566</v>
      </c>
      <c r="DR1" s="82"/>
      <c r="DS1" s="82"/>
      <c r="DT1" s="82"/>
      <c r="DU1" s="82"/>
      <c r="DV1" s="84"/>
      <c r="DW1" s="82" t="n">
        <v>45597</v>
      </c>
      <c r="DX1" s="82"/>
      <c r="DY1" s="82"/>
      <c r="DZ1" s="82"/>
      <c r="EA1" s="82"/>
      <c r="EB1" s="81"/>
      <c r="EC1" s="82" t="n">
        <v>45627</v>
      </c>
      <c r="ED1" s="82"/>
      <c r="EE1" s="82"/>
      <c r="EF1" s="82"/>
      <c r="EG1" s="82"/>
      <c r="EH1" s="84"/>
      <c r="EI1" s="82" t="n">
        <v>45658</v>
      </c>
      <c r="EJ1" s="82"/>
      <c r="EK1" s="82"/>
      <c r="EL1" s="82"/>
      <c r="EM1" s="82"/>
      <c r="EN1" s="81"/>
      <c r="EO1" s="82" t="n">
        <v>45689</v>
      </c>
      <c r="EP1" s="82"/>
      <c r="EQ1" s="82"/>
      <c r="ER1" s="82"/>
      <c r="ES1" s="82"/>
      <c r="ET1" s="81"/>
      <c r="EU1" s="82" t="n">
        <v>45717</v>
      </c>
      <c r="EV1" s="82"/>
      <c r="EW1" s="82"/>
      <c r="EX1" s="82"/>
      <c r="EY1" s="82"/>
      <c r="FA1" s="82" t="n">
        <v>45748</v>
      </c>
      <c r="FB1" s="82"/>
      <c r="FC1" s="82"/>
      <c r="FD1" s="82"/>
      <c r="FE1" s="82"/>
      <c r="FG1" s="82" t="n">
        <v>45778</v>
      </c>
      <c r="FH1" s="82"/>
      <c r="FI1" s="82"/>
      <c r="FJ1" s="82"/>
      <c r="FK1" s="82"/>
      <c r="FM1" s="82" t="n">
        <v>45809</v>
      </c>
      <c r="FN1" s="82"/>
      <c r="FO1" s="82"/>
      <c r="FP1" s="82"/>
      <c r="FQ1" s="82"/>
      <c r="FS1" s="82" t="n">
        <v>45839</v>
      </c>
      <c r="FT1" s="82"/>
      <c r="FU1" s="82"/>
      <c r="FV1" s="82"/>
      <c r="FW1" s="82"/>
      <c r="FY1" s="82" t="n">
        <v>45870</v>
      </c>
      <c r="FZ1" s="82"/>
      <c r="GA1" s="82"/>
      <c r="GB1" s="82"/>
      <c r="GC1" s="82"/>
      <c r="GE1" s="82" t="n">
        <v>45901</v>
      </c>
      <c r="GF1" s="82"/>
      <c r="GG1" s="82"/>
      <c r="GH1" s="82"/>
      <c r="GI1" s="82"/>
      <c r="GK1" s="82" t="n">
        <v>45931</v>
      </c>
      <c r="GL1" s="82"/>
      <c r="GM1" s="82"/>
      <c r="GN1" s="82"/>
      <c r="GO1" s="82"/>
      <c r="GQ1" s="82" t="n">
        <v>45962</v>
      </c>
      <c r="GR1" s="82"/>
      <c r="GS1" s="82"/>
      <c r="GT1" s="82"/>
      <c r="GU1" s="82"/>
      <c r="GW1" s="82" t="n">
        <v>45992</v>
      </c>
      <c r="GX1" s="82"/>
      <c r="GY1" s="82"/>
      <c r="GZ1" s="82"/>
      <c r="HA1" s="82"/>
      <c r="HC1" s="82" t="n">
        <v>46023</v>
      </c>
      <c r="HD1" s="82"/>
      <c r="HE1" s="82"/>
      <c r="HF1" s="82"/>
      <c r="HG1" s="82"/>
      <c r="HI1" s="82" t="n">
        <v>46054</v>
      </c>
      <c r="HJ1" s="82"/>
      <c r="HK1" s="82"/>
      <c r="HL1" s="82"/>
      <c r="HM1" s="82"/>
      <c r="HO1" s="82" t="n">
        <v>46082</v>
      </c>
      <c r="HP1" s="82"/>
      <c r="HQ1" s="82"/>
      <c r="HR1" s="82"/>
      <c r="HS1" s="82"/>
      <c r="HU1" s="82" t="n">
        <v>46113</v>
      </c>
      <c r="HV1" s="82"/>
      <c r="HW1" s="82"/>
      <c r="HX1" s="82"/>
      <c r="HY1" s="82"/>
      <c r="IA1" s="82" t="n">
        <v>46143</v>
      </c>
      <c r="IB1" s="82"/>
      <c r="IC1" s="82"/>
      <c r="ID1" s="82"/>
      <c r="IE1" s="82"/>
      <c r="IG1" s="82" t="n">
        <v>46174</v>
      </c>
      <c r="IH1" s="82"/>
      <c r="II1" s="82"/>
      <c r="IJ1" s="82"/>
      <c r="IK1" s="82"/>
    </row>
    <row r="2" customFormat="false" ht="15.75" hidden="false" customHeight="false" outlineLevel="0" collapsed="false">
      <c r="A2" s="85" t="s">
        <v>2</v>
      </c>
      <c r="B2" s="85"/>
      <c r="C2" s="85" t="s">
        <v>3</v>
      </c>
      <c r="D2" s="86" t="s">
        <v>4</v>
      </c>
      <c r="E2" s="85" t="s">
        <v>51</v>
      </c>
      <c r="F2" s="81"/>
      <c r="G2" s="85" t="s">
        <v>2</v>
      </c>
      <c r="H2" s="85"/>
      <c r="I2" s="85" t="s">
        <v>3</v>
      </c>
      <c r="J2" s="86" t="s">
        <v>4</v>
      </c>
      <c r="K2" s="85" t="s">
        <v>51</v>
      </c>
      <c r="L2" s="81"/>
      <c r="M2" s="85" t="s">
        <v>2</v>
      </c>
      <c r="N2" s="85"/>
      <c r="O2" s="85" t="s">
        <v>3</v>
      </c>
      <c r="P2" s="86" t="s">
        <v>4</v>
      </c>
      <c r="Q2" s="85" t="s">
        <v>51</v>
      </c>
      <c r="R2" s="81"/>
      <c r="S2" s="85" t="s">
        <v>2</v>
      </c>
      <c r="T2" s="85"/>
      <c r="U2" s="85" t="s">
        <v>3</v>
      </c>
      <c r="V2" s="86" t="s">
        <v>4</v>
      </c>
      <c r="W2" s="85" t="s">
        <v>51</v>
      </c>
      <c r="X2" s="81"/>
      <c r="Y2" s="87" t="s">
        <v>2</v>
      </c>
      <c r="Z2" s="87"/>
      <c r="AA2" s="88" t="s">
        <v>3</v>
      </c>
      <c r="AB2" s="89" t="s">
        <v>4</v>
      </c>
      <c r="AC2" s="81"/>
      <c r="AD2" s="81"/>
      <c r="AE2" s="88" t="s">
        <v>2</v>
      </c>
      <c r="AF2" s="88"/>
      <c r="AG2" s="88" t="s">
        <v>3</v>
      </c>
      <c r="AH2" s="89" t="s">
        <v>4</v>
      </c>
      <c r="AI2" s="81"/>
      <c r="AJ2" s="81"/>
      <c r="AK2" s="87" t="s">
        <v>2</v>
      </c>
      <c r="AL2" s="87"/>
      <c r="AM2" s="88" t="s">
        <v>3</v>
      </c>
      <c r="AN2" s="89" t="s">
        <v>4</v>
      </c>
      <c r="AO2" s="81"/>
      <c r="AP2" s="81"/>
      <c r="AQ2" s="85" t="s">
        <v>2</v>
      </c>
      <c r="AR2" s="85"/>
      <c r="AS2" s="85" t="s">
        <v>3</v>
      </c>
      <c r="AT2" s="86" t="s">
        <v>4</v>
      </c>
      <c r="AU2" s="81"/>
      <c r="AV2" s="81"/>
      <c r="AW2" s="85" t="s">
        <v>2</v>
      </c>
      <c r="AX2" s="85"/>
      <c r="AY2" s="85" t="s">
        <v>3</v>
      </c>
      <c r="AZ2" s="86" t="s">
        <v>4</v>
      </c>
      <c r="BA2" s="81"/>
      <c r="BB2" s="81"/>
      <c r="BC2" s="85" t="s">
        <v>2</v>
      </c>
      <c r="BD2" s="85"/>
      <c r="BE2" s="85" t="s">
        <v>3</v>
      </c>
      <c r="BF2" s="86" t="s">
        <v>4</v>
      </c>
      <c r="BG2" s="81"/>
      <c r="BH2" s="81"/>
      <c r="BI2" s="85" t="s">
        <v>2</v>
      </c>
      <c r="BJ2" s="85"/>
      <c r="BK2" s="85" t="s">
        <v>3</v>
      </c>
      <c r="BL2" s="86" t="s">
        <v>4</v>
      </c>
      <c r="BM2" s="81"/>
      <c r="BN2" s="81"/>
      <c r="BO2" s="85" t="s">
        <v>2</v>
      </c>
      <c r="BP2" s="85"/>
      <c r="BQ2" s="85" t="s">
        <v>3</v>
      </c>
      <c r="BR2" s="86" t="s">
        <v>4</v>
      </c>
      <c r="BS2" s="81"/>
      <c r="BT2" s="81"/>
      <c r="BU2" s="85" t="s">
        <v>2</v>
      </c>
      <c r="BV2" s="85"/>
      <c r="BW2" s="85" t="s">
        <v>3</v>
      </c>
      <c r="BX2" s="86" t="s">
        <v>4</v>
      </c>
      <c r="BY2" s="81"/>
      <c r="BZ2" s="81"/>
      <c r="CA2" s="85" t="s">
        <v>2</v>
      </c>
      <c r="CB2" s="85"/>
      <c r="CC2" s="85" t="s">
        <v>3</v>
      </c>
      <c r="CD2" s="86" t="s">
        <v>4</v>
      </c>
      <c r="CE2" s="81"/>
      <c r="CF2" s="81"/>
      <c r="CG2" s="85" t="s">
        <v>2</v>
      </c>
      <c r="CH2" s="85"/>
      <c r="CI2" s="85" t="s">
        <v>3</v>
      </c>
      <c r="CJ2" s="86" t="s">
        <v>4</v>
      </c>
      <c r="CK2" s="81"/>
      <c r="CL2" s="81"/>
      <c r="CM2" s="85" t="s">
        <v>2</v>
      </c>
      <c r="CN2" s="85"/>
      <c r="CO2" s="85" t="s">
        <v>3</v>
      </c>
      <c r="CP2" s="86" t="s">
        <v>4</v>
      </c>
      <c r="CQ2" s="81"/>
      <c r="CR2" s="81"/>
      <c r="CS2" s="85" t="s">
        <v>2</v>
      </c>
      <c r="CT2" s="85"/>
      <c r="CU2" s="85" t="s">
        <v>3</v>
      </c>
      <c r="CV2" s="86" t="s">
        <v>4</v>
      </c>
      <c r="CW2" s="81"/>
      <c r="CX2" s="81"/>
      <c r="CY2" s="85" t="s">
        <v>2</v>
      </c>
      <c r="CZ2" s="85"/>
      <c r="DA2" s="85" t="s">
        <v>3</v>
      </c>
      <c r="DB2" s="86" t="s">
        <v>4</v>
      </c>
      <c r="DC2" s="81"/>
      <c r="DD2" s="81"/>
      <c r="DE2" s="85" t="s">
        <v>2</v>
      </c>
      <c r="DF2" s="85"/>
      <c r="DG2" s="85" t="s">
        <v>3</v>
      </c>
      <c r="DH2" s="86" t="s">
        <v>4</v>
      </c>
      <c r="DI2" s="81"/>
      <c r="DJ2" s="81"/>
      <c r="DK2" s="85" t="s">
        <v>2</v>
      </c>
      <c r="DL2" s="85"/>
      <c r="DM2" s="85" t="s">
        <v>3</v>
      </c>
      <c r="DN2" s="86" t="s">
        <v>4</v>
      </c>
      <c r="DO2" s="81"/>
      <c r="DP2" s="81"/>
      <c r="DQ2" s="85" t="s">
        <v>2</v>
      </c>
      <c r="DR2" s="85"/>
      <c r="DS2" s="85" t="s">
        <v>3</v>
      </c>
      <c r="DT2" s="86" t="s">
        <v>4</v>
      </c>
      <c r="DU2" s="81"/>
      <c r="DV2" s="81"/>
      <c r="DW2" s="85" t="s">
        <v>2</v>
      </c>
      <c r="DX2" s="85"/>
      <c r="DY2" s="85" t="s">
        <v>3</v>
      </c>
      <c r="DZ2" s="86" t="s">
        <v>4</v>
      </c>
      <c r="EA2" s="81"/>
      <c r="EB2" s="81"/>
      <c r="EC2" s="85" t="s">
        <v>2</v>
      </c>
      <c r="ED2" s="85"/>
      <c r="EE2" s="85" t="s">
        <v>3</v>
      </c>
      <c r="EF2" s="86" t="s">
        <v>4</v>
      </c>
      <c r="EG2" s="81"/>
      <c r="EH2" s="81"/>
      <c r="EI2" s="85" t="s">
        <v>2</v>
      </c>
      <c r="EJ2" s="85"/>
      <c r="EK2" s="85" t="s">
        <v>3</v>
      </c>
      <c r="EL2" s="86" t="s">
        <v>4</v>
      </c>
      <c r="EM2" s="81" t="s">
        <v>51</v>
      </c>
      <c r="EN2" s="81"/>
      <c r="EO2" s="85" t="s">
        <v>2</v>
      </c>
      <c r="EP2" s="85"/>
      <c r="EQ2" s="85" t="s">
        <v>3</v>
      </c>
      <c r="ER2" s="86" t="s">
        <v>4</v>
      </c>
      <c r="ES2" s="81" t="s">
        <v>51</v>
      </c>
      <c r="ET2" s="81"/>
      <c r="EU2" s="85" t="s">
        <v>2</v>
      </c>
      <c r="EV2" s="85"/>
      <c r="EW2" s="85" t="s">
        <v>3</v>
      </c>
      <c r="EX2" s="86" t="s">
        <v>4</v>
      </c>
      <c r="EY2" s="81" t="s">
        <v>51</v>
      </c>
      <c r="FA2" s="85" t="s">
        <v>2</v>
      </c>
      <c r="FB2" s="85"/>
      <c r="FC2" s="85" t="s">
        <v>3</v>
      </c>
      <c r="FD2" s="86" t="s">
        <v>4</v>
      </c>
      <c r="FE2" s="81" t="s">
        <v>51</v>
      </c>
      <c r="FG2" s="85" t="s">
        <v>2</v>
      </c>
      <c r="FH2" s="85"/>
      <c r="FI2" s="85" t="s">
        <v>3</v>
      </c>
      <c r="FJ2" s="86" t="s">
        <v>4</v>
      </c>
      <c r="FK2" s="81" t="s">
        <v>51</v>
      </c>
      <c r="FL2" s="81"/>
      <c r="FM2" s="85" t="s">
        <v>2</v>
      </c>
      <c r="FN2" s="85"/>
      <c r="FO2" s="85" t="s">
        <v>3</v>
      </c>
      <c r="FP2" s="86" t="s">
        <v>4</v>
      </c>
      <c r="FQ2" s="81" t="s">
        <v>51</v>
      </c>
      <c r="FS2" s="85" t="s">
        <v>2</v>
      </c>
      <c r="FT2" s="85"/>
      <c r="FU2" s="85" t="s">
        <v>3</v>
      </c>
      <c r="FV2" s="86" t="s">
        <v>4</v>
      </c>
      <c r="FW2" s="81" t="s">
        <v>51</v>
      </c>
      <c r="FY2" s="85" t="s">
        <v>2</v>
      </c>
      <c r="FZ2" s="85"/>
      <c r="GA2" s="85" t="s">
        <v>3</v>
      </c>
      <c r="GB2" s="86" t="s">
        <v>4</v>
      </c>
      <c r="GC2" s="81" t="s">
        <v>51</v>
      </c>
      <c r="GE2" s="7" t="s">
        <v>2</v>
      </c>
      <c r="GF2" s="7"/>
      <c r="GG2" s="7" t="s">
        <v>3</v>
      </c>
      <c r="GH2" s="3" t="s">
        <v>4</v>
      </c>
      <c r="GI2" s="81" t="s">
        <v>51</v>
      </c>
      <c r="GK2" s="7" t="s">
        <v>2</v>
      </c>
      <c r="GL2" s="7"/>
      <c r="GM2" s="7" t="s">
        <v>3</v>
      </c>
      <c r="GN2" s="3" t="s">
        <v>4</v>
      </c>
      <c r="GO2" s="81" t="s">
        <v>51</v>
      </c>
      <c r="GQ2" s="7" t="s">
        <v>2</v>
      </c>
      <c r="GR2" s="7"/>
      <c r="GS2" s="7" t="s">
        <v>3</v>
      </c>
      <c r="GT2" s="3" t="s">
        <v>4</v>
      </c>
      <c r="GU2" s="81" t="s">
        <v>51</v>
      </c>
      <c r="GW2" s="7" t="s">
        <v>2</v>
      </c>
      <c r="GX2" s="7"/>
      <c r="GY2" s="7" t="s">
        <v>3</v>
      </c>
      <c r="GZ2" s="3" t="s">
        <v>4</v>
      </c>
      <c r="HA2" s="81" t="s">
        <v>51</v>
      </c>
      <c r="HC2" s="7" t="s">
        <v>2</v>
      </c>
      <c r="HD2" s="7"/>
      <c r="HE2" s="7" t="s">
        <v>3</v>
      </c>
      <c r="HF2" s="3" t="s">
        <v>4</v>
      </c>
      <c r="HG2" s="81" t="s">
        <v>51</v>
      </c>
      <c r="HI2" s="7" t="s">
        <v>2</v>
      </c>
      <c r="HJ2" s="7"/>
      <c r="HK2" s="7" t="s">
        <v>3</v>
      </c>
      <c r="HL2" s="3" t="s">
        <v>4</v>
      </c>
      <c r="HM2" s="81" t="s">
        <v>51</v>
      </c>
      <c r="HO2" s="7" t="s">
        <v>2</v>
      </c>
      <c r="HP2" s="7"/>
      <c r="HQ2" s="7" t="s">
        <v>3</v>
      </c>
      <c r="HR2" s="3" t="s">
        <v>4</v>
      </c>
      <c r="HS2" s="81" t="s">
        <v>51</v>
      </c>
      <c r="HU2" s="7" t="s">
        <v>2</v>
      </c>
      <c r="HV2" s="7"/>
      <c r="HW2" s="7" t="s">
        <v>3</v>
      </c>
      <c r="HX2" s="3" t="s">
        <v>4</v>
      </c>
      <c r="HY2" s="81" t="s">
        <v>51</v>
      </c>
      <c r="HZ2" s="81"/>
      <c r="IA2" s="7" t="s">
        <v>2</v>
      </c>
      <c r="IB2" s="7"/>
      <c r="IC2" s="7" t="s">
        <v>3</v>
      </c>
      <c r="ID2" s="3" t="s">
        <v>4</v>
      </c>
      <c r="IE2" s="81" t="s">
        <v>51</v>
      </c>
      <c r="IG2" s="7" t="s">
        <v>2</v>
      </c>
      <c r="IH2" s="7"/>
      <c r="II2" s="7" t="s">
        <v>3</v>
      </c>
      <c r="IJ2" s="3" t="s">
        <v>4</v>
      </c>
      <c r="IK2" s="81" t="s">
        <v>51</v>
      </c>
    </row>
    <row r="3" customFormat="false" ht="15.75" hidden="false" customHeight="false" outlineLevel="0" collapsed="false">
      <c r="A3" s="85" t="n">
        <v>1</v>
      </c>
      <c r="B3" s="85" t="s">
        <v>7</v>
      </c>
      <c r="C3" s="90" t="n">
        <v>3500</v>
      </c>
      <c r="D3" s="58" t="n">
        <v>3910.81</v>
      </c>
      <c r="E3" s="91" t="n">
        <f aca="false">D3/C3</f>
        <v>1.11737428571429</v>
      </c>
      <c r="F3" s="81"/>
      <c r="G3" s="85" t="n">
        <v>1</v>
      </c>
      <c r="H3" s="85" t="s">
        <v>7</v>
      </c>
      <c r="I3" s="92" t="n">
        <v>3528.2075</v>
      </c>
      <c r="J3" s="86" t="n">
        <v>2935</v>
      </c>
      <c r="K3" s="93" t="n">
        <f aca="false">J3/I3</f>
        <v>0.831867173345105</v>
      </c>
      <c r="L3" s="81"/>
      <c r="M3" s="85" t="n">
        <v>1</v>
      </c>
      <c r="N3" s="85" t="s">
        <v>13</v>
      </c>
      <c r="O3" s="86" t="n">
        <v>4968.2295</v>
      </c>
      <c r="P3" s="86" t="n">
        <v>4355</v>
      </c>
      <c r="Q3" s="93" t="n">
        <f aca="false">P3/O3</f>
        <v>0.876569812243979</v>
      </c>
      <c r="R3" s="81"/>
      <c r="S3" s="85" t="n">
        <v>1</v>
      </c>
      <c r="T3" s="85" t="s">
        <v>18</v>
      </c>
      <c r="U3" s="58" t="n">
        <v>2494.38333333333</v>
      </c>
      <c r="V3" s="58" t="n">
        <v>3650</v>
      </c>
      <c r="W3" s="93" t="n">
        <f aca="false">V3/U3</f>
        <v>1.46328751929335</v>
      </c>
      <c r="X3" s="81"/>
      <c r="Y3" s="94" t="n">
        <v>1</v>
      </c>
      <c r="Z3" s="85" t="s">
        <v>9</v>
      </c>
      <c r="AA3" s="95" t="n">
        <v>2559.51111111111</v>
      </c>
      <c r="AB3" s="58" t="n">
        <v>2119</v>
      </c>
      <c r="AC3" s="93" t="n">
        <f aca="false">AB3/AA3</f>
        <v>0.827892479466565</v>
      </c>
      <c r="AD3" s="81"/>
      <c r="AE3" s="96" t="n">
        <v>1</v>
      </c>
      <c r="AF3" s="97" t="s">
        <v>13</v>
      </c>
      <c r="AG3" s="98" t="n">
        <v>4238.41114090909</v>
      </c>
      <c r="AH3" s="66" t="n">
        <v>3232.5</v>
      </c>
      <c r="AI3" s="93" t="n">
        <f aca="false">AH3/AG3</f>
        <v>0.762667870702762</v>
      </c>
      <c r="AJ3" s="81"/>
      <c r="AK3" s="96" t="n">
        <v>1</v>
      </c>
      <c r="AL3" s="85" t="s">
        <v>20</v>
      </c>
      <c r="AM3" s="58" t="n">
        <v>3417.11331818182</v>
      </c>
      <c r="AN3" s="58" t="n">
        <v>4263</v>
      </c>
      <c r="AO3" s="93" t="n">
        <f aca="false">AN3/AM3</f>
        <v>1.2475442290185</v>
      </c>
      <c r="AP3" s="81"/>
      <c r="AQ3" s="85" t="n">
        <v>1</v>
      </c>
      <c r="AR3" s="85" t="s">
        <v>11</v>
      </c>
      <c r="AS3" s="58" t="n">
        <v>3514.63915384615</v>
      </c>
      <c r="AT3" s="58" t="n">
        <v>2905.5</v>
      </c>
      <c r="AU3" s="93" t="n">
        <f aca="false">AT3/AS3</f>
        <v>0.826685151111586</v>
      </c>
      <c r="AV3" s="81"/>
      <c r="AW3" s="85" t="n">
        <v>1</v>
      </c>
      <c r="AX3" s="85" t="s">
        <v>17</v>
      </c>
      <c r="AY3" s="58" t="n">
        <v>4746.31186153846</v>
      </c>
      <c r="AZ3" s="58" t="n">
        <v>7505</v>
      </c>
      <c r="BA3" s="93" t="n">
        <f aca="false">AZ3/AY3</f>
        <v>1.58122774460238</v>
      </c>
      <c r="BB3" s="81"/>
      <c r="BC3" s="85" t="n">
        <v>1</v>
      </c>
      <c r="BD3" s="85" t="s">
        <v>7</v>
      </c>
      <c r="BE3" s="58" t="n">
        <v>3500.343</v>
      </c>
      <c r="BF3" s="58" t="n">
        <v>3877.5</v>
      </c>
      <c r="BG3" s="93" t="n">
        <f aca="false">BF3/BE3</f>
        <v>1.10774858349596</v>
      </c>
      <c r="BH3" s="81"/>
      <c r="BI3" s="85" t="n">
        <v>1</v>
      </c>
      <c r="BJ3" s="85" t="s">
        <v>11</v>
      </c>
      <c r="BK3" s="58" t="n">
        <v>4128.831</v>
      </c>
      <c r="BL3" s="58" t="n">
        <v>4192.5</v>
      </c>
      <c r="BM3" s="93" t="n">
        <f aca="false">BL3/BK3</f>
        <v>1.01542058757067</v>
      </c>
      <c r="BN3" s="81"/>
      <c r="BO3" s="85" t="n">
        <v>1</v>
      </c>
      <c r="BP3" s="85" t="s">
        <v>18</v>
      </c>
      <c r="BQ3" s="58" t="n">
        <v>3068.69284615385</v>
      </c>
      <c r="BR3" s="58" t="n">
        <v>4329</v>
      </c>
      <c r="BS3" s="93" t="n">
        <f aca="false">BR3/BQ3</f>
        <v>1.41069837127093</v>
      </c>
      <c r="BT3" s="81"/>
      <c r="BU3" s="85" t="n">
        <v>1</v>
      </c>
      <c r="BV3" s="85" t="s">
        <v>9</v>
      </c>
      <c r="BW3" s="58" t="n">
        <v>3978.47259519231</v>
      </c>
      <c r="BX3" s="58" t="n">
        <v>4371.62</v>
      </c>
      <c r="BY3" s="93" t="n">
        <f aca="false">BX3/BW3</f>
        <v>1.09881867862626</v>
      </c>
      <c r="BZ3" s="81"/>
      <c r="CA3" s="85" t="n">
        <v>1</v>
      </c>
      <c r="CB3" s="85" t="s">
        <v>11</v>
      </c>
      <c r="CC3" s="58" t="n">
        <v>4398.80697115385</v>
      </c>
      <c r="CD3" s="58" t="n">
        <v>5660.52</v>
      </c>
      <c r="CE3" s="93" t="n">
        <f aca="false">CD3/CC3</f>
        <v>1.28683073322383</v>
      </c>
      <c r="CF3" s="81"/>
      <c r="CG3" s="85" t="n">
        <v>1</v>
      </c>
      <c r="CH3" s="85" t="s">
        <v>18</v>
      </c>
      <c r="CI3" s="86" t="n">
        <v>3421.84686778846</v>
      </c>
      <c r="CJ3" s="58" t="n">
        <v>2397.07</v>
      </c>
      <c r="CK3" s="93" t="n">
        <f aca="false">CJ3/CI3</f>
        <v>0.700519366475691</v>
      </c>
      <c r="CL3" s="81"/>
      <c r="CM3" s="85" t="n">
        <v>1</v>
      </c>
      <c r="CN3" s="85" t="s">
        <v>7</v>
      </c>
      <c r="CO3" s="86" t="n">
        <v>4042.78086666667</v>
      </c>
      <c r="CP3" s="60" t="n">
        <v>3035.03</v>
      </c>
      <c r="CQ3" s="93" t="n">
        <f aca="false">CP3/CO3</f>
        <v>0.750728298193027</v>
      </c>
      <c r="CR3" s="81"/>
      <c r="CS3" s="85" t="n">
        <v>1</v>
      </c>
      <c r="CT3" s="85" t="s">
        <v>13</v>
      </c>
      <c r="CU3" s="86" t="n">
        <v>5622.48052631579</v>
      </c>
      <c r="CV3" s="58" t="n">
        <v>2436.04</v>
      </c>
      <c r="CW3" s="93" t="n">
        <f aca="false">CV3/CU3</f>
        <v>0.433267841230968</v>
      </c>
      <c r="CX3" s="81"/>
      <c r="CY3" s="85" t="n">
        <v>1</v>
      </c>
      <c r="CZ3" s="85" t="s">
        <v>18</v>
      </c>
      <c r="DA3" s="86" t="n">
        <v>2939.27120833333</v>
      </c>
      <c r="DB3" s="58" t="n">
        <v>2267.5</v>
      </c>
      <c r="DC3" s="93" t="n">
        <f aca="false">DB3/DA3</f>
        <v>0.771449736782116</v>
      </c>
      <c r="DD3" s="81"/>
      <c r="DE3" s="85" t="n">
        <v>1</v>
      </c>
      <c r="DF3" s="85" t="s">
        <v>9</v>
      </c>
      <c r="DG3" s="86" t="n">
        <v>3410.6576875</v>
      </c>
      <c r="DH3" s="58" t="n">
        <v>2321.08</v>
      </c>
      <c r="DI3" s="93" t="n">
        <f aca="false">DH3/DG3</f>
        <v>0.680537366299385</v>
      </c>
      <c r="DJ3" s="81"/>
      <c r="DK3" s="85" t="n">
        <v>1</v>
      </c>
      <c r="DL3" s="85" t="s">
        <v>17</v>
      </c>
      <c r="DM3" s="86" t="n">
        <v>3817.06353333333</v>
      </c>
      <c r="DN3" s="58" t="n">
        <v>2102</v>
      </c>
      <c r="DO3" s="93" t="n">
        <f aca="false">DN3/DM3</f>
        <v>0.550685096447526</v>
      </c>
      <c r="DP3" s="81"/>
      <c r="DQ3" s="85" t="n">
        <v>1</v>
      </c>
      <c r="DR3" s="85" t="s">
        <v>20</v>
      </c>
      <c r="DS3" s="86" t="n">
        <v>3195.7760625</v>
      </c>
      <c r="DT3" s="58" t="n">
        <v>2892.04</v>
      </c>
      <c r="DU3" s="93" t="n">
        <f aca="false">DT3/DS3</f>
        <v>0.904957025598849</v>
      </c>
      <c r="DV3" s="81"/>
      <c r="DW3" s="85" t="n">
        <v>1</v>
      </c>
      <c r="DX3" s="85" t="s">
        <v>11</v>
      </c>
      <c r="DY3" s="99" t="n">
        <v>3392.4293424</v>
      </c>
      <c r="DZ3" s="58" t="n">
        <v>2717.01</v>
      </c>
      <c r="EA3" s="93" t="n">
        <f aca="false">DZ3/DY3</f>
        <v>0.800903932188557</v>
      </c>
      <c r="EB3" s="81"/>
      <c r="EC3" s="85" t="n">
        <v>1</v>
      </c>
      <c r="ED3" s="85" t="s">
        <v>17</v>
      </c>
      <c r="EE3" s="99" t="n">
        <v>4361.21492307692</v>
      </c>
      <c r="EF3" s="58" t="n">
        <v>3470.75</v>
      </c>
      <c r="EG3" s="93" t="n">
        <f aca="false">EF3/EE3</f>
        <v>0.795821820574557</v>
      </c>
      <c r="EH3" s="100"/>
      <c r="EI3" s="85" t="n">
        <v>1</v>
      </c>
      <c r="EJ3" s="85" t="s">
        <v>7</v>
      </c>
      <c r="EK3" s="99"/>
      <c r="EL3" s="58"/>
      <c r="EM3" s="81"/>
      <c r="EN3" s="81"/>
      <c r="EO3" s="85" t="n">
        <v>1</v>
      </c>
      <c r="EP3" s="85" t="s">
        <v>13</v>
      </c>
      <c r="EQ3" s="99" t="n">
        <v>4710.96407692308</v>
      </c>
      <c r="ER3" s="58" t="n">
        <v>5627.25</v>
      </c>
      <c r="ES3" s="93" t="n">
        <f aca="false">ER3/EQ3</f>
        <v>1.19450072386784</v>
      </c>
      <c r="ET3" s="81"/>
      <c r="EU3" s="85" t="n">
        <v>1</v>
      </c>
      <c r="EV3" s="85" t="s">
        <v>13</v>
      </c>
      <c r="EW3" s="99" t="n">
        <v>5238.86836</v>
      </c>
      <c r="EX3" s="58" t="n">
        <v>4655</v>
      </c>
      <c r="EY3" s="93" t="n">
        <f aca="false">EX3/EW3</f>
        <v>0.888550671656884</v>
      </c>
      <c r="FA3" s="85" t="n">
        <v>1</v>
      </c>
      <c r="FB3" s="85" t="s">
        <v>20</v>
      </c>
      <c r="FC3" s="99" t="n">
        <v>3878.677</v>
      </c>
      <c r="FD3" s="58" t="n">
        <v>2152.27</v>
      </c>
      <c r="FE3" s="93" t="n">
        <f aca="false">FD3/FC3</f>
        <v>0.554897971653737</v>
      </c>
      <c r="FG3" s="85" t="n">
        <v>1</v>
      </c>
      <c r="FH3" s="85" t="s">
        <v>9</v>
      </c>
      <c r="FI3" s="99" t="n">
        <v>3926.07684615385</v>
      </c>
      <c r="FJ3" s="58" t="n">
        <v>4156.01</v>
      </c>
      <c r="FK3" s="93" t="n">
        <f aca="false">FJ3/FI3</f>
        <v>1.05856562743325</v>
      </c>
      <c r="FL3" s="100"/>
      <c r="FM3" s="85" t="n">
        <v>1</v>
      </c>
      <c r="FN3" s="85" t="s">
        <v>17</v>
      </c>
      <c r="FO3" s="99" t="n">
        <v>4213.64815384615</v>
      </c>
      <c r="FP3" s="58" t="n">
        <v>4180.83</v>
      </c>
      <c r="FQ3" s="93" t="n">
        <f aca="false">FP3/FO3</f>
        <v>0.992211463167328</v>
      </c>
      <c r="FS3" s="85" t="n">
        <v>1</v>
      </c>
      <c r="FT3" s="85" t="s">
        <v>20</v>
      </c>
      <c r="FU3" s="99" t="n">
        <v>2925.96392</v>
      </c>
      <c r="FV3" s="58" t="n">
        <v>1645.71</v>
      </c>
      <c r="FW3" s="93" t="n">
        <f aca="false">FV3/FU3</f>
        <v>0.562450544502955</v>
      </c>
      <c r="FY3" s="85" t="n">
        <v>1</v>
      </c>
      <c r="FZ3" s="85" t="s">
        <v>11</v>
      </c>
      <c r="GA3" s="99" t="n">
        <v>3374.18556</v>
      </c>
      <c r="GB3" s="58" t="n">
        <v>1669</v>
      </c>
      <c r="GC3" s="93" t="n">
        <f aca="false">GB3/GA3</f>
        <v>0.494637882333893</v>
      </c>
      <c r="GE3" s="7" t="n">
        <v>1</v>
      </c>
      <c r="GF3" s="7" t="s">
        <v>18</v>
      </c>
      <c r="GG3" s="21" t="n">
        <v>2544.11846153846</v>
      </c>
      <c r="GH3" s="10" t="n">
        <v>3205.01</v>
      </c>
      <c r="GI3" s="93" t="n">
        <f aca="false">GH3/GG3</f>
        <v>1.25977231345662</v>
      </c>
      <c r="GK3" s="7" t="n">
        <v>1</v>
      </c>
      <c r="GL3" s="7" t="s">
        <v>7</v>
      </c>
      <c r="GM3" s="3" t="n">
        <v>3098.37467307692</v>
      </c>
      <c r="GN3" s="10" t="n">
        <v>1866.01</v>
      </c>
      <c r="GO3" s="93" t="n">
        <f aca="false">GN3/GM3</f>
        <v>0.602254471098846</v>
      </c>
      <c r="GQ3" s="7" t="n">
        <v>1</v>
      </c>
      <c r="GR3" s="7" t="s">
        <v>13</v>
      </c>
      <c r="GS3" s="3" t="n">
        <v>4984.5622574074</v>
      </c>
      <c r="GT3" s="10" t="n">
        <v>4149.5</v>
      </c>
      <c r="GU3" s="93" t="n">
        <f aca="false">GT3/GS3</f>
        <v>0.832470292418067</v>
      </c>
      <c r="GW3" s="7" t="n">
        <v>1</v>
      </c>
      <c r="GX3" s="7" t="s">
        <v>18</v>
      </c>
      <c r="GY3" s="3" t="n">
        <v>2356.85408333333</v>
      </c>
      <c r="GZ3" s="10" t="n">
        <v>3679</v>
      </c>
      <c r="HA3" s="93" t="n">
        <f aca="false">GZ3/GY3</f>
        <v>1.56097911449687</v>
      </c>
      <c r="HC3" s="7" t="n">
        <v>1</v>
      </c>
      <c r="HD3" s="7" t="s">
        <v>9</v>
      </c>
      <c r="HE3" s="3" t="n">
        <v>3129.20941666667</v>
      </c>
      <c r="HF3" s="8" t="n">
        <v>2674</v>
      </c>
      <c r="HG3" s="93" t="n">
        <f aca="false">HF3/HE3</f>
        <v>0.854528938126623</v>
      </c>
      <c r="HI3" s="7" t="n">
        <v>1</v>
      </c>
      <c r="HJ3" s="7" t="s">
        <v>17</v>
      </c>
      <c r="HK3" s="3" t="n">
        <v>4579.57201923077</v>
      </c>
      <c r="HL3" s="8" t="n">
        <v>6048.5</v>
      </c>
      <c r="HM3" s="93" t="n">
        <f aca="false">HL3/HK3</f>
        <v>1.32075660664377</v>
      </c>
      <c r="HO3" s="7" t="n">
        <v>1</v>
      </c>
      <c r="HP3" s="7" t="s">
        <v>17</v>
      </c>
      <c r="HQ3" s="3" t="n">
        <v>4694.97776</v>
      </c>
      <c r="HR3" s="8" t="n">
        <v>3500.5</v>
      </c>
      <c r="HS3" s="93" t="n">
        <f aca="false">HR3/HQ3</f>
        <v>0.7455839364828</v>
      </c>
      <c r="HU3" s="7" t="n">
        <v>1</v>
      </c>
      <c r="HV3" s="7" t="s">
        <v>7</v>
      </c>
      <c r="HW3" s="3" t="n">
        <v>2951.8025</v>
      </c>
      <c r="HX3" s="8" t="n">
        <v>1454</v>
      </c>
      <c r="HY3" s="93" t="n">
        <f aca="false">HX3/HW3</f>
        <v>0.49258038097061</v>
      </c>
      <c r="HZ3" s="100"/>
      <c r="IA3" s="7" t="n">
        <v>1</v>
      </c>
      <c r="IB3" s="7" t="s">
        <v>11</v>
      </c>
      <c r="IC3" s="3" t="n">
        <v>2874.87833043478</v>
      </c>
      <c r="ID3" s="8" t="n">
        <v>6527.5</v>
      </c>
      <c r="IE3" s="93" t="n">
        <f aca="false">ID3/IC3</f>
        <v>2.27053087113179</v>
      </c>
      <c r="IG3" s="7" t="n">
        <v>1</v>
      </c>
      <c r="IH3" s="7" t="s">
        <v>18</v>
      </c>
      <c r="II3" s="3" t="n">
        <v>2441.72591666667</v>
      </c>
      <c r="IJ3" s="8" t="n">
        <v>2459.5</v>
      </c>
      <c r="IK3" s="93" t="n">
        <f aca="false">IJ3/II3</f>
        <v>1.0072793114133</v>
      </c>
    </row>
    <row r="4" customFormat="false" ht="15.75" hidden="false" customHeight="false" outlineLevel="0" collapsed="false">
      <c r="A4" s="85" t="n">
        <v>2</v>
      </c>
      <c r="B4" s="85" t="s">
        <v>9</v>
      </c>
      <c r="C4" s="90" t="n">
        <v>2800</v>
      </c>
      <c r="D4" s="58" t="n">
        <v>2479.32</v>
      </c>
      <c r="E4" s="91" t="n">
        <f aca="false">D4/C4</f>
        <v>0.885471428571429</v>
      </c>
      <c r="F4" s="81"/>
      <c r="G4" s="85" t="n">
        <v>2</v>
      </c>
      <c r="H4" s="85" t="s">
        <v>9</v>
      </c>
      <c r="I4" s="92" t="n">
        <v>2599.55</v>
      </c>
      <c r="J4" s="86" t="n">
        <v>2988</v>
      </c>
      <c r="K4" s="93" t="n">
        <f aca="false">J4/I4</f>
        <v>1.14942970898809</v>
      </c>
      <c r="L4" s="81"/>
      <c r="M4" s="85" t="n">
        <v>2</v>
      </c>
      <c r="N4" s="85" t="s">
        <v>17</v>
      </c>
      <c r="O4" s="86" t="n">
        <v>4495.4793</v>
      </c>
      <c r="P4" s="86" t="n">
        <v>4468.5</v>
      </c>
      <c r="Q4" s="93" t="n">
        <f aca="false">P4/O4</f>
        <v>0.993998570964391</v>
      </c>
      <c r="R4" s="81"/>
      <c r="S4" s="85" t="n">
        <v>2</v>
      </c>
      <c r="T4" s="85" t="s">
        <v>20</v>
      </c>
      <c r="U4" s="58" t="n">
        <v>3175.47</v>
      </c>
      <c r="V4" s="58" t="n">
        <v>2156</v>
      </c>
      <c r="W4" s="93" t="n">
        <f aca="false">V4/U4</f>
        <v>0.678954611443345</v>
      </c>
      <c r="X4" s="81"/>
      <c r="Y4" s="101" t="n">
        <v>2</v>
      </c>
      <c r="Z4" s="85" t="s">
        <v>11</v>
      </c>
      <c r="AA4" s="95" t="n">
        <v>3615.61944444444</v>
      </c>
      <c r="AB4" s="58" t="n">
        <v>2262</v>
      </c>
      <c r="AC4" s="93" t="n">
        <f aca="false">AB4/AA4</f>
        <v>0.625618938817155</v>
      </c>
      <c r="AD4" s="81"/>
      <c r="AE4" s="101" t="n">
        <v>2</v>
      </c>
      <c r="AF4" s="97" t="s">
        <v>17</v>
      </c>
      <c r="AG4" s="95" t="n">
        <v>3814.78206190476</v>
      </c>
      <c r="AH4" s="58" t="n">
        <v>3942.5</v>
      </c>
      <c r="AI4" s="93" t="n">
        <f aca="false">AH4/AG4</f>
        <v>1.03347974694824</v>
      </c>
      <c r="AJ4" s="81"/>
      <c r="AK4" s="101" t="n">
        <v>2</v>
      </c>
      <c r="AL4" s="85" t="s">
        <v>7</v>
      </c>
      <c r="AM4" s="58" t="n">
        <v>3259.27532608696</v>
      </c>
      <c r="AN4" s="58" t="n">
        <v>3839.5</v>
      </c>
      <c r="AO4" s="93" t="n">
        <f aca="false">AN4/AM4</f>
        <v>1.17802260191674</v>
      </c>
      <c r="AP4" s="81"/>
      <c r="AQ4" s="85" t="n">
        <v>2</v>
      </c>
      <c r="AR4" s="85" t="s">
        <v>13</v>
      </c>
      <c r="AS4" s="58" t="n">
        <v>4983.30807692308</v>
      </c>
      <c r="AT4" s="58" t="n">
        <v>5756</v>
      </c>
      <c r="AU4" s="93" t="n">
        <f aca="false">AT4/AS4</f>
        <v>1.15505602125125</v>
      </c>
      <c r="AV4" s="81"/>
      <c r="AW4" s="85" t="n">
        <v>2</v>
      </c>
      <c r="AX4" s="85" t="s">
        <v>18</v>
      </c>
      <c r="AY4" s="58" t="n">
        <v>2984.17084615385</v>
      </c>
      <c r="AZ4" s="58" t="n">
        <v>4109.51</v>
      </c>
      <c r="BA4" s="93" t="n">
        <f aca="false">AZ4/AY4</f>
        <v>1.37710279064503</v>
      </c>
      <c r="BB4" s="81"/>
      <c r="BC4" s="85" t="n">
        <v>2</v>
      </c>
      <c r="BD4" s="85" t="s">
        <v>9</v>
      </c>
      <c r="BE4" s="58" t="n">
        <v>3575.83073076923</v>
      </c>
      <c r="BF4" s="58" t="n">
        <v>6601.53</v>
      </c>
      <c r="BG4" s="93" t="n">
        <f aca="false">BF4/BE4</f>
        <v>1.84615282350904</v>
      </c>
      <c r="BH4" s="81"/>
      <c r="BI4" s="85" t="n">
        <v>2</v>
      </c>
      <c r="BJ4" s="85" t="s">
        <v>13</v>
      </c>
      <c r="BK4" s="58" t="n">
        <v>5319.04179545455</v>
      </c>
      <c r="BL4" s="58" t="n">
        <v>5839.52</v>
      </c>
      <c r="BM4" s="93" t="n">
        <f aca="false">BL4/BK4</f>
        <v>1.09785187343146</v>
      </c>
      <c r="BN4" s="81"/>
      <c r="BO4" s="85" t="n">
        <v>2</v>
      </c>
      <c r="BP4" s="85" t="s">
        <v>20</v>
      </c>
      <c r="BQ4" s="58" t="n">
        <v>3384.92498076923</v>
      </c>
      <c r="BR4" s="58" t="n">
        <v>3538.5</v>
      </c>
      <c r="BS4" s="93" t="n">
        <f aca="false">BR4/BQ4</f>
        <v>1.04537028740763</v>
      </c>
      <c r="BT4" s="81"/>
      <c r="BU4" s="85" t="n">
        <v>2</v>
      </c>
      <c r="BV4" s="85" t="s">
        <v>11</v>
      </c>
      <c r="BW4" s="58" t="n">
        <v>4231.46411826923</v>
      </c>
      <c r="BX4" s="58" t="n">
        <v>4086.52</v>
      </c>
      <c r="BY4" s="93" t="n">
        <f aca="false">BX4/BW4</f>
        <v>0.965746107205911</v>
      </c>
      <c r="BZ4" s="81"/>
      <c r="CA4" s="85" t="n">
        <v>2</v>
      </c>
      <c r="CB4" s="85" t="s">
        <v>13</v>
      </c>
      <c r="CC4" s="58" t="n">
        <v>5912.07702884615</v>
      </c>
      <c r="CD4" s="58" t="n">
        <v>7785.52</v>
      </c>
      <c r="CE4" s="93" t="n">
        <f aca="false">CD4/CC4</f>
        <v>1.31688405986813</v>
      </c>
      <c r="CF4" s="81"/>
      <c r="CG4" s="85" t="n">
        <v>2</v>
      </c>
      <c r="CH4" s="85" t="s">
        <v>20</v>
      </c>
      <c r="CI4" s="86" t="n">
        <v>3787.98645144231</v>
      </c>
      <c r="CJ4" s="58" t="n">
        <v>3490.12</v>
      </c>
      <c r="CK4" s="93" t="n">
        <f aca="false">CJ4/CI4</f>
        <v>0.92136549186207</v>
      </c>
      <c r="CL4" s="81"/>
      <c r="CM4" s="85" t="n">
        <v>2</v>
      </c>
      <c r="CN4" s="85" t="s">
        <v>9</v>
      </c>
      <c r="CO4" s="86" t="n">
        <v>4144.624</v>
      </c>
      <c r="CP4" s="60" t="n">
        <v>2139.02</v>
      </c>
      <c r="CQ4" s="93" t="n">
        <f aca="false">CP4/CO4</f>
        <v>0.516095066766008</v>
      </c>
      <c r="CR4" s="81"/>
      <c r="CS4" s="85" t="n">
        <v>2</v>
      </c>
      <c r="CT4" s="85" t="s">
        <v>17</v>
      </c>
      <c r="CU4" s="86" t="n">
        <v>5211.90105263158</v>
      </c>
      <c r="CV4" s="58" t="n">
        <v>1830</v>
      </c>
      <c r="CW4" s="93" t="n">
        <f aca="false">CV4/CU4</f>
        <v>0.351119482415347</v>
      </c>
      <c r="CX4" s="81"/>
      <c r="CY4" s="85" t="n">
        <v>2</v>
      </c>
      <c r="CZ4" s="85" t="s">
        <v>20</v>
      </c>
      <c r="DA4" s="86" t="n">
        <v>3688.52485416667</v>
      </c>
      <c r="DB4" s="58" t="n">
        <v>3462.5</v>
      </c>
      <c r="DC4" s="93" t="n">
        <f aca="false">DB4/DA4</f>
        <v>0.938722155034052</v>
      </c>
      <c r="DD4" s="81"/>
      <c r="DE4" s="85" t="n">
        <v>2</v>
      </c>
      <c r="DF4" s="85" t="s">
        <v>11</v>
      </c>
      <c r="DG4" s="86" t="n">
        <v>3693.521125</v>
      </c>
      <c r="DH4" s="58" t="n">
        <v>2473.12</v>
      </c>
      <c r="DI4" s="93" t="n">
        <f aca="false">DH4/DG4</f>
        <v>0.669583282808488</v>
      </c>
      <c r="DJ4" s="81"/>
      <c r="DK4" s="85" t="n">
        <v>2</v>
      </c>
      <c r="DL4" s="85" t="s">
        <v>18</v>
      </c>
      <c r="DM4" s="86" t="n">
        <v>2758.34121739131</v>
      </c>
      <c r="DN4" s="58" t="n">
        <v>2738.03</v>
      </c>
      <c r="DO4" s="93" t="n">
        <f aca="false">DN4/DM4</f>
        <v>0.992636437702759</v>
      </c>
      <c r="DP4" s="81"/>
      <c r="DQ4" s="85" t="n">
        <v>2</v>
      </c>
      <c r="DR4" s="85" t="s">
        <v>7</v>
      </c>
      <c r="DS4" s="86" t="n">
        <v>3018.05525</v>
      </c>
      <c r="DT4" s="58" t="n">
        <v>3157.5</v>
      </c>
      <c r="DU4" s="93" t="n">
        <f aca="false">DT4/DS4</f>
        <v>1.04620351135056</v>
      </c>
      <c r="DV4" s="81"/>
      <c r="DW4" s="85" t="n">
        <v>2</v>
      </c>
      <c r="DX4" s="85" t="s">
        <v>13</v>
      </c>
      <c r="DY4" s="86" t="n">
        <v>4387.4299728</v>
      </c>
      <c r="DZ4" s="58" t="n">
        <v>3755.01</v>
      </c>
      <c r="EA4" s="93" t="n">
        <f aca="false">DZ4/DY4</f>
        <v>0.855856395037481</v>
      </c>
      <c r="EB4" s="81"/>
      <c r="EC4" s="85" t="n">
        <v>2</v>
      </c>
      <c r="ED4" s="85" t="s">
        <v>18</v>
      </c>
      <c r="EE4" s="86" t="n">
        <v>3478.47696</v>
      </c>
      <c r="EF4" s="58" t="n">
        <v>3672.88</v>
      </c>
      <c r="EG4" s="93" t="n">
        <f aca="false">EF4/EE4</f>
        <v>1.05588740193927</v>
      </c>
      <c r="EH4" s="100"/>
      <c r="EI4" s="85" t="n">
        <v>2</v>
      </c>
      <c r="EJ4" s="85" t="s">
        <v>9</v>
      </c>
      <c r="EK4" s="86" t="n">
        <v>3270.15311538462</v>
      </c>
      <c r="EL4" s="58" t="n">
        <v>2801.25</v>
      </c>
      <c r="EM4" s="93" t="n">
        <f aca="false">EL4/EK4</f>
        <v>0.856611265943898</v>
      </c>
      <c r="EN4" s="81"/>
      <c r="EO4" s="85" t="n">
        <v>2</v>
      </c>
      <c r="EP4" s="85" t="s">
        <v>17</v>
      </c>
      <c r="EQ4" s="86" t="n">
        <v>4203.32253846154</v>
      </c>
      <c r="ER4" s="58" t="n">
        <v>4641.26</v>
      </c>
      <c r="ES4" s="93" t="n">
        <f aca="false">ER4/EQ4</f>
        <v>1.10418840275311</v>
      </c>
      <c r="ET4" s="81"/>
      <c r="EU4" s="85" t="n">
        <v>2</v>
      </c>
      <c r="EV4" s="85" t="s">
        <v>17</v>
      </c>
      <c r="EW4" s="86" t="n">
        <v>4690.301</v>
      </c>
      <c r="EX4" s="58" t="n">
        <v>3510.53</v>
      </c>
      <c r="EY4" s="93" t="n">
        <f aca="false">EX4/EW4</f>
        <v>0.748465823408775</v>
      </c>
      <c r="FA4" s="85" t="n">
        <v>2</v>
      </c>
      <c r="FB4" s="85" t="s">
        <v>7</v>
      </c>
      <c r="FC4" s="86" t="n">
        <v>3929.07108</v>
      </c>
      <c r="FD4" s="58" t="n">
        <v>2586.75</v>
      </c>
      <c r="FE4" s="93" t="n">
        <f aca="false">FD4/FC4</f>
        <v>0.658361721468271</v>
      </c>
      <c r="FG4" s="85" t="n">
        <v>2</v>
      </c>
      <c r="FH4" s="85" t="s">
        <v>11</v>
      </c>
      <c r="FI4" s="86" t="n">
        <v>4211.02930769231</v>
      </c>
      <c r="FJ4" s="58" t="n">
        <v>3059.75</v>
      </c>
      <c r="FK4" s="93" t="n">
        <f aca="false">FJ4/FI4</f>
        <v>0.726603824487932</v>
      </c>
      <c r="FL4" s="100"/>
      <c r="FM4" s="85" t="n">
        <v>2</v>
      </c>
      <c r="FN4" s="85" t="s">
        <v>18</v>
      </c>
      <c r="FO4" s="86" t="n">
        <v>3046.40219230769</v>
      </c>
      <c r="FP4" s="58" t="n">
        <v>1793</v>
      </c>
      <c r="FQ4" s="93" t="n">
        <f aca="false">FP4/FO4</f>
        <v>0.588563126867296</v>
      </c>
      <c r="FS4" s="85" t="n">
        <v>2</v>
      </c>
      <c r="FT4" s="85" t="s">
        <v>7</v>
      </c>
      <c r="FU4" s="86" t="n">
        <v>3453.12792</v>
      </c>
      <c r="FV4" s="58" t="n">
        <v>2767.5</v>
      </c>
      <c r="FW4" s="93" t="n">
        <f aca="false">FV4/FU4</f>
        <v>0.801447286088376</v>
      </c>
      <c r="FY4" s="85" t="n">
        <v>2</v>
      </c>
      <c r="FZ4" s="85" t="s">
        <v>13</v>
      </c>
      <c r="GA4" s="86" t="n">
        <v>4768.50242307692</v>
      </c>
      <c r="GB4" s="58" t="n">
        <v>3284.15</v>
      </c>
      <c r="GC4" s="93" t="n">
        <f aca="false">GB4/GA4</f>
        <v>0.688717276121435</v>
      </c>
      <c r="GE4" s="7" t="n">
        <v>2</v>
      </c>
      <c r="GF4" s="7" t="s">
        <v>20</v>
      </c>
      <c r="GG4" s="3" t="n">
        <v>2506.32326923077</v>
      </c>
      <c r="GH4" s="10" t="n">
        <v>2619</v>
      </c>
      <c r="GI4" s="93" t="n">
        <f aca="false">GH4/GG4</f>
        <v>1.04495698226662</v>
      </c>
      <c r="GK4" s="7" t="n">
        <v>2</v>
      </c>
      <c r="GL4" s="7" t="s">
        <v>9</v>
      </c>
      <c r="GM4" s="3" t="n">
        <v>3151.42417307692</v>
      </c>
      <c r="GN4" s="10" t="n">
        <v>3476.5</v>
      </c>
      <c r="GO4" s="93" t="n">
        <f aca="false">GN4/GM4</f>
        <v>1.10315203827535</v>
      </c>
      <c r="GQ4" s="7" t="n">
        <v>2</v>
      </c>
      <c r="GR4" s="7" t="s">
        <v>17</v>
      </c>
      <c r="GS4" s="3" t="n">
        <v>4423.43334444445</v>
      </c>
      <c r="GT4" s="10" t="n">
        <v>3339.9</v>
      </c>
      <c r="GU4" s="93" t="n">
        <f aca="false">GT4/GS4</f>
        <v>0.755046982723206</v>
      </c>
      <c r="GW4" s="7" t="n">
        <v>2</v>
      </c>
      <c r="GX4" s="7" t="s">
        <v>20</v>
      </c>
      <c r="GY4" s="3" t="n">
        <v>2287.03039583333</v>
      </c>
      <c r="GZ4" s="10" t="n">
        <v>2380</v>
      </c>
      <c r="HA4" s="93" t="n">
        <f aca="false">GZ4/GY4</f>
        <v>1.04065079516916</v>
      </c>
      <c r="HC4" s="7" t="n">
        <v>2</v>
      </c>
      <c r="HD4" s="7" t="s">
        <v>11</v>
      </c>
      <c r="HE4" s="3" t="n">
        <v>2824.96158333333</v>
      </c>
      <c r="HF4" s="8" t="n">
        <v>4655.5</v>
      </c>
      <c r="HG4" s="93" t="n">
        <f aca="false">HF4/HE4</f>
        <v>1.64798701244876</v>
      </c>
      <c r="HI4" s="7" t="n">
        <v>2</v>
      </c>
      <c r="HJ4" s="7" t="s">
        <v>18</v>
      </c>
      <c r="HK4" s="3" t="n">
        <v>2688.75926923077</v>
      </c>
      <c r="HL4" s="8" t="n">
        <v>2024.5</v>
      </c>
      <c r="HM4" s="93" t="n">
        <f aca="false">HL4/HK4</f>
        <v>0.752949519567511</v>
      </c>
      <c r="HO4" s="7" t="n">
        <v>2</v>
      </c>
      <c r="HP4" s="7" t="s">
        <v>18</v>
      </c>
      <c r="HQ4" s="3" t="n">
        <v>2600.96311538462</v>
      </c>
      <c r="HR4" s="8" t="n">
        <v>1674.5</v>
      </c>
      <c r="HS4" s="93" t="n">
        <f aca="false">HR4/HQ4</f>
        <v>0.643799979359717</v>
      </c>
      <c r="HU4" s="7" t="n">
        <v>2</v>
      </c>
      <c r="HV4" s="7" t="s">
        <v>9</v>
      </c>
      <c r="HW4" s="3" t="n">
        <v>2871.19891666667</v>
      </c>
      <c r="HX4" s="8" t="n">
        <v>1926.5</v>
      </c>
      <c r="HY4" s="93" t="n">
        <f aca="false">HX4/HW4</f>
        <v>0.670974062025831</v>
      </c>
      <c r="HZ4" s="100"/>
      <c r="IA4" s="7" t="n">
        <v>2</v>
      </c>
      <c r="IB4" s="7" t="s">
        <v>13</v>
      </c>
      <c r="IC4" s="3" t="n">
        <v>4633.34946666667</v>
      </c>
      <c r="ID4" s="8" t="n">
        <v>3245.5</v>
      </c>
      <c r="IE4" s="93" t="n">
        <f aca="false">ID4/IC4</f>
        <v>0.700465186869421</v>
      </c>
      <c r="IG4" s="7" t="n">
        <v>2</v>
      </c>
      <c r="IH4" s="7" t="s">
        <v>20</v>
      </c>
      <c r="II4" s="3" t="n">
        <v>2595.82125</v>
      </c>
      <c r="IJ4" s="8" t="n">
        <v>2137.5</v>
      </c>
      <c r="IK4" s="93" t="n">
        <f aca="false">IJ4/II4</f>
        <v>0.823438824996135</v>
      </c>
    </row>
    <row r="5" customFormat="false" ht="15.75" hidden="false" customHeight="false" outlineLevel="0" collapsed="false">
      <c r="A5" s="85" t="n">
        <v>3</v>
      </c>
      <c r="B5" s="85" t="s">
        <v>11</v>
      </c>
      <c r="C5" s="90" t="n">
        <v>4000</v>
      </c>
      <c r="D5" s="58" t="n">
        <v>4701.23</v>
      </c>
      <c r="E5" s="91" t="n">
        <f aca="false">D5/C5</f>
        <v>1.1753075</v>
      </c>
      <c r="F5" s="81"/>
      <c r="G5" s="85" t="n">
        <v>3</v>
      </c>
      <c r="H5" s="85" t="s">
        <v>11</v>
      </c>
      <c r="I5" s="92" t="n">
        <v>3555.4125</v>
      </c>
      <c r="J5" s="86" t="n">
        <v>3214</v>
      </c>
      <c r="K5" s="93" t="n">
        <f aca="false">J5/I5</f>
        <v>0.903973870823709</v>
      </c>
      <c r="L5" s="81"/>
      <c r="M5" s="85" t="n">
        <v>3</v>
      </c>
      <c r="N5" s="85" t="s">
        <v>18</v>
      </c>
      <c r="O5" s="86" t="n">
        <v>2733.978</v>
      </c>
      <c r="P5" s="86" t="n">
        <v>2511</v>
      </c>
      <c r="Q5" s="93" t="n">
        <f aca="false">P5/O5</f>
        <v>0.918441918698687</v>
      </c>
      <c r="R5" s="81"/>
      <c r="S5" s="85" t="n">
        <v>3</v>
      </c>
      <c r="T5" s="85" t="s">
        <v>7</v>
      </c>
      <c r="U5" s="58" t="n">
        <v>3056.81846153846</v>
      </c>
      <c r="V5" s="58" t="n">
        <v>2190</v>
      </c>
      <c r="W5" s="93" t="n">
        <f aca="false">V5/U5</f>
        <v>0.716431161207329</v>
      </c>
      <c r="X5" s="81"/>
      <c r="Y5" s="101" t="n">
        <v>3</v>
      </c>
      <c r="Z5" s="85" t="s">
        <v>13</v>
      </c>
      <c r="AA5" s="95" t="n">
        <v>4056.95277777778</v>
      </c>
      <c r="AB5" s="58" t="n">
        <v>4739.5</v>
      </c>
      <c r="AC5" s="93" t="n">
        <f aca="false">AB5/AA5</f>
        <v>1.16824135246555</v>
      </c>
      <c r="AD5" s="81"/>
      <c r="AE5" s="101" t="n">
        <v>3</v>
      </c>
      <c r="AF5" s="97" t="s">
        <v>18</v>
      </c>
      <c r="AG5" s="95" t="n">
        <v>2577.63165</v>
      </c>
      <c r="AH5" s="58" t="n">
        <v>2610.5</v>
      </c>
      <c r="AI5" s="93" t="n">
        <f aca="false">AH5/AG5</f>
        <v>1.01275137586086</v>
      </c>
      <c r="AJ5" s="81"/>
      <c r="AK5" s="101" t="n">
        <v>3</v>
      </c>
      <c r="AL5" s="85" t="s">
        <v>9</v>
      </c>
      <c r="AM5" s="58" t="n">
        <v>2961.45192</v>
      </c>
      <c r="AN5" s="58" t="n">
        <v>4248.04</v>
      </c>
      <c r="AO5" s="93" t="n">
        <f aca="false">AN5/AM5</f>
        <v>1.43444503397509</v>
      </c>
      <c r="AP5" s="81"/>
      <c r="AQ5" s="85" t="n">
        <v>3</v>
      </c>
      <c r="AR5" s="85" t="s">
        <v>17</v>
      </c>
      <c r="AS5" s="58" t="n">
        <v>4829.43946153846</v>
      </c>
      <c r="AT5" s="58" t="n">
        <v>4584.01</v>
      </c>
      <c r="AU5" s="93" t="n">
        <f aca="false">AT5/AS5</f>
        <v>0.949180549110709</v>
      </c>
      <c r="AV5" s="81"/>
      <c r="AW5" s="85" t="n">
        <v>3</v>
      </c>
      <c r="AX5" s="85" t="s">
        <v>20</v>
      </c>
      <c r="AY5" s="58" t="n">
        <v>3688.79469230769</v>
      </c>
      <c r="AZ5" s="58" t="n">
        <v>4020</v>
      </c>
      <c r="BA5" s="93" t="n">
        <f aca="false">AZ5/AY5</f>
        <v>1.0897868640895</v>
      </c>
      <c r="BB5" s="81"/>
      <c r="BC5" s="85" t="n">
        <v>3</v>
      </c>
      <c r="BD5" s="85" t="s">
        <v>11</v>
      </c>
      <c r="BE5" s="58" t="n">
        <v>4199.43784615385</v>
      </c>
      <c r="BF5" s="58" t="n">
        <v>3818.04</v>
      </c>
      <c r="BG5" s="93" t="n">
        <f aca="false">BF5/BE5</f>
        <v>0.90917883294709</v>
      </c>
      <c r="BH5" s="81"/>
      <c r="BI5" s="85" t="n">
        <v>3</v>
      </c>
      <c r="BJ5" s="85" t="s">
        <v>17</v>
      </c>
      <c r="BK5" s="58" t="n">
        <v>5306.68711363636</v>
      </c>
      <c r="BL5" s="58" t="n">
        <v>4675.5</v>
      </c>
      <c r="BM5" s="93" t="n">
        <f aca="false">BL5/BK5</f>
        <v>0.881058163008249</v>
      </c>
      <c r="BN5" s="81"/>
      <c r="BO5" s="85" t="n">
        <v>3</v>
      </c>
      <c r="BP5" s="85" t="s">
        <v>7</v>
      </c>
      <c r="BQ5" s="58" t="n">
        <v>3756.90444230769</v>
      </c>
      <c r="BR5" s="58" t="n">
        <v>3345.5</v>
      </c>
      <c r="BS5" s="93" t="n">
        <f aca="false">BR5/BQ5</f>
        <v>0.890493769904091</v>
      </c>
      <c r="BT5" s="81"/>
      <c r="BU5" s="85" t="n">
        <v>3</v>
      </c>
      <c r="BV5" s="85" t="s">
        <v>13</v>
      </c>
      <c r="BW5" s="58" t="n">
        <v>5459.13655</v>
      </c>
      <c r="BX5" s="58" t="n">
        <v>8196.01</v>
      </c>
      <c r="BY5" s="93" t="n">
        <f aca="false">BX5/BW5</f>
        <v>1.50133815575652</v>
      </c>
      <c r="BZ5" s="81"/>
      <c r="CA5" s="85" t="n">
        <v>3</v>
      </c>
      <c r="CB5" s="85" t="s">
        <v>17</v>
      </c>
      <c r="CC5" s="58" t="n">
        <v>6068.54520833333</v>
      </c>
      <c r="CD5" s="58" t="n">
        <v>7755.51</v>
      </c>
      <c r="CE5" s="93" t="n">
        <f aca="false">CD5/CC5</f>
        <v>1.27798504151376</v>
      </c>
      <c r="CF5" s="81"/>
      <c r="CG5" s="85" t="n">
        <v>3</v>
      </c>
      <c r="CH5" s="85" t="s">
        <v>7</v>
      </c>
      <c r="CI5" s="86" t="n">
        <v>4146.79393557692</v>
      </c>
      <c r="CJ5" s="58" t="n">
        <v>2457.5</v>
      </c>
      <c r="CK5" s="93" t="n">
        <f aca="false">CJ5/CI5</f>
        <v>0.59262650572438</v>
      </c>
      <c r="CL5" s="81"/>
      <c r="CM5" s="85" t="n">
        <v>3</v>
      </c>
      <c r="CN5" s="85" t="s">
        <v>11</v>
      </c>
      <c r="CO5" s="86" t="n">
        <v>4759.3194</v>
      </c>
      <c r="CP5" s="60" t="n">
        <v>1931.02</v>
      </c>
      <c r="CQ5" s="93" t="n">
        <f aca="false">CP5/CO5</f>
        <v>0.405734483800352</v>
      </c>
      <c r="CR5" s="81"/>
      <c r="CS5" s="85" t="n">
        <v>3</v>
      </c>
      <c r="CT5" s="85" t="s">
        <v>18</v>
      </c>
      <c r="CU5" s="86" t="n">
        <v>3035.46</v>
      </c>
      <c r="CV5" s="58" t="n">
        <v>2002.58</v>
      </c>
      <c r="CW5" s="93" t="n">
        <f aca="false">CV5/CU5</f>
        <v>0.659728673743024</v>
      </c>
      <c r="CX5" s="81"/>
      <c r="CY5" s="85" t="n">
        <v>3</v>
      </c>
      <c r="CZ5" s="85" t="s">
        <v>7</v>
      </c>
      <c r="DA5" s="86" t="n">
        <v>3391.54861458333</v>
      </c>
      <c r="DB5" s="58" t="n">
        <v>3879.05</v>
      </c>
      <c r="DC5" s="93" t="n">
        <f aca="false">DB5/DA5</f>
        <v>1.14374005530113</v>
      </c>
      <c r="DD5" s="81"/>
      <c r="DE5" s="85" t="n">
        <v>3</v>
      </c>
      <c r="DF5" s="85" t="s">
        <v>13</v>
      </c>
      <c r="DG5" s="86" t="n">
        <v>4876.4235625</v>
      </c>
      <c r="DH5" s="58" t="n">
        <v>2189.54</v>
      </c>
      <c r="DI5" s="93" t="n">
        <f aca="false">DH5/DG5</f>
        <v>0.449005294953806</v>
      </c>
      <c r="DJ5" s="81"/>
      <c r="DK5" s="85" t="n">
        <v>3</v>
      </c>
      <c r="DL5" s="85" t="s">
        <v>20</v>
      </c>
      <c r="DM5" s="86" t="n">
        <v>3483.70855</v>
      </c>
      <c r="DN5" s="58" t="n">
        <v>2823.51</v>
      </c>
      <c r="DO5" s="93" t="n">
        <f aca="false">DN5/DM5</f>
        <v>0.810489729400584</v>
      </c>
      <c r="DP5" s="81"/>
      <c r="DQ5" s="85" t="n">
        <v>3</v>
      </c>
      <c r="DR5" s="85" t="s">
        <v>9</v>
      </c>
      <c r="DS5" s="86" t="n">
        <v>2876.6968125</v>
      </c>
      <c r="DT5" s="58" t="n">
        <v>2555.52</v>
      </c>
      <c r="DU5" s="93" t="n">
        <f aca="false">DT5/DS5</f>
        <v>0.888352220121216</v>
      </c>
      <c r="DV5" s="81"/>
      <c r="DW5" s="85" t="n">
        <v>3</v>
      </c>
      <c r="DX5" s="85" t="s">
        <v>17</v>
      </c>
      <c r="DY5" s="86" t="n">
        <v>4007.91671</v>
      </c>
      <c r="DZ5" s="58" t="n">
        <v>2770.5</v>
      </c>
      <c r="EA5" s="93" t="n">
        <f aca="false">DZ5/DY5</f>
        <v>0.691256879936509</v>
      </c>
      <c r="EB5" s="81"/>
      <c r="EC5" s="85" t="n">
        <v>3</v>
      </c>
      <c r="ED5" s="85" t="s">
        <v>20</v>
      </c>
      <c r="EE5" s="86" t="n">
        <v>3892.50323076923</v>
      </c>
      <c r="EF5" s="58" t="n">
        <v>3349.51</v>
      </c>
      <c r="EG5" s="93" t="n">
        <f aca="false">EF5/EE5</f>
        <v>0.860502818218105</v>
      </c>
      <c r="EH5" s="100"/>
      <c r="EI5" s="85" t="n">
        <v>3</v>
      </c>
      <c r="EJ5" s="85" t="s">
        <v>11</v>
      </c>
      <c r="EK5" s="86" t="n">
        <v>3395.17378846154</v>
      </c>
      <c r="EL5" s="58" t="n">
        <v>2801.51</v>
      </c>
      <c r="EM5" s="93" t="n">
        <f aca="false">EL5/EK5</f>
        <v>0.825144800988067</v>
      </c>
      <c r="EN5" s="81"/>
      <c r="EO5" s="85" t="n">
        <v>3</v>
      </c>
      <c r="EP5" s="85" t="s">
        <v>18</v>
      </c>
      <c r="EQ5" s="86" t="n">
        <v>3410.95964</v>
      </c>
      <c r="ER5" s="58" t="n">
        <v>2798.26</v>
      </c>
      <c r="ES5" s="93" t="n">
        <f aca="false">ER5/EQ5</f>
        <v>0.820373236664858</v>
      </c>
      <c r="ET5" s="81"/>
      <c r="EU5" s="85" t="n">
        <v>3</v>
      </c>
      <c r="EV5" s="85" t="s">
        <v>18</v>
      </c>
      <c r="EW5" s="86" t="n">
        <v>3506.36634615385</v>
      </c>
      <c r="EX5" s="58" t="n">
        <v>4028.76</v>
      </c>
      <c r="EY5" s="93" t="n">
        <f aca="false">EX5/EW5</f>
        <v>1.14898433371606</v>
      </c>
      <c r="FA5" s="85" t="n">
        <v>3</v>
      </c>
      <c r="FB5" s="85" t="s">
        <v>9</v>
      </c>
      <c r="FC5" s="86" t="n">
        <v>3926.07684615385</v>
      </c>
      <c r="FD5" s="58" t="n">
        <v>1924.01</v>
      </c>
      <c r="FE5" s="93" t="n">
        <f aca="false">FD5/FC5</f>
        <v>0.490059180039953</v>
      </c>
      <c r="FG5" s="85" t="n">
        <v>3</v>
      </c>
      <c r="FH5" s="85" t="s">
        <v>13</v>
      </c>
      <c r="FI5" s="86" t="n">
        <v>5462.33303846154</v>
      </c>
      <c r="FJ5" s="58" t="n">
        <v>3847.75</v>
      </c>
      <c r="FK5" s="93" t="n">
        <f aca="false">FJ5/FI5</f>
        <v>0.704415123154723</v>
      </c>
      <c r="FL5" s="100"/>
      <c r="FM5" s="85" t="n">
        <v>3</v>
      </c>
      <c r="FN5" s="85" t="s">
        <v>20</v>
      </c>
      <c r="FO5" s="86" t="n">
        <v>3196.46204166667</v>
      </c>
      <c r="FP5" s="58" t="n">
        <v>1909.01</v>
      </c>
      <c r="FQ5" s="93" t="n">
        <f aca="false">FP5/FO5</f>
        <v>0.5972259251371</v>
      </c>
      <c r="FS5" s="85" t="n">
        <v>3</v>
      </c>
      <c r="FT5" s="85" t="s">
        <v>9</v>
      </c>
      <c r="FU5" s="86" t="n">
        <v>3309.52769230769</v>
      </c>
      <c r="FV5" s="58" t="n">
        <v>2230.26</v>
      </c>
      <c r="FW5" s="93" t="n">
        <f aca="false">FV5/FU5</f>
        <v>0.673890720172482</v>
      </c>
      <c r="FY5" s="85" t="n">
        <v>3</v>
      </c>
      <c r="FZ5" s="85" t="s">
        <v>17</v>
      </c>
      <c r="GA5" s="86" t="n">
        <v>4265.00853846154</v>
      </c>
      <c r="GB5" s="58" t="n">
        <v>3413.9</v>
      </c>
      <c r="GC5" s="93" t="n">
        <f aca="false">GB5/GA5</f>
        <v>0.800443884042364</v>
      </c>
      <c r="GE5" s="7" t="n">
        <v>3</v>
      </c>
      <c r="GF5" s="7" t="s">
        <v>7</v>
      </c>
      <c r="GG5" s="3" t="n">
        <v>3098.37467307692</v>
      </c>
      <c r="GH5" s="10" t="n">
        <v>2668.51</v>
      </c>
      <c r="GI5" s="93" t="n">
        <f aca="false">GH5/GG5</f>
        <v>0.861261235830452</v>
      </c>
      <c r="GK5" s="7" t="n">
        <v>3</v>
      </c>
      <c r="GL5" s="7" t="s">
        <v>11</v>
      </c>
      <c r="GM5" s="32" t="n">
        <v>3011.91634615385</v>
      </c>
      <c r="GN5" s="10" t="n">
        <v>5068.51</v>
      </c>
      <c r="GO5" s="93" t="n">
        <f aca="false">GN5/GM5</f>
        <v>1.68281898216475</v>
      </c>
      <c r="GQ5" s="7" t="n">
        <v>3</v>
      </c>
      <c r="GR5" s="7" t="s">
        <v>18</v>
      </c>
      <c r="GS5" s="32" t="n">
        <v>2925.73623076923</v>
      </c>
      <c r="GT5" s="10" t="n">
        <v>2232</v>
      </c>
      <c r="GU5" s="93" t="n">
        <f aca="false">GT5/GS5</f>
        <v>0.762884902790149</v>
      </c>
      <c r="GW5" s="7" t="n">
        <v>3</v>
      </c>
      <c r="GX5" s="7" t="s">
        <v>7</v>
      </c>
      <c r="GY5" s="32" t="n">
        <v>2757.4024375</v>
      </c>
      <c r="GZ5" s="10" t="n">
        <v>3015.02</v>
      </c>
      <c r="HA5" s="93" t="n">
        <f aca="false">GZ5/GY5</f>
        <v>1.0934276255785</v>
      </c>
      <c r="HC5" s="7" t="n">
        <v>3</v>
      </c>
      <c r="HD5" s="7" t="s">
        <v>13</v>
      </c>
      <c r="HE5" s="21" t="n">
        <v>3969.18954166667</v>
      </c>
      <c r="HF5" s="8" t="n">
        <v>5409.5</v>
      </c>
      <c r="HG5" s="93" t="n">
        <f aca="false">HF5/HE5</f>
        <v>1.36287268300333</v>
      </c>
      <c r="HI5" s="7" t="n">
        <v>3</v>
      </c>
      <c r="HJ5" s="7" t="s">
        <v>20</v>
      </c>
      <c r="HK5" s="21" t="n">
        <v>2784.41273076923</v>
      </c>
      <c r="HL5" s="8" t="n">
        <v>2597.5</v>
      </c>
      <c r="HM5" s="93" t="n">
        <f aca="false">HL5/HK5</f>
        <v>0.932871758305173</v>
      </c>
      <c r="HO5" s="7" t="n">
        <v>3</v>
      </c>
      <c r="HP5" s="7" t="s">
        <v>20</v>
      </c>
      <c r="HQ5" s="21" t="n">
        <v>2691.10346153846</v>
      </c>
      <c r="HR5" s="8" t="n">
        <v>3251</v>
      </c>
      <c r="HS5" s="93" t="n">
        <f aca="false">HR5/HQ5</f>
        <v>1.20805463129294</v>
      </c>
      <c r="HU5" s="7" t="n">
        <v>3</v>
      </c>
      <c r="HV5" s="7" t="s">
        <v>11</v>
      </c>
      <c r="HW5" s="21" t="n">
        <v>2948.29516666667</v>
      </c>
      <c r="HX5" s="8" t="n">
        <v>2649</v>
      </c>
      <c r="HY5" s="93" t="n">
        <f aca="false">HX5/HW5</f>
        <v>0.898485345005314</v>
      </c>
      <c r="HZ5" s="100"/>
      <c r="IA5" s="7" t="n">
        <v>3</v>
      </c>
      <c r="IB5" s="7" t="s">
        <v>17</v>
      </c>
      <c r="IC5" s="21" t="n">
        <v>4467.71406666667</v>
      </c>
      <c r="ID5" s="8" t="n">
        <v>6348</v>
      </c>
      <c r="IE5" s="93" t="n">
        <f aca="false">ID5/IC5</f>
        <v>1.42086084858519</v>
      </c>
      <c r="IG5" s="7" t="n">
        <v>3</v>
      </c>
      <c r="IH5" s="7" t="s">
        <v>7</v>
      </c>
      <c r="II5" s="21" t="n">
        <v>3050.3745</v>
      </c>
      <c r="IJ5" s="8" t="n">
        <v>3578</v>
      </c>
      <c r="IK5" s="93" t="n">
        <f aca="false">IJ5/II5</f>
        <v>1.1729707286761</v>
      </c>
    </row>
    <row r="6" customFormat="false" ht="15.75" hidden="false" customHeight="false" outlineLevel="0" collapsed="false">
      <c r="A6" s="85" t="n">
        <v>4</v>
      </c>
      <c r="B6" s="85" t="s">
        <v>13</v>
      </c>
      <c r="C6" s="90" t="n">
        <v>5000</v>
      </c>
      <c r="D6" s="58" t="n">
        <v>6723.1</v>
      </c>
      <c r="E6" s="91" t="n">
        <f aca="false">D6/C6</f>
        <v>1.34462</v>
      </c>
      <c r="F6" s="81"/>
      <c r="G6" s="85" t="n">
        <v>4</v>
      </c>
      <c r="H6" s="85" t="s">
        <v>13</v>
      </c>
      <c r="I6" s="92" t="n">
        <v>4996.1625</v>
      </c>
      <c r="J6" s="86" t="n">
        <v>4675.5</v>
      </c>
      <c r="K6" s="93" t="n">
        <f aca="false">J6/I6</f>
        <v>0.935818240499583</v>
      </c>
      <c r="L6" s="81"/>
      <c r="M6" s="85" t="n">
        <v>4</v>
      </c>
      <c r="N6" s="85" t="s">
        <v>20</v>
      </c>
      <c r="O6" s="86" t="n">
        <v>3465.2332</v>
      </c>
      <c r="P6" s="86" t="n">
        <v>2393.5</v>
      </c>
      <c r="Q6" s="93" t="n">
        <f aca="false">P6/O6</f>
        <v>0.690718304326531</v>
      </c>
      <c r="R6" s="81"/>
      <c r="S6" s="85" t="n">
        <v>4</v>
      </c>
      <c r="T6" s="85" t="s">
        <v>9</v>
      </c>
      <c r="U6" s="58" t="n">
        <v>2628.82307692308</v>
      </c>
      <c r="V6" s="58" t="n">
        <v>2986</v>
      </c>
      <c r="W6" s="93" t="n">
        <f aca="false">V6/U6</f>
        <v>1.13586951750857</v>
      </c>
      <c r="X6" s="81"/>
      <c r="Y6" s="101" t="n">
        <v>4</v>
      </c>
      <c r="Z6" s="85" t="s">
        <v>17</v>
      </c>
      <c r="AA6" s="95" t="n">
        <v>3689.71235294118</v>
      </c>
      <c r="AB6" s="58" t="n">
        <v>3980.5</v>
      </c>
      <c r="AC6" s="93" t="n">
        <f aca="false">AB6/AA6</f>
        <v>1.07881038391164</v>
      </c>
      <c r="AD6" s="81"/>
      <c r="AE6" s="101" t="n">
        <v>4</v>
      </c>
      <c r="AF6" s="97" t="s">
        <v>20</v>
      </c>
      <c r="AG6" s="95" t="n">
        <v>3323.86871</v>
      </c>
      <c r="AH6" s="58" t="n">
        <v>2460</v>
      </c>
      <c r="AI6" s="93" t="n">
        <f aca="false">AH6/AG6</f>
        <v>0.740101434391493</v>
      </c>
      <c r="AJ6" s="81"/>
      <c r="AK6" s="101" t="n">
        <v>4</v>
      </c>
      <c r="AL6" s="85" t="s">
        <v>11</v>
      </c>
      <c r="AM6" s="58" t="n">
        <v>3615.0324</v>
      </c>
      <c r="AN6" s="58" t="n">
        <v>4161.51</v>
      </c>
      <c r="AO6" s="93" t="n">
        <f aca="false">AN6/AM6</f>
        <v>1.15116810571324</v>
      </c>
      <c r="AP6" s="81"/>
      <c r="AQ6" s="85" t="n">
        <v>4</v>
      </c>
      <c r="AR6" s="85" t="s">
        <v>18</v>
      </c>
      <c r="AS6" s="58" t="n">
        <v>3049.52388461539</v>
      </c>
      <c r="AT6" s="58" t="n">
        <v>2163.51</v>
      </c>
      <c r="AU6" s="93" t="n">
        <f aca="false">AT6/AS6</f>
        <v>0.709458289838207</v>
      </c>
      <c r="AV6" s="81"/>
      <c r="AW6" s="85" t="n">
        <v>4</v>
      </c>
      <c r="AX6" s="85" t="s">
        <v>7</v>
      </c>
      <c r="AY6" s="58" t="n">
        <v>3620.84856923077</v>
      </c>
      <c r="AZ6" s="58" t="n">
        <v>3080.5</v>
      </c>
      <c r="BA6" s="93" t="n">
        <f aca="false">AZ6/AY6</f>
        <v>0.850767421255188</v>
      </c>
      <c r="BB6" s="81"/>
      <c r="BC6" s="85" t="n">
        <v>4</v>
      </c>
      <c r="BD6" s="85" t="s">
        <v>13</v>
      </c>
      <c r="BE6" s="58" t="n">
        <v>5580.95515384616</v>
      </c>
      <c r="BF6" s="58" t="n">
        <v>2671</v>
      </c>
      <c r="BG6" s="93" t="n">
        <f aca="false">BF6/BE6</f>
        <v>0.478591912382464</v>
      </c>
      <c r="BH6" s="81"/>
      <c r="BI6" s="85" t="n">
        <v>4</v>
      </c>
      <c r="BJ6" s="85" t="s">
        <v>18</v>
      </c>
      <c r="BK6" s="58" t="n">
        <v>3108.05488636364</v>
      </c>
      <c r="BL6" s="58" t="n">
        <v>3183.53</v>
      </c>
      <c r="BM6" s="93" t="n">
        <f aca="false">BL6/BK6</f>
        <v>1.02428371325342</v>
      </c>
      <c r="BN6" s="81"/>
      <c r="BO6" s="85" t="n">
        <v>4</v>
      </c>
      <c r="BP6" s="85" t="s">
        <v>9</v>
      </c>
      <c r="BQ6" s="58" t="n">
        <v>3789.02151923077</v>
      </c>
      <c r="BR6" s="58" t="n">
        <v>2988.51</v>
      </c>
      <c r="BS6" s="93" t="n">
        <f aca="false">BR6/BQ6</f>
        <v>0.788728695477748</v>
      </c>
      <c r="BT6" s="81"/>
      <c r="BU6" s="85" t="n">
        <v>4</v>
      </c>
      <c r="BV6" s="85" t="s">
        <v>17</v>
      </c>
      <c r="BW6" s="58" t="n">
        <v>5569.685793</v>
      </c>
      <c r="BX6" s="58" t="n">
        <v>6234.5</v>
      </c>
      <c r="BY6" s="93" t="n">
        <f aca="false">BX6/BW6</f>
        <v>1.11936296439479</v>
      </c>
      <c r="BZ6" s="81"/>
      <c r="CA6" s="85" t="n">
        <v>4</v>
      </c>
      <c r="CB6" s="85" t="s">
        <v>18</v>
      </c>
      <c r="CC6" s="58" t="n">
        <v>3258.90177884615</v>
      </c>
      <c r="CD6" s="58" t="n">
        <v>3477.02</v>
      </c>
      <c r="CE6" s="93" t="n">
        <f aca="false">CD6/CC6</f>
        <v>1.06692997701547</v>
      </c>
      <c r="CF6" s="81"/>
      <c r="CG6" s="85" t="n">
        <v>4</v>
      </c>
      <c r="CH6" s="85" t="s">
        <v>9</v>
      </c>
      <c r="CI6" s="86" t="n">
        <v>4164.52486153846</v>
      </c>
      <c r="CJ6" s="58" t="n">
        <v>4090.51</v>
      </c>
      <c r="CK6" s="93" t="n">
        <f aca="false">CJ6/CI6</f>
        <v>0.982227297471069</v>
      </c>
      <c r="CL6" s="81"/>
      <c r="CM6" s="85" t="n">
        <v>4</v>
      </c>
      <c r="CN6" s="85" t="s">
        <v>13</v>
      </c>
      <c r="CO6" s="86" t="n">
        <v>6903.4878</v>
      </c>
      <c r="CP6" s="60" t="n">
        <v>2095.53</v>
      </c>
      <c r="CQ6" s="93" t="n">
        <f aca="false">CP6/CO6</f>
        <v>0.303546563810832</v>
      </c>
      <c r="CR6" s="81"/>
      <c r="CS6" s="85" t="n">
        <v>4</v>
      </c>
      <c r="CT6" s="85" t="s">
        <v>20</v>
      </c>
      <c r="CU6" s="86" t="n">
        <v>3778.056</v>
      </c>
      <c r="CV6" s="58" t="n">
        <v>2648.57</v>
      </c>
      <c r="CW6" s="93" t="n">
        <f aca="false">CV6/CU6</f>
        <v>0.701040429257798</v>
      </c>
      <c r="CX6" s="81"/>
      <c r="CY6" s="85" t="n">
        <v>4</v>
      </c>
      <c r="CZ6" s="85" t="s">
        <v>9</v>
      </c>
      <c r="DA6" s="86" t="n">
        <v>3390.73971875</v>
      </c>
      <c r="DB6" s="58" t="n">
        <v>3291</v>
      </c>
      <c r="DC6" s="93" t="n">
        <f aca="false">DB6/DA6</f>
        <v>0.970584672660522</v>
      </c>
      <c r="DD6" s="81"/>
      <c r="DE6" s="85" t="n">
        <v>4</v>
      </c>
      <c r="DF6" s="85" t="s">
        <v>17</v>
      </c>
      <c r="DG6" s="86" t="n">
        <v>4499.2023125</v>
      </c>
      <c r="DH6" s="58" t="n">
        <v>2452.03</v>
      </c>
      <c r="DI6" s="93" t="n">
        <f aca="false">DH6/DG6</f>
        <v>0.54499216298578</v>
      </c>
      <c r="DJ6" s="81"/>
      <c r="DK6" s="85" t="n">
        <v>4</v>
      </c>
      <c r="DL6" s="85" t="s">
        <v>7</v>
      </c>
      <c r="DM6" s="86" t="n">
        <v>3244.36143333333</v>
      </c>
      <c r="DN6" s="58" t="n">
        <v>2639.54</v>
      </c>
      <c r="DO6" s="93" t="n">
        <f aca="false">DN6/DM6</f>
        <v>0.813577665201154</v>
      </c>
      <c r="DP6" s="81"/>
      <c r="DQ6" s="85" t="n">
        <v>4</v>
      </c>
      <c r="DR6" s="85" t="s">
        <v>11</v>
      </c>
      <c r="DS6" s="86" t="n">
        <v>2817.0883125</v>
      </c>
      <c r="DT6" s="58" t="n">
        <v>6734.42</v>
      </c>
      <c r="DU6" s="93" t="n">
        <f aca="false">DT6/DS6</f>
        <v>2.39056048407073</v>
      </c>
      <c r="DV6" s="81"/>
      <c r="DW6" s="85" t="n">
        <v>4</v>
      </c>
      <c r="DX6" s="85" t="s">
        <v>18</v>
      </c>
      <c r="DY6" s="86" t="n">
        <v>2896.25827826088</v>
      </c>
      <c r="DZ6" s="58" t="n">
        <v>2204.51</v>
      </c>
      <c r="EA6" s="93" t="n">
        <f aca="false">DZ6/DY6</f>
        <v>0.761157945251949</v>
      </c>
      <c r="EB6" s="81"/>
      <c r="EC6" s="85" t="n">
        <v>4</v>
      </c>
      <c r="ED6" s="85" t="s">
        <v>7</v>
      </c>
      <c r="EE6" s="86" t="n">
        <v>3820.83230769231</v>
      </c>
      <c r="EF6" s="58" t="n">
        <v>2933</v>
      </c>
      <c r="EG6" s="93" t="n">
        <f aca="false">EF6/EE6</f>
        <v>0.767633793845159</v>
      </c>
      <c r="EH6" s="100"/>
      <c r="EI6" s="85" t="n">
        <v>4</v>
      </c>
      <c r="EJ6" s="85" t="s">
        <v>13</v>
      </c>
      <c r="EK6" s="86" t="n">
        <v>4193.88859615385</v>
      </c>
      <c r="EL6" s="58" t="n">
        <v>4097.75</v>
      </c>
      <c r="EM6" s="93" t="n">
        <f aca="false">EL6/EK6</f>
        <v>0.977076502165075</v>
      </c>
      <c r="EN6" s="81"/>
      <c r="EO6" s="85" t="n">
        <v>4</v>
      </c>
      <c r="EP6" s="85" t="s">
        <v>20</v>
      </c>
      <c r="EQ6" s="86" t="n">
        <v>3824.392</v>
      </c>
      <c r="ER6" s="58" t="n">
        <v>3123.29</v>
      </c>
      <c r="ES6" s="93" t="n">
        <f aca="false">ER6/EQ6</f>
        <v>0.816676219383369</v>
      </c>
      <c r="ET6" s="81"/>
      <c r="EU6" s="85" t="n">
        <v>4</v>
      </c>
      <c r="EV6" s="85" t="s">
        <v>20</v>
      </c>
      <c r="EW6" s="86" t="n">
        <v>3947.55533333333</v>
      </c>
      <c r="EX6" s="58" t="n">
        <v>3807.25</v>
      </c>
      <c r="EY6" s="93" t="n">
        <f aca="false">EX6/EW6</f>
        <v>0.964457665191268</v>
      </c>
      <c r="FA6" s="85" t="n">
        <v>4</v>
      </c>
      <c r="FB6" s="85" t="s">
        <v>11</v>
      </c>
      <c r="FC6" s="86" t="n">
        <v>4211.02930769231</v>
      </c>
      <c r="FD6" s="58" t="n">
        <v>2322.27</v>
      </c>
      <c r="FE6" s="93" t="n">
        <f aca="false">FD6/FC6</f>
        <v>0.551473245687912</v>
      </c>
      <c r="FG6" s="85" t="n">
        <v>4</v>
      </c>
      <c r="FH6" s="85" t="s">
        <v>17</v>
      </c>
      <c r="FI6" s="86" t="n">
        <v>5046.12053846154</v>
      </c>
      <c r="FJ6" s="58" t="n">
        <v>3424.27</v>
      </c>
      <c r="FK6" s="93" t="n">
        <f aca="false">FJ6/FI6</f>
        <v>0.678594570601358</v>
      </c>
      <c r="FL6" s="100"/>
      <c r="FM6" s="85" t="n">
        <v>4</v>
      </c>
      <c r="FN6" s="85" t="s">
        <v>7</v>
      </c>
      <c r="FO6" s="86" t="n">
        <v>3456.04072</v>
      </c>
      <c r="FP6" s="58" t="n">
        <v>2132.76</v>
      </c>
      <c r="FQ6" s="93" t="n">
        <f aca="false">FP6/FO6</f>
        <v>0.617110784504877</v>
      </c>
      <c r="FS6" s="85" t="n">
        <v>4</v>
      </c>
      <c r="FT6" s="85" t="s">
        <v>11</v>
      </c>
      <c r="FU6" s="86" t="n">
        <v>3432.83980769231</v>
      </c>
      <c r="FV6" s="58" t="n">
        <v>3552.76</v>
      </c>
      <c r="FW6" s="93" t="n">
        <f aca="false">FV6/FU6</f>
        <v>1.03493323284092</v>
      </c>
      <c r="FY6" s="85" t="n">
        <v>4</v>
      </c>
      <c r="FZ6" s="85" t="s">
        <v>18</v>
      </c>
      <c r="GA6" s="86" t="n">
        <v>2733.30451923077</v>
      </c>
      <c r="GB6" s="58" t="n">
        <v>3270</v>
      </c>
      <c r="GC6" s="93" t="n">
        <f aca="false">GB6/GA6</f>
        <v>1.19635407507403</v>
      </c>
      <c r="GE6" s="7" t="n">
        <v>4</v>
      </c>
      <c r="GF6" s="7" t="s">
        <v>9</v>
      </c>
      <c r="GG6" s="3" t="n">
        <v>3151.42417307692</v>
      </c>
      <c r="GH6" s="10" t="n">
        <v>2248.51</v>
      </c>
      <c r="GI6" s="93" t="n">
        <f aca="false">GH6/GG6</f>
        <v>0.713490116376384</v>
      </c>
      <c r="GK6" s="7" t="n">
        <v>4</v>
      </c>
      <c r="GL6" s="7" t="s">
        <v>13</v>
      </c>
      <c r="GM6" s="3" t="n">
        <v>4334.40196296296</v>
      </c>
      <c r="GN6" s="10" t="n">
        <v>5921.51</v>
      </c>
      <c r="GO6" s="93" t="n">
        <f aca="false">GN6/GM6</f>
        <v>1.36616540196288</v>
      </c>
      <c r="GQ6" s="7" t="n">
        <v>4</v>
      </c>
      <c r="GR6" s="7" t="s">
        <v>20</v>
      </c>
      <c r="GS6" s="3" t="n">
        <v>2882.27175961539</v>
      </c>
      <c r="GT6" s="10" t="n">
        <v>1153.25</v>
      </c>
      <c r="GU6" s="93" t="n">
        <f aca="false">GT6/GS6</f>
        <v>0.400118412204785</v>
      </c>
      <c r="GW6" s="7" t="n">
        <v>4</v>
      </c>
      <c r="GX6" s="7" t="s">
        <v>9</v>
      </c>
      <c r="GY6" s="3" t="n">
        <v>3129.20941666667</v>
      </c>
      <c r="GZ6" s="10" t="n">
        <v>3900.5</v>
      </c>
      <c r="HA6" s="93" t="n">
        <f aca="false">GZ6/GY6</f>
        <v>1.24648097350894</v>
      </c>
      <c r="HC6" s="7" t="n">
        <v>4</v>
      </c>
      <c r="HD6" s="7" t="s">
        <v>17</v>
      </c>
      <c r="HE6" s="3" t="n">
        <v>4064.60462</v>
      </c>
      <c r="HF6" s="8" t="n">
        <v>5360.01</v>
      </c>
      <c r="HG6" s="93" t="n">
        <f aca="false">HF6/HE6</f>
        <v>1.31870390877034</v>
      </c>
      <c r="HI6" s="7" t="n">
        <v>4</v>
      </c>
      <c r="HJ6" s="7" t="s">
        <v>7</v>
      </c>
      <c r="HK6" s="3" t="n">
        <v>3123.952</v>
      </c>
      <c r="HL6" s="8" t="n">
        <v>2935.91</v>
      </c>
      <c r="HM6" s="93" t="n">
        <f aca="false">HL6/HK6</f>
        <v>0.939806373465405</v>
      </c>
      <c r="HO6" s="7" t="n">
        <v>4</v>
      </c>
      <c r="HP6" s="7" t="s">
        <v>7</v>
      </c>
      <c r="HQ6" s="3" t="n">
        <v>3000.2225</v>
      </c>
      <c r="HR6" s="8" t="n">
        <v>2356</v>
      </c>
      <c r="HS6" s="93" t="n">
        <f aca="false">HR6/HQ6</f>
        <v>0.785275092097336</v>
      </c>
      <c r="HU6" s="7" t="n">
        <v>4</v>
      </c>
      <c r="HV6" s="7" t="s">
        <v>13</v>
      </c>
      <c r="HW6" s="3" t="n">
        <v>4705.97004166667</v>
      </c>
      <c r="HX6" s="8" t="n">
        <v>4476.5</v>
      </c>
      <c r="HY6" s="93" t="n">
        <f aca="false">HX6/HW6</f>
        <v>0.951238524760052</v>
      </c>
      <c r="HZ6" s="100"/>
      <c r="IA6" s="7" t="n">
        <v>4</v>
      </c>
      <c r="IB6" s="7" t="s">
        <v>18</v>
      </c>
      <c r="IC6" s="3" t="n">
        <v>2465.12093333333</v>
      </c>
      <c r="ID6" s="8" t="n">
        <v>2540</v>
      </c>
      <c r="IE6" s="93" t="n">
        <f aca="false">ID6/IC6</f>
        <v>1.03037541308994</v>
      </c>
      <c r="IG6" s="7" t="n">
        <v>4</v>
      </c>
      <c r="IH6" s="7" t="s">
        <v>9</v>
      </c>
      <c r="II6" s="3" t="n">
        <v>2625.013875</v>
      </c>
      <c r="IJ6" s="8" t="n">
        <v>5026</v>
      </c>
      <c r="IK6" s="93" t="n">
        <f aca="false">IJ6/II6</f>
        <v>1.91465654633921</v>
      </c>
    </row>
    <row r="7" customFormat="false" ht="15.75" hidden="false" customHeight="false" outlineLevel="0" collapsed="false">
      <c r="A7" s="85" t="n">
        <v>5</v>
      </c>
      <c r="B7" s="85" t="s">
        <v>17</v>
      </c>
      <c r="C7" s="90" t="n">
        <v>4200</v>
      </c>
      <c r="D7" s="58" t="n">
        <v>5052.11</v>
      </c>
      <c r="E7" s="91" t="n">
        <f aca="false">D7/C7</f>
        <v>1.20288333333333</v>
      </c>
      <c r="F7" s="81"/>
      <c r="G7" s="85" t="n">
        <v>5</v>
      </c>
      <c r="H7" s="85" t="s">
        <v>17</v>
      </c>
      <c r="I7" s="92" t="n">
        <v>4734.9025</v>
      </c>
      <c r="J7" s="86" t="n">
        <v>5030</v>
      </c>
      <c r="K7" s="93" t="n">
        <f aca="false">J7/I7</f>
        <v>1.06232388100917</v>
      </c>
      <c r="L7" s="81"/>
      <c r="M7" s="85" t="n">
        <v>5</v>
      </c>
      <c r="N7" s="85" t="s">
        <v>7</v>
      </c>
      <c r="O7" s="86" t="n">
        <v>3505.10506666667</v>
      </c>
      <c r="P7" s="86" t="n">
        <v>2022.5</v>
      </c>
      <c r="Q7" s="93" t="n">
        <f aca="false">P7/O7</f>
        <v>0.577015513524501</v>
      </c>
      <c r="R7" s="81"/>
      <c r="S7" s="85" t="n">
        <v>5</v>
      </c>
      <c r="T7" s="85" t="s">
        <v>11</v>
      </c>
      <c r="U7" s="58" t="n">
        <v>4033.78076923077</v>
      </c>
      <c r="V7" s="58" t="n">
        <v>2641.5</v>
      </c>
      <c r="W7" s="93" t="n">
        <f aca="false">V7/U7</f>
        <v>0.654844710488251</v>
      </c>
      <c r="X7" s="81"/>
      <c r="Y7" s="101" t="n">
        <v>5</v>
      </c>
      <c r="Z7" s="85" t="s">
        <v>18</v>
      </c>
      <c r="AA7" s="95" t="n">
        <v>2557.5375</v>
      </c>
      <c r="AB7" s="58" t="n">
        <v>2131.5</v>
      </c>
      <c r="AC7" s="93" t="n">
        <f aca="false">AB7/AA7</f>
        <v>0.833418864826029</v>
      </c>
      <c r="AD7" s="81"/>
      <c r="AE7" s="101" t="n">
        <v>5</v>
      </c>
      <c r="AF7" s="97" t="s">
        <v>7</v>
      </c>
      <c r="AG7" s="95" t="n">
        <v>3100.40545238095</v>
      </c>
      <c r="AH7" s="58" t="n">
        <v>2996.5</v>
      </c>
      <c r="AI7" s="93" t="n">
        <f aca="false">AH7/AG7</f>
        <v>0.966486495402994</v>
      </c>
      <c r="AJ7" s="81"/>
      <c r="AK7" s="101" t="n">
        <v>5</v>
      </c>
      <c r="AL7" s="85" t="s">
        <v>13</v>
      </c>
      <c r="AM7" s="58" t="n">
        <v>4370.5494</v>
      </c>
      <c r="AN7" s="58" t="n">
        <v>6064</v>
      </c>
      <c r="AO7" s="93" t="n">
        <f aca="false">AN7/AM7</f>
        <v>1.38746858690123</v>
      </c>
      <c r="AP7" s="81"/>
      <c r="AQ7" s="85" t="n">
        <v>5</v>
      </c>
      <c r="AR7" s="85" t="s">
        <v>20</v>
      </c>
      <c r="AS7" s="58" t="n">
        <v>3489.23480769231</v>
      </c>
      <c r="AT7" s="58" t="n">
        <v>5262.5</v>
      </c>
      <c r="AU7" s="93" t="n">
        <f aca="false">AT7/AS7</f>
        <v>1.50821033551493</v>
      </c>
      <c r="AV7" s="81"/>
      <c r="AW7" s="85" t="n">
        <v>5</v>
      </c>
      <c r="AX7" s="85" t="s">
        <v>9</v>
      </c>
      <c r="AY7" s="58" t="n">
        <v>3535.0242</v>
      </c>
      <c r="AZ7" s="58" t="n">
        <v>2868.01</v>
      </c>
      <c r="BA7" s="93" t="n">
        <f aca="false">AZ7/AY7</f>
        <v>0.811312692003636</v>
      </c>
      <c r="BB7" s="81"/>
      <c r="BC7" s="85" t="n">
        <v>5</v>
      </c>
      <c r="BD7" s="85" t="s">
        <v>17</v>
      </c>
      <c r="BE7" s="58" t="n">
        <v>5140.16838461539</v>
      </c>
      <c r="BF7" s="58" t="n">
        <v>4268.02</v>
      </c>
      <c r="BG7" s="93" t="n">
        <f aca="false">BF7/BE7</f>
        <v>0.83032688438267</v>
      </c>
      <c r="BH7" s="81"/>
      <c r="BI7" s="85" t="n">
        <v>5</v>
      </c>
      <c r="BJ7" s="85" t="s">
        <v>20</v>
      </c>
      <c r="BK7" s="58" t="n">
        <v>3435.89447727273</v>
      </c>
      <c r="BL7" s="58" t="n">
        <v>2779</v>
      </c>
      <c r="BM7" s="93" t="n">
        <f aca="false">BL7/BK7</f>
        <v>0.808814129299411</v>
      </c>
      <c r="BN7" s="81"/>
      <c r="BO7" s="85" t="n">
        <v>5</v>
      </c>
      <c r="BP7" s="85" t="s">
        <v>11</v>
      </c>
      <c r="BQ7" s="58" t="n">
        <v>4029.96582692308</v>
      </c>
      <c r="BR7" s="58" t="n">
        <v>3696</v>
      </c>
      <c r="BS7" s="93" t="n">
        <f aca="false">BR7/BQ7</f>
        <v>0.917129365045245</v>
      </c>
      <c r="BT7" s="81"/>
      <c r="BU7" s="85" t="n">
        <v>5</v>
      </c>
      <c r="BV7" s="85" t="s">
        <v>18</v>
      </c>
      <c r="BW7" s="58" t="n">
        <v>3222.12748846154</v>
      </c>
      <c r="BX7" s="58" t="n">
        <v>3300.63</v>
      </c>
      <c r="BY7" s="93" t="n">
        <f aca="false">BX7/BW7</f>
        <v>1.02436356470052</v>
      </c>
      <c r="BZ7" s="81"/>
      <c r="CA7" s="85" t="n">
        <v>5</v>
      </c>
      <c r="CB7" s="85" t="s">
        <v>20</v>
      </c>
      <c r="CC7" s="58" t="n">
        <v>3607.60614423077</v>
      </c>
      <c r="CD7" s="58" t="n">
        <v>4959.07</v>
      </c>
      <c r="CE7" s="93" t="n">
        <f aca="false">CD7/CC7</f>
        <v>1.37461513306558</v>
      </c>
      <c r="CF7" s="81"/>
      <c r="CG7" s="85" t="n">
        <v>5</v>
      </c>
      <c r="CH7" s="85" t="s">
        <v>11</v>
      </c>
      <c r="CI7" s="86" t="n">
        <v>4618.74731971154</v>
      </c>
      <c r="CJ7" s="58" t="n">
        <v>3500.52</v>
      </c>
      <c r="CK7" s="93" t="n">
        <f aca="false">CJ7/CI7</f>
        <v>0.757893809228478</v>
      </c>
      <c r="CL7" s="81"/>
      <c r="CM7" s="85" t="n">
        <v>5</v>
      </c>
      <c r="CN7" s="85" t="s">
        <v>17</v>
      </c>
      <c r="CO7" s="86" t="n">
        <v>6423.77193333333</v>
      </c>
      <c r="CP7" s="60" t="n">
        <v>3064.05</v>
      </c>
      <c r="CQ7" s="93" t="n">
        <f aca="false">CP7/CO7</f>
        <v>0.476986112178184</v>
      </c>
      <c r="CR7" s="81"/>
      <c r="CS7" s="85" t="n">
        <v>5</v>
      </c>
      <c r="CT7" s="85" t="s">
        <v>7</v>
      </c>
      <c r="CU7" s="86" t="n">
        <v>3423.9315</v>
      </c>
      <c r="CV7" s="58" t="n">
        <v>2459.08</v>
      </c>
      <c r="CW7" s="93" t="n">
        <f aca="false">CV7/CU7</f>
        <v>0.718203620603975</v>
      </c>
      <c r="CX7" s="81"/>
      <c r="CY7" s="85" t="n">
        <v>5</v>
      </c>
      <c r="CZ7" s="85" t="s">
        <v>11</v>
      </c>
      <c r="DA7" s="86" t="n">
        <v>3831.45896875</v>
      </c>
      <c r="DB7" s="58" t="n">
        <v>2809.01</v>
      </c>
      <c r="DC7" s="93" t="n">
        <f aca="false">DB7/DA7</f>
        <v>0.7331436987609</v>
      </c>
      <c r="DD7" s="81"/>
      <c r="DE7" s="85" t="n">
        <v>5</v>
      </c>
      <c r="DF7" s="85" t="s">
        <v>18</v>
      </c>
      <c r="DG7" s="86" t="n">
        <v>2899.715</v>
      </c>
      <c r="DH7" s="58" t="n">
        <v>2502.51</v>
      </c>
      <c r="DI7" s="93" t="n">
        <f aca="false">DH7/DG7</f>
        <v>0.863019296723988</v>
      </c>
      <c r="DJ7" s="81"/>
      <c r="DK7" s="85" t="n">
        <v>5</v>
      </c>
      <c r="DL7" s="85" t="s">
        <v>9</v>
      </c>
      <c r="DM7" s="86" t="n">
        <v>3168.16775</v>
      </c>
      <c r="DN7" s="58" t="n">
        <v>1626.01</v>
      </c>
      <c r="DO7" s="93" t="n">
        <f aca="false">DN7/DM7</f>
        <v>0.513233555893623</v>
      </c>
      <c r="DP7" s="81"/>
      <c r="DQ7" s="85" t="n">
        <v>5</v>
      </c>
      <c r="DR7" s="85" t="s">
        <v>13</v>
      </c>
      <c r="DS7" s="86" t="n">
        <v>3631.1611875</v>
      </c>
      <c r="DT7" s="58" t="n">
        <v>7501.06</v>
      </c>
      <c r="DU7" s="93" t="n">
        <f aca="false">DT7/DS7</f>
        <v>2.06574690923164</v>
      </c>
      <c r="DV7" s="81"/>
      <c r="DW7" s="85" t="n">
        <v>5</v>
      </c>
      <c r="DX7" s="85" t="s">
        <v>20</v>
      </c>
      <c r="DY7" s="102" t="n">
        <v>3657.8939775</v>
      </c>
      <c r="DZ7" s="58" t="n">
        <v>3185.51</v>
      </c>
      <c r="EA7" s="93" t="n">
        <f aca="false">DZ7/DY7</f>
        <v>0.870859029702427</v>
      </c>
      <c r="EB7" s="81"/>
      <c r="EC7" s="85" t="n">
        <v>5</v>
      </c>
      <c r="ED7" s="85" t="s">
        <v>9</v>
      </c>
      <c r="EE7" s="102" t="n">
        <v>3738.57553846154</v>
      </c>
      <c r="EF7" s="58" t="n">
        <v>2908</v>
      </c>
      <c r="EG7" s="93" t="n">
        <f aca="false">EF7/EE7</f>
        <v>0.777836363096911</v>
      </c>
      <c r="EH7" s="100"/>
      <c r="EI7" s="85" t="n">
        <v>5</v>
      </c>
      <c r="EJ7" s="85" t="s">
        <v>17</v>
      </c>
      <c r="EK7" s="102" t="n">
        <v>3751.09713461538</v>
      </c>
      <c r="EL7" s="58" t="n">
        <v>3457.81</v>
      </c>
      <c r="EM7" s="93" t="n">
        <f aca="false">EL7/EK7</f>
        <v>0.921812972554374</v>
      </c>
      <c r="EN7" s="81"/>
      <c r="EO7" s="85" t="n">
        <v>5</v>
      </c>
      <c r="EP7" s="85" t="s">
        <v>7</v>
      </c>
      <c r="EQ7" s="102" t="n">
        <v>3598.85944</v>
      </c>
      <c r="ER7" s="58" t="n">
        <v>3196.5</v>
      </c>
      <c r="ES7" s="93" t="n">
        <f aca="false">ER7/EQ7</f>
        <v>0.888198067552202</v>
      </c>
      <c r="ET7" s="81"/>
      <c r="EU7" s="85" t="n">
        <v>5</v>
      </c>
      <c r="EV7" s="85" t="s">
        <v>7</v>
      </c>
      <c r="EW7" s="102" t="n">
        <v>3815.68264</v>
      </c>
      <c r="EX7" s="58" t="n">
        <v>3865.78</v>
      </c>
      <c r="EY7" s="93" t="n">
        <f aca="false">EX7/EW7</f>
        <v>1.01312933090264</v>
      </c>
      <c r="FA7" s="85" t="n">
        <v>5</v>
      </c>
      <c r="FB7" s="85" t="s">
        <v>13</v>
      </c>
      <c r="FC7" s="102" t="n">
        <v>5462.33303846154</v>
      </c>
      <c r="FD7" s="58" t="n">
        <v>2719.76</v>
      </c>
      <c r="FE7" s="93" t="n">
        <f aca="false">FD7/FC7</f>
        <v>0.497911786200062</v>
      </c>
      <c r="FG7" s="85" t="n">
        <v>5</v>
      </c>
      <c r="FH7" s="85" t="s">
        <v>18</v>
      </c>
      <c r="FI7" s="102" t="n">
        <v>3488.60176923077</v>
      </c>
      <c r="FJ7" s="58" t="n">
        <v>2122.81</v>
      </c>
      <c r="FK7" s="93" t="n">
        <f aca="false">FJ7/FI7</f>
        <v>0.60849880279344</v>
      </c>
      <c r="FL7" s="100"/>
      <c r="FM7" s="85" t="n">
        <v>5</v>
      </c>
      <c r="FN7" s="85" t="s">
        <v>9</v>
      </c>
      <c r="FO7" s="102" t="n">
        <v>3327.21696153846</v>
      </c>
      <c r="FP7" s="58" t="n">
        <v>1690.26</v>
      </c>
      <c r="FQ7" s="93" t="n">
        <f aca="false">FP7/FO7</f>
        <v>0.508010153692667</v>
      </c>
      <c r="FS7" s="85" t="n">
        <v>5</v>
      </c>
      <c r="FT7" s="85" t="s">
        <v>13</v>
      </c>
      <c r="FU7" s="102" t="n">
        <v>4957.44530769231</v>
      </c>
      <c r="FV7" s="58" t="n">
        <v>2805</v>
      </c>
      <c r="FW7" s="93" t="n">
        <f aca="false">FV7/FU7</f>
        <v>0.565815621938899</v>
      </c>
      <c r="FY7" s="85" t="n">
        <v>5</v>
      </c>
      <c r="FZ7" s="85" t="s">
        <v>20</v>
      </c>
      <c r="GA7" s="102" t="n">
        <v>2712.61778846154</v>
      </c>
      <c r="GB7" s="58" t="n">
        <v>2543.54</v>
      </c>
      <c r="GC7" s="93" t="n">
        <f aca="false">GB7/GA7</f>
        <v>0.93766988140359</v>
      </c>
      <c r="GE7" s="7" t="n">
        <v>5</v>
      </c>
      <c r="GF7" s="7" t="s">
        <v>11</v>
      </c>
      <c r="GG7" s="32" t="n">
        <v>3011.91634615385</v>
      </c>
      <c r="GH7" s="10" t="n">
        <v>1568</v>
      </c>
      <c r="GI7" s="93" t="n">
        <f aca="false">GH7/GG7</f>
        <v>0.520598788210802</v>
      </c>
      <c r="GK7" s="7" t="n">
        <v>5</v>
      </c>
      <c r="GL7" s="7" t="s">
        <v>17</v>
      </c>
      <c r="GM7" s="3" t="n">
        <v>3846.46377777778</v>
      </c>
      <c r="GN7" s="10" t="n">
        <v>6536.4</v>
      </c>
      <c r="GO7" s="93" t="n">
        <f aca="false">GN7/GM7</f>
        <v>1.69932706444886</v>
      </c>
      <c r="GQ7" s="7" t="n">
        <v>5</v>
      </c>
      <c r="GR7" s="7" t="s">
        <v>7</v>
      </c>
      <c r="GS7" s="3" t="n">
        <v>3563.13087403846</v>
      </c>
      <c r="GT7" s="10" t="n">
        <v>2083.5</v>
      </c>
      <c r="GU7" s="93" t="n">
        <f aca="false">GT7/GS7</f>
        <v>0.58473855540382</v>
      </c>
      <c r="GW7" s="7" t="n">
        <v>5</v>
      </c>
      <c r="GX7" s="7" t="s">
        <v>11</v>
      </c>
      <c r="GY7" s="3" t="n">
        <v>2824.96158333333</v>
      </c>
      <c r="GZ7" s="10" t="n">
        <v>2976.01</v>
      </c>
      <c r="HA7" s="93" t="n">
        <f aca="false">GZ7/GY7</f>
        <v>1.05346919319463</v>
      </c>
      <c r="HC7" s="7" t="n">
        <v>5</v>
      </c>
      <c r="HD7" s="7" t="s">
        <v>18</v>
      </c>
      <c r="HE7" s="3" t="n">
        <v>2356.85408333333</v>
      </c>
      <c r="HF7" s="8" t="n">
        <v>2465</v>
      </c>
      <c r="HG7" s="93" t="n">
        <f aca="false">HF7/HE7</f>
        <v>1.04588570732123</v>
      </c>
      <c r="HI7" s="7" t="n">
        <v>5</v>
      </c>
      <c r="HJ7" s="7" t="s">
        <v>9</v>
      </c>
      <c r="HK7" s="3" t="n">
        <v>3353.44953846154</v>
      </c>
      <c r="HL7" s="8" t="n">
        <v>3079.5</v>
      </c>
      <c r="HM7" s="93" t="n">
        <f aca="false">HL7/HK7</f>
        <v>0.918308137540302</v>
      </c>
      <c r="HO7" s="7" t="n">
        <v>5</v>
      </c>
      <c r="HP7" s="7" t="s">
        <v>9</v>
      </c>
      <c r="HQ7" s="3" t="n">
        <v>3049.44030769231</v>
      </c>
      <c r="HR7" s="8" t="n">
        <v>1897.5</v>
      </c>
      <c r="HS7" s="93" t="n">
        <f aca="false">HR7/HQ7</f>
        <v>0.622245333090632</v>
      </c>
      <c r="HU7" s="7" t="n">
        <v>5</v>
      </c>
      <c r="HV7" s="7" t="s">
        <v>17</v>
      </c>
      <c r="HW7" s="3" t="n">
        <v>4690.85558333333</v>
      </c>
      <c r="HX7" s="8" t="n">
        <v>2620.5</v>
      </c>
      <c r="HY7" s="93" t="n">
        <f aca="false">HX7/HW7</f>
        <v>0.558640093144344</v>
      </c>
      <c r="HZ7" s="100"/>
      <c r="IA7" s="7" t="n">
        <v>5</v>
      </c>
      <c r="IB7" s="7" t="s">
        <v>20</v>
      </c>
      <c r="IC7" s="3" t="n">
        <v>2649.56393333333</v>
      </c>
      <c r="ID7" s="8" t="n">
        <v>1781</v>
      </c>
      <c r="IE7" s="93" t="n">
        <f aca="false">ID7/IC7</f>
        <v>0.672186082243118</v>
      </c>
      <c r="IG7" s="7" t="n">
        <v>5</v>
      </c>
      <c r="IH7" s="7" t="s">
        <v>11</v>
      </c>
      <c r="II7" s="3" t="n">
        <v>2871.523875</v>
      </c>
      <c r="IJ7" s="8" t="n">
        <v>4458</v>
      </c>
      <c r="IK7" s="93" t="n">
        <f aca="false">IJ7/II7</f>
        <v>1.55248578596617</v>
      </c>
    </row>
    <row r="8" customFormat="false" ht="15.75" hidden="false" customHeight="false" outlineLevel="0" collapsed="false">
      <c r="A8" s="85" t="n">
        <v>6</v>
      </c>
      <c r="B8" s="85" t="s">
        <v>18</v>
      </c>
      <c r="C8" s="90" t="n">
        <v>2000</v>
      </c>
      <c r="D8" s="58" t="n">
        <v>1924.1</v>
      </c>
      <c r="E8" s="91" t="n">
        <f aca="false">D8/C8</f>
        <v>0.96205</v>
      </c>
      <c r="F8" s="81"/>
      <c r="G8" s="85" t="n">
        <v>6</v>
      </c>
      <c r="H8" s="85" t="s">
        <v>18</v>
      </c>
      <c r="I8" s="92" t="n">
        <v>3140.65</v>
      </c>
      <c r="J8" s="86" t="n">
        <v>1963.5</v>
      </c>
      <c r="K8" s="93" t="n">
        <f aca="false">J8/I8</f>
        <v>0.625189053221467</v>
      </c>
      <c r="L8" s="81"/>
      <c r="M8" s="85" t="n">
        <v>6</v>
      </c>
      <c r="N8" s="85" t="s">
        <v>9</v>
      </c>
      <c r="O8" s="86" t="n">
        <v>2738.74755555556</v>
      </c>
      <c r="P8" s="86" t="n">
        <v>2776</v>
      </c>
      <c r="Q8" s="93" t="n">
        <f aca="false">P8/O8</f>
        <v>1.01360200007075</v>
      </c>
      <c r="R8" s="81"/>
      <c r="S8" s="85" t="n">
        <v>6</v>
      </c>
      <c r="T8" s="85" t="s">
        <v>13</v>
      </c>
      <c r="U8" s="58" t="n">
        <v>4690.08846153846</v>
      </c>
      <c r="V8" s="58" t="n">
        <v>4765</v>
      </c>
      <c r="W8" s="93" t="n">
        <f aca="false">V8/U8</f>
        <v>1.01597230821462</v>
      </c>
      <c r="X8" s="81"/>
      <c r="Y8" s="101" t="n">
        <v>6</v>
      </c>
      <c r="Z8" s="85" t="s">
        <v>20</v>
      </c>
      <c r="AA8" s="95" t="n">
        <v>3393.50875</v>
      </c>
      <c r="AB8" s="58" t="n">
        <v>1955.5</v>
      </c>
      <c r="AC8" s="93" t="n">
        <f aca="false">AB8/AA8</f>
        <v>0.576247224940852</v>
      </c>
      <c r="AD8" s="81"/>
      <c r="AE8" s="101" t="n">
        <v>6</v>
      </c>
      <c r="AF8" s="97" t="s">
        <v>9</v>
      </c>
      <c r="AG8" s="95" t="n">
        <v>2743.68354782609</v>
      </c>
      <c r="AH8" s="58" t="n">
        <v>2261.52</v>
      </c>
      <c r="AI8" s="93" t="n">
        <f aca="false">AH8/AG8</f>
        <v>0.824264154585858</v>
      </c>
      <c r="AJ8" s="81"/>
      <c r="AK8" s="101" t="n">
        <v>6</v>
      </c>
      <c r="AL8" s="85" t="s">
        <v>17</v>
      </c>
      <c r="AM8" s="58" t="n">
        <v>4138.3610625</v>
      </c>
      <c r="AN8" s="58" t="n">
        <v>4671.02</v>
      </c>
      <c r="AO8" s="93" t="n">
        <f aca="false">AN8/AM8</f>
        <v>1.12871253364689</v>
      </c>
      <c r="AP8" s="81"/>
      <c r="AQ8" s="85" t="n">
        <v>6</v>
      </c>
      <c r="AR8" s="85" t="s">
        <v>7</v>
      </c>
      <c r="AS8" s="58" t="n">
        <v>3715.95565384615</v>
      </c>
      <c r="AT8" s="58" t="n">
        <v>2961.01</v>
      </c>
      <c r="AU8" s="93" t="n">
        <f aca="false">AT8/AS8</f>
        <v>0.796836742907641</v>
      </c>
      <c r="AV8" s="81"/>
      <c r="AW8" s="85" t="n">
        <v>6</v>
      </c>
      <c r="AX8" s="85" t="s">
        <v>11</v>
      </c>
      <c r="AY8" s="58" t="n">
        <v>3996.56007692308</v>
      </c>
      <c r="AZ8" s="58" t="n">
        <v>3473.51</v>
      </c>
      <c r="BA8" s="93" t="n">
        <f aca="false">AZ8/AY8</f>
        <v>0.869124930726483</v>
      </c>
      <c r="BB8" s="81"/>
      <c r="BC8" s="85" t="n">
        <v>6</v>
      </c>
      <c r="BD8" s="85" t="s">
        <v>18</v>
      </c>
      <c r="BE8" s="58" t="n">
        <v>2913.27507692308</v>
      </c>
      <c r="BF8" s="58" t="n">
        <v>1906</v>
      </c>
      <c r="BG8" s="93" t="n">
        <f aca="false">BF8/BE8</f>
        <v>0.654246492237549</v>
      </c>
      <c r="BH8" s="81"/>
      <c r="BI8" s="85" t="n">
        <v>6</v>
      </c>
      <c r="BJ8" s="85" t="s">
        <v>7</v>
      </c>
      <c r="BK8" s="58" t="n">
        <v>3839.49681818182</v>
      </c>
      <c r="BL8" s="58" t="n">
        <v>2817.5</v>
      </c>
      <c r="BM8" s="93" t="n">
        <f aca="false">BL8/BK8</f>
        <v>0.733820115869823</v>
      </c>
      <c r="BN8" s="81"/>
      <c r="BO8" s="85" t="n">
        <v>6</v>
      </c>
      <c r="BP8" s="85" t="s">
        <v>13</v>
      </c>
      <c r="BQ8" s="58" t="n">
        <v>5199.17766666667</v>
      </c>
      <c r="BR8" s="58" t="n">
        <v>5441.55</v>
      </c>
      <c r="BS8" s="93" t="n">
        <f aca="false">BR8/BQ8</f>
        <v>1.04661743623174</v>
      </c>
      <c r="BT8" s="81"/>
      <c r="BU8" s="85" t="n">
        <v>6</v>
      </c>
      <c r="BV8" s="85" t="s">
        <v>20</v>
      </c>
      <c r="BW8" s="58" t="n">
        <v>3554.17122980769</v>
      </c>
      <c r="BX8" s="58" t="n">
        <v>4051.51</v>
      </c>
      <c r="BY8" s="93" t="n">
        <f aca="false">BX8/BW8</f>
        <v>1.13993101008226</v>
      </c>
      <c r="BZ8" s="81"/>
      <c r="CA8" s="85" t="n">
        <v>6</v>
      </c>
      <c r="CB8" s="85" t="s">
        <v>7</v>
      </c>
      <c r="CC8" s="58" t="n">
        <v>3949.32755769231</v>
      </c>
      <c r="CD8" s="58" t="n">
        <v>4626.51</v>
      </c>
      <c r="CE8" s="93" t="n">
        <f aca="false">CD8/CC8</f>
        <v>1.17146778341764</v>
      </c>
      <c r="CF8" s="81"/>
      <c r="CG8" s="85" t="n">
        <v>6</v>
      </c>
      <c r="CH8" s="85" t="s">
        <v>13</v>
      </c>
      <c r="CI8" s="86" t="n">
        <v>6207.68088028846</v>
      </c>
      <c r="CJ8" s="58" t="n">
        <v>5998.03</v>
      </c>
      <c r="CK8" s="93" t="n">
        <f aca="false">CJ8/CI8</f>
        <v>0.966227181401323</v>
      </c>
      <c r="CL8" s="81"/>
      <c r="CM8" s="85" t="n">
        <v>6</v>
      </c>
      <c r="CN8" s="85" t="s">
        <v>18</v>
      </c>
      <c r="CO8" s="86" t="n">
        <v>3518.0440625</v>
      </c>
      <c r="CP8" s="60" t="n">
        <v>1989.07</v>
      </c>
      <c r="CQ8" s="93" t="n">
        <f aca="false">CP8/CO8</f>
        <v>0.565390871934254</v>
      </c>
      <c r="CR8" s="81"/>
      <c r="CS8" s="85" t="n">
        <v>6</v>
      </c>
      <c r="CT8" s="85" t="s">
        <v>9</v>
      </c>
      <c r="CU8" s="86" t="n">
        <v>3452.2635</v>
      </c>
      <c r="CV8" s="58" t="n">
        <v>1952.52</v>
      </c>
      <c r="CW8" s="93" t="n">
        <f aca="false">CV8/CU8</f>
        <v>0.565576758552758</v>
      </c>
      <c r="CX8" s="81"/>
      <c r="CY8" s="85" t="n">
        <v>6</v>
      </c>
      <c r="CZ8" s="85" t="s">
        <v>13</v>
      </c>
      <c r="DA8" s="86" t="n">
        <v>5263.61373958333</v>
      </c>
      <c r="DB8" s="58" t="n">
        <v>3387.03</v>
      </c>
      <c r="DC8" s="93" t="n">
        <f aca="false">DB8/DA8</f>
        <v>0.643479967864838</v>
      </c>
      <c r="DD8" s="81"/>
      <c r="DE8" s="85" t="n">
        <v>6</v>
      </c>
      <c r="DF8" s="85" t="s">
        <v>20</v>
      </c>
      <c r="DG8" s="86" t="n">
        <v>3652.4061875</v>
      </c>
      <c r="DH8" s="58" t="n">
        <v>2849.68</v>
      </c>
      <c r="DI8" s="93" t="n">
        <f aca="false">DH8/DG8</f>
        <v>0.780219902636445</v>
      </c>
      <c r="DJ8" s="81"/>
      <c r="DK8" s="85" t="n">
        <v>6</v>
      </c>
      <c r="DL8" s="85" t="s">
        <v>11</v>
      </c>
      <c r="DM8" s="86" t="n">
        <v>3230.885088</v>
      </c>
      <c r="DN8" s="58" t="n">
        <v>2656.51</v>
      </c>
      <c r="DO8" s="93" t="n">
        <f aca="false">DN8/DM8</f>
        <v>0.822223609829605</v>
      </c>
      <c r="DP8" s="81"/>
      <c r="DQ8" s="85" t="n">
        <v>6</v>
      </c>
      <c r="DR8" s="85" t="s">
        <v>17</v>
      </c>
      <c r="DS8" s="86" t="n">
        <v>3162.9469375</v>
      </c>
      <c r="DT8" s="58" t="n">
        <v>5339.56</v>
      </c>
      <c r="DU8" s="93" t="n">
        <f aca="false">DT8/DS8</f>
        <v>1.68815984128409</v>
      </c>
      <c r="DV8" s="81"/>
      <c r="DW8" s="85" t="n">
        <v>6</v>
      </c>
      <c r="DX8" s="85" t="s">
        <v>7</v>
      </c>
      <c r="DY8" s="86" t="n">
        <v>3406.579505</v>
      </c>
      <c r="DZ8" s="58" t="n">
        <v>2361.06</v>
      </c>
      <c r="EA8" s="93" t="n">
        <f aca="false">DZ8/DY8</f>
        <v>0.69308818318626</v>
      </c>
      <c r="EB8" s="81"/>
      <c r="EC8" s="85" t="n">
        <v>6</v>
      </c>
      <c r="ED8" s="85" t="s">
        <v>11</v>
      </c>
      <c r="EE8" s="86" t="n">
        <v>3996.95769230769</v>
      </c>
      <c r="EF8" s="58" t="n">
        <v>2907.85</v>
      </c>
      <c r="EG8" s="93" t="n">
        <f aca="false">EF8/EE8</f>
        <v>0.727515831752805</v>
      </c>
      <c r="EH8" s="100"/>
      <c r="EI8" s="85" t="n">
        <v>6</v>
      </c>
      <c r="EJ8" s="85" t="s">
        <v>18</v>
      </c>
      <c r="EK8" s="86" t="n">
        <v>3161.80644230769</v>
      </c>
      <c r="EL8" s="58" t="n">
        <v>2484</v>
      </c>
      <c r="EM8" s="93" t="n">
        <f aca="false">EL8/EK8</f>
        <v>0.785626838746972</v>
      </c>
      <c r="EN8" s="81"/>
      <c r="EO8" s="85" t="n">
        <v>6</v>
      </c>
      <c r="EP8" s="85" t="s">
        <v>9</v>
      </c>
      <c r="EQ8" s="86" t="n">
        <v>3504.97196296296</v>
      </c>
      <c r="ER8" s="58" t="n">
        <v>4774.27</v>
      </c>
      <c r="ES8" s="93" t="n">
        <f aca="false">ER8/EQ8</f>
        <v>1.36214213706977</v>
      </c>
      <c r="ET8" s="81"/>
      <c r="EU8" s="85" t="n">
        <v>6</v>
      </c>
      <c r="EV8" s="85" t="s">
        <v>9</v>
      </c>
      <c r="EW8" s="86" t="n">
        <v>3699.33934615385</v>
      </c>
      <c r="EX8" s="58" t="n">
        <v>4310.26</v>
      </c>
      <c r="EY8" s="93" t="n">
        <f aca="false">EX8/EW8</f>
        <v>1.16514317738418</v>
      </c>
      <c r="FA8" s="85" t="n">
        <v>6</v>
      </c>
      <c r="FB8" s="85" t="s">
        <v>17</v>
      </c>
      <c r="FC8" s="86" t="n">
        <v>5046.12053846154</v>
      </c>
      <c r="FD8" s="58" t="n">
        <v>3215.25</v>
      </c>
      <c r="FE8" s="93" t="n">
        <f aca="false">FD8/FC8</f>
        <v>0.637172650849967</v>
      </c>
      <c r="FG8" s="85" t="n">
        <v>6</v>
      </c>
      <c r="FH8" s="85" t="s">
        <v>20</v>
      </c>
      <c r="FI8" s="86" t="n">
        <v>3878.677</v>
      </c>
      <c r="FJ8" s="58" t="n">
        <v>2852.76</v>
      </c>
      <c r="FK8" s="93" t="n">
        <f aca="false">FJ8/FI8</f>
        <v>0.735498212405931</v>
      </c>
      <c r="FL8" s="100"/>
      <c r="FM8" s="85" t="n">
        <v>6</v>
      </c>
      <c r="FN8" s="85" t="s">
        <v>11</v>
      </c>
      <c r="FO8" s="86" t="n">
        <v>3504.46842307692</v>
      </c>
      <c r="FP8" s="58" t="n">
        <v>2939.29</v>
      </c>
      <c r="FQ8" s="93" t="n">
        <f aca="false">FP8/FO8</f>
        <v>0.838726347381183</v>
      </c>
      <c r="FS8" s="85" t="n">
        <v>6</v>
      </c>
      <c r="FT8" s="85" t="s">
        <v>17</v>
      </c>
      <c r="FU8" s="86" t="n">
        <v>4348.39307692308</v>
      </c>
      <c r="FV8" s="58" t="n">
        <v>3583.24</v>
      </c>
      <c r="FW8" s="93" t="n">
        <f aca="false">FV8/FU8</f>
        <v>0.824037739140064</v>
      </c>
      <c r="FY8" s="85" t="n">
        <v>6</v>
      </c>
      <c r="FZ8" s="85" t="s">
        <v>7</v>
      </c>
      <c r="GA8" s="86" t="n">
        <v>3303.29538461538</v>
      </c>
      <c r="GB8" s="58" t="n">
        <v>2101.01</v>
      </c>
      <c r="GC8" s="93" t="n">
        <f aca="false">GB8/GA8</f>
        <v>0.636034551976535</v>
      </c>
      <c r="GE8" s="7" t="n">
        <v>6</v>
      </c>
      <c r="GF8" s="7" t="s">
        <v>13</v>
      </c>
      <c r="GG8" s="3" t="n">
        <v>4334.40196296296</v>
      </c>
      <c r="GH8" s="10" t="n">
        <v>3452.51</v>
      </c>
      <c r="GI8" s="93" t="n">
        <f aca="false">GH8/GG8</f>
        <v>0.796536645539883</v>
      </c>
      <c r="GK8" s="7" t="n">
        <v>6</v>
      </c>
      <c r="GL8" s="7" t="s">
        <v>18</v>
      </c>
      <c r="GM8" s="21" t="n">
        <v>2544.11846153846</v>
      </c>
      <c r="GN8" s="10" t="n">
        <v>4037.02</v>
      </c>
      <c r="GO8" s="93" t="n">
        <f aca="false">GN8/GM8</f>
        <v>1.58680504112956</v>
      </c>
      <c r="GQ8" s="7" t="n">
        <v>6</v>
      </c>
      <c r="GR8" s="7" t="s">
        <v>9</v>
      </c>
      <c r="GS8" s="21" t="n">
        <v>3624.13779903846</v>
      </c>
      <c r="GT8" s="10" t="n">
        <v>3006.26</v>
      </c>
      <c r="GU8" s="93" t="n">
        <f aca="false">GT8/GS8</f>
        <v>0.829510401287061</v>
      </c>
      <c r="GW8" s="7" t="n">
        <v>6</v>
      </c>
      <c r="GX8" s="7" t="s">
        <v>13</v>
      </c>
      <c r="GY8" s="21" t="n">
        <v>3969.18954166667</v>
      </c>
      <c r="GZ8" s="10" t="n">
        <v>4037.5</v>
      </c>
      <c r="HA8" s="93" t="n">
        <f aca="false">GZ8/GY8</f>
        <v>1.017210177951</v>
      </c>
      <c r="HC8" s="7" t="n">
        <v>6</v>
      </c>
      <c r="HD8" s="7" t="s">
        <v>20</v>
      </c>
      <c r="HE8" s="3" t="n">
        <v>2287.03039583333</v>
      </c>
      <c r="HF8" s="8" t="n">
        <v>2457.51</v>
      </c>
      <c r="HG8" s="93" t="n">
        <f aca="false">HF8/HE8</f>
        <v>1.07454190572948</v>
      </c>
      <c r="HI8" s="7" t="n">
        <v>6</v>
      </c>
      <c r="HJ8" s="7" t="s">
        <v>11</v>
      </c>
      <c r="HK8" s="3" t="n">
        <v>3092.86366666667</v>
      </c>
      <c r="HL8" s="8" t="n">
        <v>2657.5</v>
      </c>
      <c r="HM8" s="93" t="n">
        <f aca="false">HL8/HK8</f>
        <v>0.85923606288929</v>
      </c>
      <c r="HO8" s="7" t="n">
        <v>6</v>
      </c>
      <c r="HP8" s="7" t="s">
        <v>11</v>
      </c>
      <c r="HQ8" s="3" t="n">
        <v>3011.866</v>
      </c>
      <c r="HR8" s="8" t="n">
        <v>2130.5</v>
      </c>
      <c r="HS8" s="93" t="n">
        <f aca="false">HR8/HQ8</f>
        <v>0.707368787323208</v>
      </c>
      <c r="HU8" s="7" t="n">
        <v>6</v>
      </c>
      <c r="HV8" s="7" t="s">
        <v>18</v>
      </c>
      <c r="HW8" s="3" t="n">
        <v>2460.242125</v>
      </c>
      <c r="HX8" s="8" t="n">
        <v>1649.01</v>
      </c>
      <c r="HY8" s="93" t="n">
        <f aca="false">HX8/HW8</f>
        <v>0.670263297763833</v>
      </c>
      <c r="HZ8" s="100"/>
      <c r="IA8" s="7" t="n">
        <v>6</v>
      </c>
      <c r="IB8" s="7" t="s">
        <v>7</v>
      </c>
      <c r="IC8" s="3" t="n">
        <v>2953.77090909091</v>
      </c>
      <c r="ID8" s="8" t="n">
        <v>3419.5</v>
      </c>
      <c r="IE8" s="93" t="n">
        <f aca="false">ID8/IC8</f>
        <v>1.15767271912514</v>
      </c>
      <c r="IG8" s="7" t="n">
        <v>6</v>
      </c>
      <c r="IH8" s="7" t="s">
        <v>13</v>
      </c>
      <c r="II8" s="3" t="n">
        <v>4812.18420833333</v>
      </c>
      <c r="IJ8" s="8" t="n">
        <v>4887.5</v>
      </c>
      <c r="IK8" s="93" t="n">
        <f aca="false">IJ8/II8</f>
        <v>1.01565106163979</v>
      </c>
    </row>
    <row r="9" customFormat="false" ht="15.75" hidden="false" customHeight="false" outlineLevel="0" collapsed="false">
      <c r="A9" s="85" t="n">
        <v>7</v>
      </c>
      <c r="B9" s="85" t="s">
        <v>20</v>
      </c>
      <c r="C9" s="90" t="n">
        <v>2600</v>
      </c>
      <c r="D9" s="58" t="n">
        <v>2705.14</v>
      </c>
      <c r="E9" s="91" t="n">
        <f aca="false">D9/C9</f>
        <v>1.04043846153846</v>
      </c>
      <c r="F9" s="81"/>
      <c r="G9" s="85" t="n">
        <v>7</v>
      </c>
      <c r="H9" s="85" t="s">
        <v>20</v>
      </c>
      <c r="I9" s="92" t="n">
        <v>3785.785</v>
      </c>
      <c r="J9" s="86" t="n">
        <v>2828.5</v>
      </c>
      <c r="K9" s="93" t="n">
        <f aca="false">J9/I9</f>
        <v>0.747136987441178</v>
      </c>
      <c r="L9" s="81"/>
      <c r="M9" s="85" t="n">
        <v>7</v>
      </c>
      <c r="N9" s="85" t="s">
        <v>11</v>
      </c>
      <c r="O9" s="86" t="n">
        <v>3468.6145</v>
      </c>
      <c r="P9" s="86" t="n">
        <v>4051.5</v>
      </c>
      <c r="Q9" s="93" t="n">
        <f aca="false">P9/O9</f>
        <v>1.16804562744001</v>
      </c>
      <c r="R9" s="81"/>
      <c r="S9" s="85" t="n">
        <v>7</v>
      </c>
      <c r="T9" s="85" t="s">
        <v>17</v>
      </c>
      <c r="U9" s="58" t="n">
        <v>4046.23923076923</v>
      </c>
      <c r="V9" s="58" t="n">
        <v>4180.5</v>
      </c>
      <c r="W9" s="93" t="n">
        <f aca="false">V9/U9</f>
        <v>1.03318161917115</v>
      </c>
      <c r="X9" s="81"/>
      <c r="Y9" s="101" t="n">
        <v>7</v>
      </c>
      <c r="Z9" s="85" t="s">
        <v>7</v>
      </c>
      <c r="AA9" s="95" t="n">
        <v>3016.24352941176</v>
      </c>
      <c r="AB9" s="58" t="n">
        <v>3011.5</v>
      </c>
      <c r="AC9" s="93" t="n">
        <f aca="false">AB9/AA9</f>
        <v>0.998427338719336</v>
      </c>
      <c r="AD9" s="81"/>
      <c r="AE9" s="101" t="n">
        <v>7</v>
      </c>
      <c r="AF9" s="97" t="s">
        <v>11</v>
      </c>
      <c r="AG9" s="95" t="n">
        <v>3548.44762608696</v>
      </c>
      <c r="AH9" s="58" t="n">
        <v>2952.01</v>
      </c>
      <c r="AI9" s="93" t="n">
        <f aca="false">AH9/AG9</f>
        <v>0.831915899870649</v>
      </c>
      <c r="AJ9" s="81"/>
      <c r="AK9" s="101" t="n">
        <v>7</v>
      </c>
      <c r="AL9" s="85" t="s">
        <v>18</v>
      </c>
      <c r="AM9" s="58" t="n">
        <v>2705.10176086957</v>
      </c>
      <c r="AN9" s="58" t="n">
        <v>2794.5</v>
      </c>
      <c r="AO9" s="93" t="n">
        <f aca="false">AN9/AM9</f>
        <v>1.03304801335891</v>
      </c>
      <c r="AP9" s="81"/>
      <c r="AQ9" s="85" t="n">
        <v>7</v>
      </c>
      <c r="AR9" s="85" t="s">
        <v>9</v>
      </c>
      <c r="AS9" s="58" t="n">
        <v>3620.97675</v>
      </c>
      <c r="AT9" s="58" t="n">
        <v>4629</v>
      </c>
      <c r="AU9" s="93" t="n">
        <f aca="false">AT9/AS9</f>
        <v>1.27838434753827</v>
      </c>
      <c r="AV9" s="81"/>
      <c r="AW9" s="85" t="n">
        <v>7</v>
      </c>
      <c r="AX9" s="85" t="s">
        <v>13</v>
      </c>
      <c r="AY9" s="58" t="n">
        <v>5060.51798571429</v>
      </c>
      <c r="AZ9" s="58" t="n">
        <v>6836</v>
      </c>
      <c r="BA9" s="93" t="n">
        <f aca="false">AZ9/AY9</f>
        <v>1.35084985752404</v>
      </c>
      <c r="BB9" s="81"/>
      <c r="BC9" s="85" t="n">
        <v>7</v>
      </c>
      <c r="BD9" s="85" t="s">
        <v>20</v>
      </c>
      <c r="BE9" s="58" t="n">
        <v>3379.77075</v>
      </c>
      <c r="BF9" s="58" t="n">
        <v>3034.5</v>
      </c>
      <c r="BG9" s="93" t="n">
        <f aca="false">BF9/BE9</f>
        <v>0.897841961618255</v>
      </c>
      <c r="BH9" s="81"/>
      <c r="BI9" s="85" t="n">
        <v>7</v>
      </c>
      <c r="BJ9" s="85" t="s">
        <v>9</v>
      </c>
      <c r="BK9" s="58" t="n">
        <v>3758.82436363636</v>
      </c>
      <c r="BL9" s="58" t="n">
        <v>3965.53</v>
      </c>
      <c r="BM9" s="93" t="n">
        <f aca="false">BL9/BK9</f>
        <v>1.05499209762588</v>
      </c>
      <c r="BN9" s="81"/>
      <c r="BO9" s="85" t="n">
        <v>7</v>
      </c>
      <c r="BP9" s="85" t="s">
        <v>17</v>
      </c>
      <c r="BQ9" s="58" t="n">
        <v>5304.46266</v>
      </c>
      <c r="BR9" s="58" t="n">
        <v>4982</v>
      </c>
      <c r="BS9" s="93" t="n">
        <f aca="false">BR9/BQ9</f>
        <v>0.93920917524189</v>
      </c>
      <c r="BT9" s="81"/>
      <c r="BU9" s="85" t="n">
        <v>7</v>
      </c>
      <c r="BV9" s="85" t="s">
        <v>7</v>
      </c>
      <c r="BW9" s="58" t="n">
        <v>3944.74966442308</v>
      </c>
      <c r="BX9" s="58" t="n">
        <v>3850</v>
      </c>
      <c r="BY9" s="93" t="n">
        <f aca="false">BX9/BW9</f>
        <v>0.975980816912767</v>
      </c>
      <c r="BZ9" s="81"/>
      <c r="CA9" s="85" t="n">
        <v>7</v>
      </c>
      <c r="CB9" s="85" t="s">
        <v>9</v>
      </c>
      <c r="CC9" s="58" t="n">
        <v>3966.21415384615</v>
      </c>
      <c r="CD9" s="58" t="n">
        <v>4090.51</v>
      </c>
      <c r="CE9" s="93" t="n">
        <f aca="false">CD9/CC9</f>
        <v>1.03133866234462</v>
      </c>
      <c r="CF9" s="81"/>
      <c r="CG9" s="85" t="n">
        <v>7</v>
      </c>
      <c r="CH9" s="85" t="s">
        <v>17</v>
      </c>
      <c r="CI9" s="86" t="n">
        <v>6371.97246875</v>
      </c>
      <c r="CJ9" s="58" t="n">
        <v>4436.54</v>
      </c>
      <c r="CK9" s="93" t="n">
        <f aca="false">CJ9/CI9</f>
        <v>0.696258501077661</v>
      </c>
      <c r="CL9" s="81"/>
      <c r="CM9" s="85" t="n">
        <v>7</v>
      </c>
      <c r="CN9" s="85" t="s">
        <v>20</v>
      </c>
      <c r="CO9" s="86" t="n">
        <v>4420.4125625</v>
      </c>
      <c r="CP9" s="60" t="n">
        <v>2624.08</v>
      </c>
      <c r="CQ9" s="93" t="n">
        <f aca="false">CP9/CO9</f>
        <v>0.593627848735443</v>
      </c>
      <c r="CR9" s="81"/>
      <c r="CS9" s="85" t="n">
        <v>7</v>
      </c>
      <c r="CT9" s="85" t="s">
        <v>11</v>
      </c>
      <c r="CU9" s="86" t="n">
        <v>3827.424</v>
      </c>
      <c r="CV9" s="58" t="n">
        <v>2451.6</v>
      </c>
      <c r="CW9" s="93" t="n">
        <f aca="false">CV9/CU9</f>
        <v>0.640535252953422</v>
      </c>
      <c r="CX9" s="81"/>
      <c r="CY9" s="85" t="n">
        <v>7</v>
      </c>
      <c r="CZ9" s="85" t="s">
        <v>17</v>
      </c>
      <c r="DA9" s="86" t="n">
        <v>4936.90694791667</v>
      </c>
      <c r="DB9" s="58" t="n">
        <v>3640</v>
      </c>
      <c r="DC9" s="93" t="n">
        <f aca="false">DB9/DA9</f>
        <v>0.737303748764405</v>
      </c>
      <c r="DD9" s="81"/>
      <c r="DE9" s="85" t="n">
        <v>7</v>
      </c>
      <c r="DF9" s="85" t="s">
        <v>7</v>
      </c>
      <c r="DG9" s="86" t="n">
        <v>3405.940125</v>
      </c>
      <c r="DH9" s="58" t="n">
        <v>1872.57</v>
      </c>
      <c r="DI9" s="93" t="n">
        <f aca="false">DH9/DG9</f>
        <v>0.549795337344634</v>
      </c>
      <c r="DJ9" s="81"/>
      <c r="DK9" s="85" t="n">
        <v>7</v>
      </c>
      <c r="DL9" s="85" t="s">
        <v>13</v>
      </c>
      <c r="DM9" s="86" t="n">
        <v>4178.504736</v>
      </c>
      <c r="DN9" s="58" t="n">
        <v>3874</v>
      </c>
      <c r="DO9" s="93" t="n">
        <f aca="false">DN9/DM9</f>
        <v>0.927125908611152</v>
      </c>
      <c r="DP9" s="81"/>
      <c r="DQ9" s="85" t="n">
        <v>7</v>
      </c>
      <c r="DR9" s="85" t="s">
        <v>18</v>
      </c>
      <c r="DS9" s="86" t="n">
        <v>2653.7599375</v>
      </c>
      <c r="DT9" s="58" t="n">
        <v>4573.11</v>
      </c>
      <c r="DU9" s="93" t="n">
        <f aca="false">DT9/DS9</f>
        <v>1.72325685356006</v>
      </c>
      <c r="DV9" s="81"/>
      <c r="DW9" s="85" t="n">
        <v>7</v>
      </c>
      <c r="DX9" s="85" t="s">
        <v>9</v>
      </c>
      <c r="DY9" s="86" t="n">
        <v>3326.5761375</v>
      </c>
      <c r="DZ9" s="58" t="n">
        <v>5680.52</v>
      </c>
      <c r="EA9" s="93" t="n">
        <f aca="false">DZ9/DY9</f>
        <v>1.70761761198379</v>
      </c>
      <c r="EB9" s="81"/>
      <c r="EC9" s="85" t="n">
        <v>7</v>
      </c>
      <c r="ED9" s="85" t="s">
        <v>13</v>
      </c>
      <c r="EE9" s="86" t="n">
        <v>4853.73777777778</v>
      </c>
      <c r="EF9" s="58" t="n">
        <v>3392.75</v>
      </c>
      <c r="EG9" s="93" t="n">
        <f aca="false">EF9/EE9</f>
        <v>0.698997382086291</v>
      </c>
      <c r="EH9" s="100"/>
      <c r="EI9" s="85" t="n">
        <v>7</v>
      </c>
      <c r="EJ9" s="85" t="s">
        <v>20</v>
      </c>
      <c r="EK9" s="86" t="n">
        <v>3526.95252</v>
      </c>
      <c r="EL9" s="58" t="n">
        <v>3829.85</v>
      </c>
      <c r="EM9" s="93" t="n">
        <f aca="false">EL9/EK9</f>
        <v>1.08588079320104</v>
      </c>
      <c r="EN9" s="81"/>
      <c r="EO9" s="85" t="n">
        <v>7</v>
      </c>
      <c r="EP9" s="85" t="s">
        <v>11</v>
      </c>
      <c r="EQ9" s="86" t="n">
        <v>3756.49266666667</v>
      </c>
      <c r="ER9" s="58" t="n">
        <v>5214.75</v>
      </c>
      <c r="ES9" s="93" t="n">
        <f aca="false">ER9/EQ9</f>
        <v>1.38819650741587</v>
      </c>
      <c r="ET9" s="81"/>
      <c r="EU9" s="85" t="n">
        <v>7</v>
      </c>
      <c r="EV9" s="85" t="s">
        <v>11</v>
      </c>
      <c r="EW9" s="86" t="n">
        <v>4094.86380769231</v>
      </c>
      <c r="EX9" s="58" t="n">
        <v>4051.5</v>
      </c>
      <c r="EY9" s="93" t="n">
        <f aca="false">EX9/EW9</f>
        <v>0.9894101953743</v>
      </c>
      <c r="FA9" s="85" t="n">
        <v>7</v>
      </c>
      <c r="FB9" s="85" t="s">
        <v>18</v>
      </c>
      <c r="FC9" s="86" t="n">
        <v>3488.60176923077</v>
      </c>
      <c r="FD9" s="58" t="n">
        <v>2848.51</v>
      </c>
      <c r="FE9" s="93" t="n">
        <f aca="false">FD9/FC9</f>
        <v>0.816519106629958</v>
      </c>
      <c r="FG9" s="85" t="n">
        <v>7</v>
      </c>
      <c r="FH9" s="85" t="s">
        <v>7</v>
      </c>
      <c r="FI9" s="86" t="n">
        <v>3929.07108</v>
      </c>
      <c r="FJ9" s="58" t="n">
        <v>2315.5</v>
      </c>
      <c r="FK9" s="93" t="n">
        <f aca="false">FJ9/FI9</f>
        <v>0.589325047283186</v>
      </c>
      <c r="FL9" s="100"/>
      <c r="FM9" s="85" t="n">
        <v>7</v>
      </c>
      <c r="FN9" s="85" t="s">
        <v>13</v>
      </c>
      <c r="FO9" s="86" t="n">
        <v>4887.0415</v>
      </c>
      <c r="FP9" s="58" t="n">
        <v>3811.75</v>
      </c>
      <c r="FQ9" s="93" t="n">
        <f aca="false">FP9/FO9</f>
        <v>0.779970867855327</v>
      </c>
      <c r="FS9" s="85" t="n">
        <v>7</v>
      </c>
      <c r="FT9" s="85" t="s">
        <v>18</v>
      </c>
      <c r="FU9" s="86" t="n">
        <v>2816.69469230769</v>
      </c>
      <c r="FV9" s="58" t="n">
        <v>3226</v>
      </c>
      <c r="FW9" s="93" t="n">
        <f aca="false">FV9/FU9</f>
        <v>1.1453140479904</v>
      </c>
      <c r="FY9" s="85" t="n">
        <v>7</v>
      </c>
      <c r="FZ9" s="85" t="s">
        <v>9</v>
      </c>
      <c r="GA9" s="86" t="n">
        <v>3318.94157692308</v>
      </c>
      <c r="GB9" s="58" t="n">
        <v>2547.42</v>
      </c>
      <c r="GC9" s="93" t="n">
        <f aca="false">GB9/GA9</f>
        <v>0.767539874070835</v>
      </c>
      <c r="GE9" s="7" t="n">
        <v>7</v>
      </c>
      <c r="GF9" s="7" t="s">
        <v>17</v>
      </c>
      <c r="GG9" s="3" t="n">
        <v>3846.46377777778</v>
      </c>
      <c r="GH9" s="10" t="n">
        <v>3052.5</v>
      </c>
      <c r="GI9" s="93" t="n">
        <f aca="false">GH9/GG9</f>
        <v>0.79358605107248</v>
      </c>
      <c r="GK9" s="7" t="n">
        <v>7</v>
      </c>
      <c r="GL9" s="7" t="s">
        <v>20</v>
      </c>
      <c r="GM9" s="3" t="n">
        <v>2506.32326923077</v>
      </c>
      <c r="GN9" s="10" t="n">
        <v>5475.01</v>
      </c>
      <c r="GO9" s="93" t="n">
        <f aca="false">GN9/GM9</f>
        <v>2.18447878101549</v>
      </c>
      <c r="GQ9" s="7" t="n">
        <v>7</v>
      </c>
      <c r="GR9" s="7" t="s">
        <v>11</v>
      </c>
      <c r="GS9" s="3" t="n">
        <v>3463.70379807693</v>
      </c>
      <c r="GT9" s="10" t="n">
        <v>3303.75</v>
      </c>
      <c r="GU9" s="93" t="n">
        <f aca="false">GT9/GS9</f>
        <v>0.953820012506342</v>
      </c>
      <c r="GW9" s="7" t="n">
        <v>7</v>
      </c>
      <c r="GX9" s="7" t="s">
        <v>17</v>
      </c>
      <c r="GY9" s="3" t="n">
        <v>4064.60462</v>
      </c>
      <c r="GZ9" s="10" t="n">
        <v>3251.01</v>
      </c>
      <c r="HA9" s="93" t="n">
        <f aca="false">GZ9/GY9</f>
        <v>0.799834253005401</v>
      </c>
      <c r="HC9" s="7" t="n">
        <v>7</v>
      </c>
      <c r="HD9" s="7" t="s">
        <v>7</v>
      </c>
      <c r="HE9" s="32" t="n">
        <v>2757.4024375</v>
      </c>
      <c r="HF9" s="8" t="n">
        <v>3659</v>
      </c>
      <c r="HG9" s="93" t="n">
        <f aca="false">HF9/HE9</f>
        <v>1.32697351327412</v>
      </c>
      <c r="HI9" s="7" t="n">
        <v>7</v>
      </c>
      <c r="HJ9" s="7" t="s">
        <v>13</v>
      </c>
      <c r="HK9" s="32" t="n">
        <v>4778.57114814815</v>
      </c>
      <c r="HL9" s="8" t="n">
        <v>5130</v>
      </c>
      <c r="HM9" s="93" t="n">
        <f aca="false">HL9/HK9</f>
        <v>1.0735426638961</v>
      </c>
      <c r="HO9" s="7" t="n">
        <v>7</v>
      </c>
      <c r="HP9" s="7" t="s">
        <v>13</v>
      </c>
      <c r="HQ9" s="32" t="n">
        <v>4793.87107692308</v>
      </c>
      <c r="HR9" s="8" t="n">
        <v>3652.01</v>
      </c>
      <c r="HS9" s="93" t="n">
        <f aca="false">HR9/HQ9</f>
        <v>0.761808138224698</v>
      </c>
      <c r="HU9" s="7" t="n">
        <v>7</v>
      </c>
      <c r="HV9" s="7" t="s">
        <v>20</v>
      </c>
      <c r="HW9" s="32" t="n">
        <v>2676.452625</v>
      </c>
      <c r="HX9" s="8" t="n">
        <v>1514</v>
      </c>
      <c r="HY9" s="93" t="n">
        <f aca="false">HX9/HW9</f>
        <v>0.565674126213984</v>
      </c>
      <c r="HZ9" s="100"/>
      <c r="IA9" s="7" t="n">
        <v>7</v>
      </c>
      <c r="IB9" s="7" t="s">
        <v>9</v>
      </c>
      <c r="IC9" s="32" t="n">
        <v>2785.5702</v>
      </c>
      <c r="ID9" s="8" t="n">
        <v>3043.5</v>
      </c>
      <c r="IE9" s="93" t="n">
        <f aca="false">ID9/IC9</f>
        <v>1.09259497391234</v>
      </c>
      <c r="IG9" s="7" t="n">
        <v>7</v>
      </c>
      <c r="IH9" s="7" t="s">
        <v>17</v>
      </c>
      <c r="II9" s="32" t="n">
        <v>4517.60925</v>
      </c>
      <c r="IJ9" s="8" t="n">
        <v>2861.5</v>
      </c>
      <c r="IK9" s="93" t="n">
        <f aca="false">IJ9/II9</f>
        <v>0.633410249016114</v>
      </c>
    </row>
    <row r="10" customFormat="false" ht="15.75" hidden="false" customHeight="false" outlineLevel="0" collapsed="false">
      <c r="A10" s="85" t="n">
        <v>8</v>
      </c>
      <c r="B10" s="85" t="s">
        <v>7</v>
      </c>
      <c r="C10" s="90" t="n">
        <v>2400</v>
      </c>
      <c r="D10" s="58" t="n">
        <v>2399.9</v>
      </c>
      <c r="E10" s="91" t="n">
        <f aca="false">D10/C10</f>
        <v>0.999958333333333</v>
      </c>
      <c r="F10" s="81"/>
      <c r="G10" s="85" t="n">
        <v>8</v>
      </c>
      <c r="H10" s="85" t="s">
        <v>7</v>
      </c>
      <c r="I10" s="92" t="n">
        <v>3528.2075</v>
      </c>
      <c r="J10" s="86" t="n">
        <v>3716</v>
      </c>
      <c r="K10" s="93" t="n">
        <f aca="false">J10/I10</f>
        <v>1.05322603616709</v>
      </c>
      <c r="L10" s="81"/>
      <c r="M10" s="85" t="n">
        <v>8</v>
      </c>
      <c r="N10" s="85" t="s">
        <v>13</v>
      </c>
      <c r="O10" s="86" t="n">
        <v>4968.2295</v>
      </c>
      <c r="P10" s="86" t="n">
        <v>5664.5</v>
      </c>
      <c r="Q10" s="93" t="n">
        <f aca="false">P10/O10</f>
        <v>1.14014459275684</v>
      </c>
      <c r="R10" s="81"/>
      <c r="S10" s="85" t="n">
        <v>8</v>
      </c>
      <c r="T10" s="85" t="s">
        <v>18</v>
      </c>
      <c r="U10" s="58" t="n">
        <v>2494.38333333333</v>
      </c>
      <c r="V10" s="58" t="n">
        <v>1962</v>
      </c>
      <c r="W10" s="93" t="n">
        <f aca="false">V10/U10</f>
        <v>0.786567154206452</v>
      </c>
      <c r="X10" s="81"/>
      <c r="Y10" s="101" t="n">
        <v>8</v>
      </c>
      <c r="Z10" s="85" t="s">
        <v>9</v>
      </c>
      <c r="AA10" s="95" t="n">
        <v>2559.51111111111</v>
      </c>
      <c r="AB10" s="58" t="n">
        <v>4296</v>
      </c>
      <c r="AC10" s="93" t="n">
        <f aca="false">AB10/AA10</f>
        <v>1.67844553647398</v>
      </c>
      <c r="AD10" s="81"/>
      <c r="AE10" s="101" t="n">
        <v>8</v>
      </c>
      <c r="AF10" s="97" t="s">
        <v>13</v>
      </c>
      <c r="AG10" s="95" t="n">
        <v>4238.41114090909</v>
      </c>
      <c r="AH10" s="58" t="n">
        <v>2952.01</v>
      </c>
      <c r="AI10" s="93" t="n">
        <f aca="false">AH10/AG10</f>
        <v>0.696489769835502</v>
      </c>
      <c r="AJ10" s="81"/>
      <c r="AK10" s="101" t="n">
        <v>8</v>
      </c>
      <c r="AL10" s="85" t="s">
        <v>20</v>
      </c>
      <c r="AM10" s="58" t="n">
        <v>3417.11331818182</v>
      </c>
      <c r="AN10" s="58" t="n">
        <v>3748.51</v>
      </c>
      <c r="AO10" s="93" t="n">
        <f aca="false">AN10/AM10</f>
        <v>1.09698147265263</v>
      </c>
      <c r="AP10" s="81"/>
      <c r="AQ10" s="85" t="n">
        <v>8</v>
      </c>
      <c r="AR10" s="85" t="s">
        <v>11</v>
      </c>
      <c r="AS10" s="58" t="n">
        <v>3514.63915384615</v>
      </c>
      <c r="AT10" s="58" t="n">
        <v>3444</v>
      </c>
      <c r="AU10" s="93" t="n">
        <f aca="false">AT10/AS10</f>
        <v>0.97990144912349</v>
      </c>
      <c r="AV10" s="81"/>
      <c r="AW10" s="85" t="n">
        <v>8</v>
      </c>
      <c r="AX10" s="85" t="s">
        <v>17</v>
      </c>
      <c r="AY10" s="58" t="n">
        <v>4746.31186153846</v>
      </c>
      <c r="AZ10" s="58" t="n">
        <v>4521</v>
      </c>
      <c r="BA10" s="93" t="n">
        <f aca="false">AZ10/AY10</f>
        <v>0.952529065069604</v>
      </c>
      <c r="BB10" s="81"/>
      <c r="BC10" s="85" t="n">
        <v>8</v>
      </c>
      <c r="BD10" s="85" t="s">
        <v>7</v>
      </c>
      <c r="BE10" s="58" t="n">
        <v>3500.343</v>
      </c>
      <c r="BF10" s="58" t="n">
        <v>3194.02</v>
      </c>
      <c r="BG10" s="93" t="n">
        <f aca="false">BF10/BE10</f>
        <v>0.912487719060675</v>
      </c>
      <c r="BH10" s="81"/>
      <c r="BI10" s="85" t="n">
        <v>8</v>
      </c>
      <c r="BJ10" s="85" t="s">
        <v>11</v>
      </c>
      <c r="BK10" s="58" t="n">
        <v>4128.831</v>
      </c>
      <c r="BL10" s="58" t="n">
        <v>3688</v>
      </c>
      <c r="BM10" s="93" t="n">
        <f aca="false">BL10/BK10</f>
        <v>0.893231038034737</v>
      </c>
      <c r="BN10" s="81"/>
      <c r="BO10" s="85" t="n">
        <v>8</v>
      </c>
      <c r="BP10" s="85" t="s">
        <v>18</v>
      </c>
      <c r="BQ10" s="58" t="n">
        <v>3068.69284615385</v>
      </c>
      <c r="BR10" s="58" t="n">
        <v>2145.5</v>
      </c>
      <c r="BS10" s="93" t="n">
        <f aca="false">BR10/BQ10</f>
        <v>0.699157624292397</v>
      </c>
      <c r="BT10" s="81"/>
      <c r="BU10" s="85" t="n">
        <v>8</v>
      </c>
      <c r="BV10" s="85" t="s">
        <v>9</v>
      </c>
      <c r="BW10" s="58" t="n">
        <v>3978.47259519231</v>
      </c>
      <c r="BX10" s="58" t="n">
        <v>2967.53</v>
      </c>
      <c r="BY10" s="93" t="n">
        <f aca="false">BX10/BW10</f>
        <v>0.745896805619835</v>
      </c>
      <c r="BZ10" s="81"/>
      <c r="CA10" s="85" t="n">
        <v>8</v>
      </c>
      <c r="CB10" s="85" t="s">
        <v>11</v>
      </c>
      <c r="CC10" s="58" t="n">
        <v>4398.80697115385</v>
      </c>
      <c r="CD10" s="58" t="n">
        <v>6856.5</v>
      </c>
      <c r="CE10" s="93" t="n">
        <f aca="false">CD10/CC10</f>
        <v>1.55871808991916</v>
      </c>
      <c r="CF10" s="81"/>
      <c r="CG10" s="85" t="n">
        <v>8</v>
      </c>
      <c r="CH10" s="85" t="s">
        <v>18</v>
      </c>
      <c r="CI10" s="86" t="n">
        <v>3421.84686778846</v>
      </c>
      <c r="CJ10" s="58" t="n">
        <v>2049</v>
      </c>
      <c r="CK10" s="93" t="n">
        <f aca="false">CJ10/CI10</f>
        <v>0.598799443449166</v>
      </c>
      <c r="CL10" s="81"/>
      <c r="CM10" s="85" t="n">
        <v>8</v>
      </c>
      <c r="CN10" s="85" t="s">
        <v>7</v>
      </c>
      <c r="CO10" s="86" t="n">
        <v>4042.78086666667</v>
      </c>
      <c r="CP10" s="60" t="n">
        <v>2410.55</v>
      </c>
      <c r="CQ10" s="93" t="n">
        <f aca="false">CP10/CO10</f>
        <v>0.596260366193811</v>
      </c>
      <c r="CR10" s="81"/>
      <c r="CS10" s="85" t="n">
        <v>8</v>
      </c>
      <c r="CT10" s="85" t="s">
        <v>13</v>
      </c>
      <c r="CU10" s="86" t="n">
        <v>5622.48052631579</v>
      </c>
      <c r="CV10" s="58" t="n">
        <v>2090</v>
      </c>
      <c r="CW10" s="93" t="n">
        <f aca="false">CV10/CU10</f>
        <v>0.371722052253955</v>
      </c>
      <c r="CX10" s="81"/>
      <c r="CY10" s="85" t="n">
        <v>8</v>
      </c>
      <c r="CZ10" s="85" t="s">
        <v>18</v>
      </c>
      <c r="DA10" s="86" t="n">
        <v>2939.27120833333</v>
      </c>
      <c r="DB10" s="58" t="n">
        <v>3263.04</v>
      </c>
      <c r="DC10" s="93" t="n">
        <f aca="false">DB10/DA10</f>
        <v>1.11015274492151</v>
      </c>
      <c r="DD10" s="81"/>
      <c r="DE10" s="85" t="n">
        <v>8</v>
      </c>
      <c r="DF10" s="85" t="s">
        <v>9</v>
      </c>
      <c r="DG10" s="86" t="n">
        <v>3410.6576875</v>
      </c>
      <c r="DH10" s="58" t="n">
        <v>3432.62</v>
      </c>
      <c r="DI10" s="93" t="n">
        <f aca="false">DH10/DG10</f>
        <v>1.00643931889749</v>
      </c>
      <c r="DJ10" s="81"/>
      <c r="DK10" s="85" t="n">
        <v>8</v>
      </c>
      <c r="DL10" s="85" t="s">
        <v>17</v>
      </c>
      <c r="DM10" s="86" t="n">
        <v>3817.06353333333</v>
      </c>
      <c r="DN10" s="58" t="n">
        <v>2695.5</v>
      </c>
      <c r="DO10" s="93" t="n">
        <f aca="false">DN10/DM10</f>
        <v>0.706171112023933</v>
      </c>
      <c r="DP10" s="81"/>
      <c r="DQ10" s="85" t="n">
        <v>8</v>
      </c>
      <c r="DR10" s="85" t="s">
        <v>20</v>
      </c>
      <c r="DS10" s="86" t="n">
        <v>3195.7760625</v>
      </c>
      <c r="DT10" s="58" t="n">
        <v>4419.53</v>
      </c>
      <c r="DU10" s="93" t="n">
        <f aca="false">DT10/DS10</f>
        <v>1.38292856369375</v>
      </c>
      <c r="DV10" s="81"/>
      <c r="DW10" s="85" t="n">
        <v>8</v>
      </c>
      <c r="DX10" s="85" t="s">
        <v>11</v>
      </c>
      <c r="DY10" s="99" t="n">
        <v>3392.4293424</v>
      </c>
      <c r="DZ10" s="58" t="n">
        <v>6553.12</v>
      </c>
      <c r="EA10" s="93" t="n">
        <f aca="false">DZ10/DY10</f>
        <v>1.93168945867092</v>
      </c>
      <c r="EB10" s="81"/>
      <c r="EC10" s="85" t="n">
        <v>8</v>
      </c>
      <c r="ED10" s="85" t="s">
        <v>17</v>
      </c>
      <c r="EE10" s="99" t="n">
        <v>4361.21492307692</v>
      </c>
      <c r="EF10" s="58" t="n">
        <v>2658.25</v>
      </c>
      <c r="EG10" s="93" t="n">
        <f aca="false">EF10/EE10</f>
        <v>0.609520522809858</v>
      </c>
      <c r="EH10" s="100"/>
      <c r="EI10" s="85" t="n">
        <v>8</v>
      </c>
      <c r="EJ10" s="85" t="s">
        <v>7</v>
      </c>
      <c r="EK10" s="99" t="n">
        <v>3307.11473076923</v>
      </c>
      <c r="EL10" s="58" t="n">
        <v>4595.25</v>
      </c>
      <c r="EM10" s="93" t="n">
        <f aca="false">EL10/EK10</f>
        <v>1.38950425797026</v>
      </c>
      <c r="EN10" s="81"/>
      <c r="EO10" s="85" t="n">
        <v>8</v>
      </c>
      <c r="EP10" s="85" t="s">
        <v>13</v>
      </c>
      <c r="EQ10" s="99" t="n">
        <v>4710.96407692308</v>
      </c>
      <c r="ER10" s="58" t="n">
        <v>6359.77</v>
      </c>
      <c r="ES10" s="93" t="n">
        <f aca="false">ER10/EQ10</f>
        <v>1.34999331265413</v>
      </c>
      <c r="ET10" s="81"/>
      <c r="EU10" s="85" t="n">
        <v>8</v>
      </c>
      <c r="EV10" s="85" t="s">
        <v>13</v>
      </c>
      <c r="EW10" s="99" t="n">
        <v>5238.86836</v>
      </c>
      <c r="EX10" s="58" t="n">
        <v>6328.75</v>
      </c>
      <c r="EY10" s="93" t="n">
        <f aca="false">EX10/EW10</f>
        <v>1.20803760757218</v>
      </c>
      <c r="FA10" s="85" t="n">
        <v>8</v>
      </c>
      <c r="FB10" s="85" t="s">
        <v>20</v>
      </c>
      <c r="FC10" s="99" t="n">
        <v>3878.677</v>
      </c>
      <c r="FD10" s="58" t="n">
        <v>1988.75</v>
      </c>
      <c r="FE10" s="93" t="n">
        <f aca="false">FD10/FC10</f>
        <v>0.512739266507626</v>
      </c>
      <c r="FG10" s="85" t="n">
        <v>8</v>
      </c>
      <c r="FH10" s="85" t="s">
        <v>9</v>
      </c>
      <c r="FI10" s="99" t="n">
        <v>3926.07684615385</v>
      </c>
      <c r="FJ10" s="58" t="n">
        <v>2369.26</v>
      </c>
      <c r="FK10" s="93" t="n">
        <f aca="false">FJ10/FI10</f>
        <v>0.603467556250466</v>
      </c>
      <c r="FL10" s="100"/>
      <c r="FM10" s="85" t="n">
        <v>8</v>
      </c>
      <c r="FN10" s="85" t="s">
        <v>17</v>
      </c>
      <c r="FO10" s="99" t="n">
        <v>4213.64815384615</v>
      </c>
      <c r="FP10" s="58" t="n">
        <v>4635.29</v>
      </c>
      <c r="FQ10" s="93" t="n">
        <f aca="false">FP10/FO10</f>
        <v>1.10006574606116</v>
      </c>
      <c r="FS10" s="85" t="n">
        <v>8</v>
      </c>
      <c r="FT10" s="85" t="s">
        <v>20</v>
      </c>
      <c r="FU10" s="99" t="n">
        <v>2925.96392</v>
      </c>
      <c r="FV10" s="58" t="n">
        <v>1465.51</v>
      </c>
      <c r="FW10" s="93" t="n">
        <f aca="false">FV10/FU10</f>
        <v>0.500864002451541</v>
      </c>
      <c r="FY10" s="85" t="n">
        <v>8</v>
      </c>
      <c r="FZ10" s="85" t="s">
        <v>11</v>
      </c>
      <c r="GA10" s="99" t="n">
        <v>3374.18556</v>
      </c>
      <c r="GB10" s="58" t="n">
        <v>1932.5</v>
      </c>
      <c r="GC10" s="93" t="n">
        <f aca="false">GB10/GA10</f>
        <v>0.572730801444127</v>
      </c>
      <c r="GE10" s="7" t="n">
        <v>8</v>
      </c>
      <c r="GF10" s="7" t="s">
        <v>18</v>
      </c>
      <c r="GG10" s="21" t="n">
        <v>2544.11846153846</v>
      </c>
      <c r="GH10" s="10" t="n">
        <v>2873.5</v>
      </c>
      <c r="GI10" s="93" t="n">
        <f aca="false">GH10/GG10</f>
        <v>1.12946784650207</v>
      </c>
      <c r="GK10" s="7" t="n">
        <v>8</v>
      </c>
      <c r="GL10" s="7" t="s">
        <v>7</v>
      </c>
      <c r="GM10" s="3" t="n">
        <v>3098.37467307692</v>
      </c>
      <c r="GN10" s="10" t="n">
        <v>7205.5</v>
      </c>
      <c r="GO10" s="93" t="n">
        <f aca="false">GN10/GM10</f>
        <v>2.32557413492036</v>
      </c>
      <c r="GQ10" s="7" t="n">
        <v>8</v>
      </c>
      <c r="GR10" s="7" t="s">
        <v>13</v>
      </c>
      <c r="GS10" s="3" t="n">
        <v>4984.5622574074</v>
      </c>
      <c r="GT10" s="10" t="n">
        <v>5357.5</v>
      </c>
      <c r="GU10" s="93" t="n">
        <f aca="false">GT10/GS10</f>
        <v>1.07481855443543</v>
      </c>
      <c r="GW10" s="7" t="n">
        <v>8</v>
      </c>
      <c r="GX10" s="7" t="s">
        <v>18</v>
      </c>
      <c r="GY10" s="3" t="n">
        <v>2356.85408333333</v>
      </c>
      <c r="GZ10" s="10" t="n">
        <v>2690.5</v>
      </c>
      <c r="HA10" s="93" t="n">
        <f aca="false">GZ10/GY10</f>
        <v>1.1415640955569</v>
      </c>
      <c r="HC10" s="7" t="n">
        <v>8</v>
      </c>
      <c r="HD10" s="7" t="s">
        <v>9</v>
      </c>
      <c r="HE10" s="3" t="n">
        <v>3129.20941666667</v>
      </c>
      <c r="HF10" s="8" t="n">
        <v>2701.5</v>
      </c>
      <c r="HG10" s="93" t="n">
        <f aca="false">HF10/HE10</f>
        <v>0.863317100354926</v>
      </c>
      <c r="HI10" s="7" t="n">
        <v>8</v>
      </c>
      <c r="HJ10" s="7" t="s">
        <v>17</v>
      </c>
      <c r="HK10" s="3" t="n">
        <v>4579.57201923077</v>
      </c>
      <c r="HL10" s="8" t="n">
        <v>7023.5</v>
      </c>
      <c r="HM10" s="93" t="n">
        <f aca="false">HL10/HK10</f>
        <v>1.53365859746425</v>
      </c>
      <c r="HO10" s="7" t="n">
        <v>8</v>
      </c>
      <c r="HP10" s="7" t="s">
        <v>17</v>
      </c>
      <c r="HQ10" s="3" t="n">
        <v>4694.97776</v>
      </c>
      <c r="HR10" s="8" t="n">
        <v>3740.5</v>
      </c>
      <c r="HS10" s="93" t="n">
        <f aca="false">HR10/HQ10</f>
        <v>0.796702389491191</v>
      </c>
      <c r="HU10" s="7" t="n">
        <v>8</v>
      </c>
      <c r="HV10" s="7" t="s">
        <v>7</v>
      </c>
      <c r="HW10" s="3" t="n">
        <v>2951.8025</v>
      </c>
      <c r="HX10" s="8" t="n">
        <v>2793</v>
      </c>
      <c r="HY10" s="93" t="n">
        <f aca="false">HX10/HW10</f>
        <v>0.946201515853449</v>
      </c>
      <c r="HZ10" s="100"/>
      <c r="IA10" s="7" t="n">
        <v>8</v>
      </c>
      <c r="IB10" s="7" t="s">
        <v>11</v>
      </c>
      <c r="IC10" s="3" t="n">
        <v>2874.87833043478</v>
      </c>
      <c r="ID10" s="8" t="n">
        <v>1952</v>
      </c>
      <c r="IE10" s="93" t="n">
        <f aca="false">ID10/IC10</f>
        <v>0.678985256292494</v>
      </c>
      <c r="IG10" s="7" t="n">
        <v>8</v>
      </c>
      <c r="IH10" s="7" t="s">
        <v>18</v>
      </c>
      <c r="II10" s="3" t="n">
        <v>2441.72591666667</v>
      </c>
      <c r="IJ10" s="8" t="n">
        <v>1740.5</v>
      </c>
      <c r="IK10" s="93" t="n">
        <f aca="false">IJ10/II10</f>
        <v>0.712815467174158</v>
      </c>
    </row>
    <row r="11" customFormat="false" ht="15.75" hidden="false" customHeight="false" outlineLevel="0" collapsed="false">
      <c r="A11" s="85" t="n">
        <v>9</v>
      </c>
      <c r="B11" s="85" t="s">
        <v>9</v>
      </c>
      <c r="C11" s="90" t="n">
        <v>2900</v>
      </c>
      <c r="D11" s="58" t="n">
        <v>3475.38</v>
      </c>
      <c r="E11" s="91" t="n">
        <f aca="false">D11/C11</f>
        <v>1.19840689655172</v>
      </c>
      <c r="F11" s="81"/>
      <c r="G11" s="85" t="n">
        <v>9</v>
      </c>
      <c r="H11" s="85" t="s">
        <v>9</v>
      </c>
      <c r="I11" s="92" t="n">
        <v>2599.55</v>
      </c>
      <c r="J11" s="86" t="n">
        <v>2288.5</v>
      </c>
      <c r="K11" s="93" t="n">
        <f aca="false">J11/I11</f>
        <v>0.880344675039911</v>
      </c>
      <c r="L11" s="81"/>
      <c r="M11" s="85" t="n">
        <v>9</v>
      </c>
      <c r="N11" s="85" t="s">
        <v>17</v>
      </c>
      <c r="O11" s="86" t="n">
        <v>4495.4793</v>
      </c>
      <c r="P11" s="86" t="n">
        <v>3716</v>
      </c>
      <c r="Q11" s="93" t="n">
        <f aca="false">P11/O11</f>
        <v>0.826608188363808</v>
      </c>
      <c r="R11" s="81"/>
      <c r="S11" s="85" t="n">
        <v>9</v>
      </c>
      <c r="T11" s="85" t="s">
        <v>20</v>
      </c>
      <c r="U11" s="58" t="n">
        <v>3175.47</v>
      </c>
      <c r="V11" s="58" t="n">
        <v>2081.5</v>
      </c>
      <c r="W11" s="93" t="n">
        <f aca="false">V11/U11</f>
        <v>0.655493517495048</v>
      </c>
      <c r="X11" s="81"/>
      <c r="Y11" s="101" t="n">
        <v>9</v>
      </c>
      <c r="Z11" s="85" t="s">
        <v>11</v>
      </c>
      <c r="AA11" s="95" t="n">
        <v>3615.61944444444</v>
      </c>
      <c r="AB11" s="58" t="n">
        <v>3098.5</v>
      </c>
      <c r="AC11" s="93" t="n">
        <f aca="false">AB11/AA11</f>
        <v>0.856976251956213</v>
      </c>
      <c r="AD11" s="81"/>
      <c r="AE11" s="103" t="n">
        <v>9</v>
      </c>
      <c r="AF11" s="97" t="s">
        <v>17</v>
      </c>
      <c r="AG11" s="104" t="n">
        <v>3814.78206190476</v>
      </c>
      <c r="AH11" s="65" t="n">
        <v>4798.5</v>
      </c>
      <c r="AI11" s="93" t="n">
        <f aca="false">AH11/AG11</f>
        <v>1.2578700230136</v>
      </c>
      <c r="AJ11" s="81"/>
      <c r="AK11" s="103" t="n">
        <v>9</v>
      </c>
      <c r="AL11" s="85" t="s">
        <v>7</v>
      </c>
      <c r="AM11" s="58" t="n">
        <v>3259.27532608696</v>
      </c>
      <c r="AN11" s="58" t="n">
        <v>3880.5</v>
      </c>
      <c r="AO11" s="93" t="n">
        <f aca="false">AN11/AM11</f>
        <v>1.19060208535953</v>
      </c>
      <c r="AP11" s="81"/>
      <c r="AQ11" s="85" t="n">
        <v>9</v>
      </c>
      <c r="AR11" s="85" t="s">
        <v>13</v>
      </c>
      <c r="AS11" s="58" t="n">
        <v>4983.30807692308</v>
      </c>
      <c r="AT11" s="58" t="n">
        <v>4754.01</v>
      </c>
      <c r="AU11" s="93" t="n">
        <f aca="false">AT11/AS11</f>
        <v>0.953986774772179</v>
      </c>
      <c r="AV11" s="81"/>
      <c r="AW11" s="85" t="n">
        <v>9</v>
      </c>
      <c r="AX11" s="85" t="s">
        <v>18</v>
      </c>
      <c r="AY11" s="58" t="n">
        <v>2984.17084615385</v>
      </c>
      <c r="AZ11" s="58" t="n">
        <v>1880.5</v>
      </c>
      <c r="BA11" s="93" t="n">
        <f aca="false">AZ11/AY11</f>
        <v>0.630158290844401</v>
      </c>
      <c r="BB11" s="81"/>
      <c r="BC11" s="85" t="n">
        <v>9</v>
      </c>
      <c r="BD11" s="85" t="s">
        <v>9</v>
      </c>
      <c r="BE11" s="58" t="n">
        <v>3575.83073076923</v>
      </c>
      <c r="BF11" s="58" t="n">
        <v>3569.03</v>
      </c>
      <c r="BG11" s="93" t="n">
        <f aca="false">BF11/BE11</f>
        <v>0.99809813962649</v>
      </c>
      <c r="BH11" s="81"/>
      <c r="BI11" s="85" t="n">
        <v>9</v>
      </c>
      <c r="BJ11" s="85" t="s">
        <v>13</v>
      </c>
      <c r="BK11" s="58" t="n">
        <v>5319.04179545455</v>
      </c>
      <c r="BL11" s="58" t="n">
        <v>5054.5</v>
      </c>
      <c r="BM11" s="93" t="n">
        <f aca="false">BL11/BK11</f>
        <v>0.950265140672401</v>
      </c>
      <c r="BN11" s="81"/>
      <c r="BO11" s="85" t="n">
        <v>9</v>
      </c>
      <c r="BP11" s="85" t="s">
        <v>20</v>
      </c>
      <c r="BQ11" s="58" t="n">
        <v>3384.92498076923</v>
      </c>
      <c r="BR11" s="58" t="n">
        <v>2845</v>
      </c>
      <c r="BS11" s="93" t="n">
        <f aca="false">BR11/BQ11</f>
        <v>0.840491300741758</v>
      </c>
      <c r="BT11" s="81"/>
      <c r="BU11" s="85" t="n">
        <v>9</v>
      </c>
      <c r="BV11" s="85" t="s">
        <v>11</v>
      </c>
      <c r="BW11" s="58" t="n">
        <v>4231.46411826923</v>
      </c>
      <c r="BX11" s="58" t="n">
        <v>3114.53</v>
      </c>
      <c r="BY11" s="93" t="n">
        <f aca="false">BX11/BW11</f>
        <v>0.736040744515144</v>
      </c>
      <c r="BZ11" s="81"/>
      <c r="CA11" s="85" t="n">
        <v>9</v>
      </c>
      <c r="CB11" s="85" t="s">
        <v>13</v>
      </c>
      <c r="CC11" s="58" t="n">
        <v>5912.07702884615</v>
      </c>
      <c r="CD11" s="58" t="n">
        <v>7348.01</v>
      </c>
      <c r="CE11" s="93" t="n">
        <f aca="false">CD11/CC11</f>
        <v>1.24288130282262</v>
      </c>
      <c r="CF11" s="81"/>
      <c r="CG11" s="85" t="n">
        <v>9</v>
      </c>
      <c r="CH11" s="85" t="s">
        <v>20</v>
      </c>
      <c r="CI11" s="86" t="n">
        <v>3787.98645144231</v>
      </c>
      <c r="CJ11" s="58" t="n">
        <v>3501.51</v>
      </c>
      <c r="CK11" s="93" t="n">
        <f aca="false">CJ11/CI11</f>
        <v>0.924372366397131</v>
      </c>
      <c r="CL11" s="81"/>
      <c r="CM11" s="85" t="n">
        <v>9</v>
      </c>
      <c r="CN11" s="85" t="s">
        <v>9</v>
      </c>
      <c r="CO11" s="86" t="n">
        <v>4144.624</v>
      </c>
      <c r="CP11" s="60" t="n">
        <v>2216.54</v>
      </c>
      <c r="CQ11" s="93" t="n">
        <f aca="false">CP11/CO11</f>
        <v>0.534798814078189</v>
      </c>
      <c r="CR11" s="81"/>
      <c r="CS11" s="85" t="n">
        <v>9</v>
      </c>
      <c r="CT11" s="85" t="s">
        <v>17</v>
      </c>
      <c r="CU11" s="86" t="n">
        <v>5211.90105263158</v>
      </c>
      <c r="CV11" s="58" t="n">
        <v>1864.57</v>
      </c>
      <c r="CW11" s="93" t="n">
        <f aca="false">CV11/CU11</f>
        <v>0.357752378867313</v>
      </c>
      <c r="CX11" s="81"/>
      <c r="CY11" s="85" t="n">
        <v>9</v>
      </c>
      <c r="CZ11" s="85" t="s">
        <v>20</v>
      </c>
      <c r="DA11" s="86" t="n">
        <v>3688.52485416667</v>
      </c>
      <c r="DB11" s="58" t="n">
        <v>2942.51</v>
      </c>
      <c r="DC11" s="93" t="n">
        <f aca="false">DB11/DA11</f>
        <v>0.797747098457545</v>
      </c>
      <c r="DD11" s="81"/>
      <c r="DE11" s="85" t="n">
        <v>9</v>
      </c>
      <c r="DF11" s="85" t="s">
        <v>11</v>
      </c>
      <c r="DG11" s="86" t="n">
        <v>3693.521125</v>
      </c>
      <c r="DH11" s="58" t="n">
        <v>2343.63</v>
      </c>
      <c r="DI11" s="93" t="n">
        <f aca="false">DH11/DG11</f>
        <v>0.63452459609257</v>
      </c>
      <c r="DJ11" s="81"/>
      <c r="DK11" s="85" t="n">
        <v>9</v>
      </c>
      <c r="DL11" s="85" t="s">
        <v>18</v>
      </c>
      <c r="DM11" s="86" t="n">
        <v>2758.34121739131</v>
      </c>
      <c r="DN11" s="58" t="n">
        <v>2681.05</v>
      </c>
      <c r="DO11" s="93" t="n">
        <f aca="false">DN11/DM11</f>
        <v>0.971979094934307</v>
      </c>
      <c r="DP11" s="81"/>
      <c r="DQ11" s="85" t="n">
        <v>9</v>
      </c>
      <c r="DR11" s="85" t="s">
        <v>7</v>
      </c>
      <c r="DS11" s="86" t="n">
        <v>3018.05525</v>
      </c>
      <c r="DT11" s="58" t="n">
        <v>4276.57</v>
      </c>
      <c r="DU11" s="93" t="n">
        <f aca="false">DT11/DS11</f>
        <v>1.41699526541139</v>
      </c>
      <c r="DV11" s="81"/>
      <c r="DW11" s="85" t="n">
        <v>9</v>
      </c>
      <c r="DX11" s="85" t="s">
        <v>13</v>
      </c>
      <c r="DY11" s="86" t="n">
        <v>4387.4299728</v>
      </c>
      <c r="DZ11" s="58" t="n">
        <v>8614</v>
      </c>
      <c r="EA11" s="93" t="n">
        <f aca="false">DZ11/DY11</f>
        <v>1.96333617935847</v>
      </c>
      <c r="EB11" s="81"/>
      <c r="EC11" s="85" t="n">
        <v>9</v>
      </c>
      <c r="ED11" s="85" t="s">
        <v>18</v>
      </c>
      <c r="EE11" s="86" t="n">
        <v>3478.47696</v>
      </c>
      <c r="EF11" s="58" t="n">
        <v>2929.75</v>
      </c>
      <c r="EG11" s="93" t="n">
        <f aca="false">EF11/EE11</f>
        <v>0.842250799326841</v>
      </c>
      <c r="EH11" s="100"/>
      <c r="EI11" s="85" t="n">
        <v>9</v>
      </c>
      <c r="EJ11" s="85" t="s">
        <v>9</v>
      </c>
      <c r="EK11" s="86" t="n">
        <v>3270.15311538462</v>
      </c>
      <c r="EL11" s="58" t="n">
        <v>3879.5</v>
      </c>
      <c r="EM11" s="93" t="n">
        <f aca="false">EL11/EK11</f>
        <v>1.18633588798906</v>
      </c>
      <c r="EN11" s="81"/>
      <c r="EO11" s="85" t="n">
        <v>9</v>
      </c>
      <c r="EP11" s="85" t="s">
        <v>17</v>
      </c>
      <c r="EQ11" s="86" t="n">
        <v>4203.32253846154</v>
      </c>
      <c r="ER11" s="58" t="n">
        <v>7420.75</v>
      </c>
      <c r="ES11" s="93" t="n">
        <f aca="false">ER11/EQ11</f>
        <v>1.76544862596152</v>
      </c>
      <c r="ET11" s="81"/>
      <c r="EU11" s="85" t="n">
        <v>9</v>
      </c>
      <c r="EV11" s="85" t="s">
        <v>17</v>
      </c>
      <c r="EW11" s="86" t="n">
        <v>4690.301</v>
      </c>
      <c r="EX11" s="58" t="n">
        <v>5694.01</v>
      </c>
      <c r="EY11" s="93" t="n">
        <f aca="false">EX11/EW11</f>
        <v>1.21399671364375</v>
      </c>
      <c r="FA11" s="85" t="n">
        <v>9</v>
      </c>
      <c r="FB11" s="85" t="s">
        <v>7</v>
      </c>
      <c r="FC11" s="86" t="n">
        <v>3929.07108</v>
      </c>
      <c r="FD11" s="58" t="n">
        <v>2392</v>
      </c>
      <c r="FE11" s="93" t="n">
        <f aca="false">FD11/FC11</f>
        <v>0.608795298251514</v>
      </c>
      <c r="FG11" s="85" t="n">
        <v>9</v>
      </c>
      <c r="FH11" s="85" t="s">
        <v>11</v>
      </c>
      <c r="FI11" s="86" t="n">
        <v>4211.02930769231</v>
      </c>
      <c r="FJ11" s="58" t="n">
        <v>2985.26</v>
      </c>
      <c r="FK11" s="93" t="n">
        <f aca="false">FJ11/FI11</f>
        <v>0.708914562657355</v>
      </c>
      <c r="FL11" s="100"/>
      <c r="FM11" s="85" t="n">
        <v>9</v>
      </c>
      <c r="FN11" s="85" t="s">
        <v>18</v>
      </c>
      <c r="FO11" s="86" t="n">
        <v>3046.40219230769</v>
      </c>
      <c r="FP11" s="58" t="n">
        <v>2079.5</v>
      </c>
      <c r="FQ11" s="93" t="n">
        <f aca="false">FP11/FO11</f>
        <v>0.682608489860871</v>
      </c>
      <c r="FS11" s="85" t="n">
        <v>9</v>
      </c>
      <c r="FT11" s="85" t="s">
        <v>7</v>
      </c>
      <c r="FU11" s="86" t="n">
        <v>3453.12792</v>
      </c>
      <c r="FV11" s="58" t="n">
        <v>2495.5</v>
      </c>
      <c r="FW11" s="93" t="n">
        <f aca="false">FV11/FU11</f>
        <v>0.722678121927206</v>
      </c>
      <c r="FY11" s="85" t="n">
        <v>9</v>
      </c>
      <c r="FZ11" s="85" t="s">
        <v>13</v>
      </c>
      <c r="GA11" s="86" t="n">
        <v>4768.50242307692</v>
      </c>
      <c r="GB11" s="58" t="n">
        <v>3584.42</v>
      </c>
      <c r="GC11" s="93" t="n">
        <f aca="false">GB11/GA11</f>
        <v>0.751686731384131</v>
      </c>
      <c r="GE11" s="7" t="n">
        <v>9</v>
      </c>
      <c r="GF11" s="7" t="s">
        <v>20</v>
      </c>
      <c r="GG11" s="3" t="n">
        <v>2506.32326923077</v>
      </c>
      <c r="GH11" s="10" t="n">
        <v>1530.5</v>
      </c>
      <c r="GI11" s="93" t="n">
        <f aca="false">GH11/GG11</f>
        <v>0.610655464436451</v>
      </c>
      <c r="GK11" s="7" t="n">
        <v>9</v>
      </c>
      <c r="GL11" s="7" t="s">
        <v>9</v>
      </c>
      <c r="GM11" s="3" t="n">
        <v>3151.42417307692</v>
      </c>
      <c r="GN11" s="10" t="n">
        <v>7879.81</v>
      </c>
      <c r="GO11" s="93" t="n">
        <f aca="false">GN11/GM11</f>
        <v>2.50039650876527</v>
      </c>
      <c r="GQ11" s="7" t="n">
        <v>9</v>
      </c>
      <c r="GR11" s="7" t="s">
        <v>17</v>
      </c>
      <c r="GS11" s="3" t="n">
        <v>4423.43334444445</v>
      </c>
      <c r="GT11" s="10" t="n">
        <v>5717.4</v>
      </c>
      <c r="GU11" s="93" t="n">
        <f aca="false">GT11/GS11</f>
        <v>1.29252541064752</v>
      </c>
      <c r="GW11" s="7" t="n">
        <v>9</v>
      </c>
      <c r="GX11" s="7" t="s">
        <v>20</v>
      </c>
      <c r="GY11" s="3" t="n">
        <v>2287.03039583333</v>
      </c>
      <c r="GZ11" s="10" t="n">
        <v>3328.5</v>
      </c>
      <c r="HA11" s="93" t="n">
        <f aca="false">GZ11/GY11</f>
        <v>1.4553807444204</v>
      </c>
      <c r="HC11" s="7" t="n">
        <v>9</v>
      </c>
      <c r="HD11" s="7" t="s">
        <v>11</v>
      </c>
      <c r="HE11" s="3" t="n">
        <v>2824.96158333333</v>
      </c>
      <c r="HF11" s="8" t="n">
        <v>3397.5</v>
      </c>
      <c r="HG11" s="93" t="n">
        <f aca="false">HF11/HE11</f>
        <v>1.20267122216618</v>
      </c>
      <c r="HI11" s="7" t="n">
        <v>9</v>
      </c>
      <c r="HJ11" s="7" t="s">
        <v>18</v>
      </c>
      <c r="HK11" s="3" t="n">
        <v>2688.75926923077</v>
      </c>
      <c r="HL11" s="8" t="n">
        <v>3695</v>
      </c>
      <c r="HM11" s="93" t="n">
        <f aca="false">HL11/HK11</f>
        <v>1.37423979985278</v>
      </c>
      <c r="HO11" s="7" t="n">
        <v>9</v>
      </c>
      <c r="HP11" s="7" t="s">
        <v>18</v>
      </c>
      <c r="HQ11" s="3" t="n">
        <v>2600.96311538462</v>
      </c>
      <c r="HR11" s="8" t="n">
        <v>2013.5</v>
      </c>
      <c r="HS11" s="93" t="n">
        <f aca="false">HR11/HQ11</f>
        <v>0.774136314386855</v>
      </c>
      <c r="HU11" s="7" t="n">
        <v>9</v>
      </c>
      <c r="HV11" s="7" t="s">
        <v>9</v>
      </c>
      <c r="HW11" s="3" t="n">
        <v>2871.19891666667</v>
      </c>
      <c r="HX11" s="8" t="n">
        <v>2022.5</v>
      </c>
      <c r="HY11" s="93" t="n">
        <f aca="false">HX11/HW11</f>
        <v>0.704409571994416</v>
      </c>
      <c r="HZ11" s="100"/>
      <c r="IA11" s="7" t="n">
        <v>9</v>
      </c>
      <c r="IB11" s="7" t="s">
        <v>13</v>
      </c>
      <c r="IC11" s="3" t="n">
        <v>4633.34946666667</v>
      </c>
      <c r="ID11" s="8" t="n">
        <v>6028.06</v>
      </c>
      <c r="IE11" s="93" t="n">
        <f aca="false">ID11/IC11</f>
        <v>1.30101561372981</v>
      </c>
      <c r="IG11" s="7" t="n">
        <v>9</v>
      </c>
      <c r="IH11" s="7" t="s">
        <v>20</v>
      </c>
      <c r="II11" s="3" t="n">
        <v>2595.82125</v>
      </c>
      <c r="IJ11" s="8" t="n">
        <v>2010</v>
      </c>
      <c r="IK11" s="93" t="n">
        <f aca="false">IJ11/II11</f>
        <v>0.774321421399875</v>
      </c>
    </row>
    <row r="12" customFormat="false" ht="15.75" hidden="false" customHeight="false" outlineLevel="0" collapsed="false">
      <c r="A12" s="85" t="n">
        <v>10</v>
      </c>
      <c r="B12" s="85" t="s">
        <v>11</v>
      </c>
      <c r="C12" s="90" t="n">
        <v>3700</v>
      </c>
      <c r="D12" s="58" t="n">
        <v>4031.92</v>
      </c>
      <c r="E12" s="91" t="n">
        <f aca="false">D12/C12</f>
        <v>1.08970810810811</v>
      </c>
      <c r="F12" s="81"/>
      <c r="G12" s="85" t="n">
        <v>10</v>
      </c>
      <c r="H12" s="85" t="s">
        <v>11</v>
      </c>
      <c r="I12" s="92" t="n">
        <v>3555.4125</v>
      </c>
      <c r="J12" s="86" t="n">
        <v>3160.5</v>
      </c>
      <c r="K12" s="93" t="n">
        <f aca="false">J12/I12</f>
        <v>0.888926390397739</v>
      </c>
      <c r="L12" s="81"/>
      <c r="M12" s="85" t="n">
        <v>10</v>
      </c>
      <c r="N12" s="85" t="s">
        <v>18</v>
      </c>
      <c r="O12" s="86" t="n">
        <v>2733.978</v>
      </c>
      <c r="P12" s="86" t="n">
        <v>2381.5</v>
      </c>
      <c r="Q12" s="93" t="n">
        <f aca="false">P12/O12</f>
        <v>0.871075041569464</v>
      </c>
      <c r="R12" s="81"/>
      <c r="S12" s="85" t="n">
        <v>10</v>
      </c>
      <c r="T12" s="85" t="s">
        <v>7</v>
      </c>
      <c r="U12" s="58" t="n">
        <v>3056.81846153846</v>
      </c>
      <c r="V12" s="58" t="n">
        <v>2482</v>
      </c>
      <c r="W12" s="93" t="n">
        <f aca="false">V12/U12</f>
        <v>0.811955316034973</v>
      </c>
      <c r="X12" s="81"/>
      <c r="Y12" s="101" t="n">
        <v>10</v>
      </c>
      <c r="Z12" s="85" t="s">
        <v>13</v>
      </c>
      <c r="AA12" s="95" t="n">
        <v>4056.95277777778</v>
      </c>
      <c r="AB12" s="58" t="n">
        <v>3258.5</v>
      </c>
      <c r="AC12" s="93" t="n">
        <f aca="false">AB12/AA12</f>
        <v>0.803189038297079</v>
      </c>
      <c r="AD12" s="81"/>
      <c r="AE12" s="96" t="n">
        <v>10</v>
      </c>
      <c r="AF12" s="97" t="s">
        <v>18</v>
      </c>
      <c r="AG12" s="98" t="n">
        <v>2577.63165</v>
      </c>
      <c r="AH12" s="66" t="n">
        <v>2475</v>
      </c>
      <c r="AI12" s="93" t="n">
        <f aca="false">AH12/AG12</f>
        <v>0.960183740760632</v>
      </c>
      <c r="AJ12" s="81"/>
      <c r="AK12" s="96" t="n">
        <v>10</v>
      </c>
      <c r="AL12" s="85" t="s">
        <v>9</v>
      </c>
      <c r="AM12" s="58" t="n">
        <v>2961.45192</v>
      </c>
      <c r="AN12" s="58" t="n">
        <v>2187.51</v>
      </c>
      <c r="AO12" s="93" t="n">
        <f aca="false">AN12/AM12</f>
        <v>0.738661325286686</v>
      </c>
      <c r="AP12" s="81"/>
      <c r="AQ12" s="85" t="n">
        <v>10</v>
      </c>
      <c r="AR12" s="85" t="s">
        <v>17</v>
      </c>
      <c r="AS12" s="58" t="n">
        <v>4829.43946153846</v>
      </c>
      <c r="AT12" s="58" t="n">
        <v>3477.13</v>
      </c>
      <c r="AU12" s="93" t="n">
        <f aca="false">AT12/AS12</f>
        <v>0.719986248443899</v>
      </c>
      <c r="AV12" s="81"/>
      <c r="AW12" s="85" t="n">
        <v>10</v>
      </c>
      <c r="AX12" s="85" t="s">
        <v>20</v>
      </c>
      <c r="AY12" s="58" t="n">
        <v>3688.79469230769</v>
      </c>
      <c r="AZ12" s="58" t="n">
        <v>2136.59</v>
      </c>
      <c r="BA12" s="93" t="n">
        <f aca="false">AZ12/AY12</f>
        <v>0.579210874613182</v>
      </c>
      <c r="BB12" s="81"/>
      <c r="BC12" s="85" t="n">
        <v>10</v>
      </c>
      <c r="BD12" s="85" t="s">
        <v>11</v>
      </c>
      <c r="BE12" s="58" t="n">
        <v>4199.43784615385</v>
      </c>
      <c r="BF12" s="58" t="n">
        <v>3728.02</v>
      </c>
      <c r="BG12" s="93" t="n">
        <f aca="false">BF12/BE12</f>
        <v>0.887742630460501</v>
      </c>
      <c r="BH12" s="81"/>
      <c r="BI12" s="85" t="n">
        <v>10</v>
      </c>
      <c r="BJ12" s="85" t="s">
        <v>17</v>
      </c>
      <c r="BK12" s="58" t="n">
        <v>5306.68711363636</v>
      </c>
      <c r="BL12" s="58" t="n">
        <v>6274</v>
      </c>
      <c r="BM12" s="93" t="n">
        <f aca="false">BL12/BK12</f>
        <v>1.1822818767434</v>
      </c>
      <c r="BN12" s="81"/>
      <c r="BO12" s="85" t="n">
        <v>10</v>
      </c>
      <c r="BP12" s="85" t="s">
        <v>7</v>
      </c>
      <c r="BQ12" s="58" t="n">
        <v>3756.90444230769</v>
      </c>
      <c r="BR12" s="58" t="n">
        <v>3176.51</v>
      </c>
      <c r="BS12" s="93" t="n">
        <f aca="false">BR12/BQ12</f>
        <v>0.845512588563157</v>
      </c>
      <c r="BT12" s="81"/>
      <c r="BU12" s="85" t="n">
        <v>10</v>
      </c>
      <c r="BV12" s="85" t="s">
        <v>13</v>
      </c>
      <c r="BW12" s="58" t="n">
        <v>5459.13655</v>
      </c>
      <c r="BX12" s="58" t="n">
        <v>4429.56</v>
      </c>
      <c r="BY12" s="93" t="n">
        <f aca="false">BX12/BW12</f>
        <v>0.811403041383898</v>
      </c>
      <c r="BZ12" s="81"/>
      <c r="CA12" s="85" t="n">
        <v>10</v>
      </c>
      <c r="CB12" s="85" t="s">
        <v>17</v>
      </c>
      <c r="CC12" s="58" t="n">
        <v>6068.54520833333</v>
      </c>
      <c r="CD12" s="58" t="n">
        <v>7547.04</v>
      </c>
      <c r="CE12" s="93" t="n">
        <f aca="false">CD12/CC12</f>
        <v>1.24363249195811</v>
      </c>
      <c r="CF12" s="81"/>
      <c r="CG12" s="85" t="n">
        <v>10</v>
      </c>
      <c r="CH12" s="85" t="s">
        <v>7</v>
      </c>
      <c r="CI12" s="86" t="n">
        <v>4146.79393557692</v>
      </c>
      <c r="CJ12" s="58" t="n">
        <v>3855.04</v>
      </c>
      <c r="CK12" s="93" t="n">
        <f aca="false">CJ12/CI12</f>
        <v>0.929643493236099</v>
      </c>
      <c r="CL12" s="81"/>
      <c r="CM12" s="85" t="n">
        <v>10</v>
      </c>
      <c r="CN12" s="85" t="s">
        <v>11</v>
      </c>
      <c r="CO12" s="86" t="n">
        <v>4759.3194</v>
      </c>
      <c r="CP12" s="64" t="n">
        <v>2109.57</v>
      </c>
      <c r="CQ12" s="93" t="n">
        <f aca="false">CP12/CO12</f>
        <v>0.443250352140686</v>
      </c>
      <c r="CR12" s="81"/>
      <c r="CS12" s="85" t="n">
        <v>10</v>
      </c>
      <c r="CT12" s="85" t="s">
        <v>18</v>
      </c>
      <c r="CU12" s="86" t="n">
        <v>3035.46</v>
      </c>
      <c r="CV12" s="63" t="n">
        <v>2220.52</v>
      </c>
      <c r="CW12" s="93" t="n">
        <f aca="false">CV12/CU12</f>
        <v>0.731526687882561</v>
      </c>
      <c r="CX12" s="81"/>
      <c r="CY12" s="85" t="n">
        <v>10</v>
      </c>
      <c r="CZ12" s="85" t="s">
        <v>7</v>
      </c>
      <c r="DA12" s="86" t="n">
        <v>3391.54861458333</v>
      </c>
      <c r="DB12" s="63" t="n">
        <v>2437.05</v>
      </c>
      <c r="DC12" s="93" t="n">
        <f aca="false">DB12/DA12</f>
        <v>0.718565551300347</v>
      </c>
      <c r="DD12" s="81"/>
      <c r="DE12" s="85" t="n">
        <v>10</v>
      </c>
      <c r="DF12" s="85" t="s">
        <v>13</v>
      </c>
      <c r="DG12" s="86" t="n">
        <v>4876.4235625</v>
      </c>
      <c r="DH12" s="58" t="n">
        <v>3024.06</v>
      </c>
      <c r="DI12" s="93" t="n">
        <f aca="false">DH12/DG12</f>
        <v>0.620138911487347</v>
      </c>
      <c r="DJ12" s="81"/>
      <c r="DK12" s="85" t="n">
        <v>10</v>
      </c>
      <c r="DL12" s="85" t="s">
        <v>20</v>
      </c>
      <c r="DM12" s="86" t="n">
        <v>3483.70855</v>
      </c>
      <c r="DN12" s="58" t="n">
        <v>2430.52</v>
      </c>
      <c r="DO12" s="93" t="n">
        <f aca="false">DN12/DM12</f>
        <v>0.697681785119481</v>
      </c>
      <c r="DP12" s="81"/>
      <c r="DQ12" s="85" t="n">
        <v>10</v>
      </c>
      <c r="DR12" s="85" t="s">
        <v>9</v>
      </c>
      <c r="DS12" s="86" t="n">
        <v>2876.6968125</v>
      </c>
      <c r="DT12" s="58" t="n">
        <v>4676.55</v>
      </c>
      <c r="DU12" s="93" t="n">
        <f aca="false">DT12/DS12</f>
        <v>1.62566662558222</v>
      </c>
      <c r="DV12" s="81"/>
      <c r="DW12" s="85" t="n">
        <v>10</v>
      </c>
      <c r="DX12" s="85" t="s">
        <v>17</v>
      </c>
      <c r="DY12" s="86" t="n">
        <v>4007.91671</v>
      </c>
      <c r="DZ12" s="58" t="n">
        <v>8551.27</v>
      </c>
      <c r="EA12" s="93" t="n">
        <f aca="false">DZ12/DY12</f>
        <v>2.13359473730181</v>
      </c>
      <c r="EB12" s="81"/>
      <c r="EC12" s="85" t="n">
        <v>10</v>
      </c>
      <c r="ED12" s="85" t="s">
        <v>20</v>
      </c>
      <c r="EE12" s="86" t="n">
        <v>3892.50323076923</v>
      </c>
      <c r="EF12" s="58" t="n">
        <v>2934.75</v>
      </c>
      <c r="EG12" s="93" t="n">
        <f aca="false">EF12/EE12</f>
        <v>0.753949277884103</v>
      </c>
      <c r="EH12" s="100"/>
      <c r="EI12" s="85" t="n">
        <v>10</v>
      </c>
      <c r="EJ12" s="85" t="s">
        <v>11</v>
      </c>
      <c r="EK12" s="86" t="n">
        <v>3395.17378846154</v>
      </c>
      <c r="EL12" s="58" t="n">
        <v>2982.75</v>
      </c>
      <c r="EM12" s="93" t="n">
        <f aca="false">EL12/EK12</f>
        <v>0.878526457213131</v>
      </c>
      <c r="EN12" s="81"/>
      <c r="EO12" s="85" t="n">
        <v>10</v>
      </c>
      <c r="EP12" s="85" t="s">
        <v>18</v>
      </c>
      <c r="EQ12" s="86" t="n">
        <v>3410.95964</v>
      </c>
      <c r="ER12" s="58" t="n">
        <v>4290.77</v>
      </c>
      <c r="ES12" s="93" t="n">
        <f aca="false">ER12/EQ12</f>
        <v>1.25793631495446</v>
      </c>
      <c r="ET12" s="81"/>
      <c r="EU12" s="85" t="n">
        <v>10</v>
      </c>
      <c r="EV12" s="85" t="s">
        <v>18</v>
      </c>
      <c r="EW12" s="86" t="n">
        <v>3506.36634615385</v>
      </c>
      <c r="EX12" s="58" t="n">
        <v>2149.75</v>
      </c>
      <c r="EY12" s="93" t="n">
        <f aca="false">EX12/EW12</f>
        <v>0.613099085427303</v>
      </c>
      <c r="FA12" s="85" t="n">
        <v>10</v>
      </c>
      <c r="FB12" s="85" t="s">
        <v>9</v>
      </c>
      <c r="FC12" s="86" t="n">
        <v>3926.07684615385</v>
      </c>
      <c r="FD12" s="58" t="n">
        <v>2441.01</v>
      </c>
      <c r="FE12" s="93" t="n">
        <f aca="false">FD12/FC12</f>
        <v>0.621742797110891</v>
      </c>
      <c r="FG12" s="85" t="n">
        <v>10</v>
      </c>
      <c r="FH12" s="85" t="s">
        <v>13</v>
      </c>
      <c r="FI12" s="86" t="n">
        <v>5462.33303846154</v>
      </c>
      <c r="FJ12" s="58" t="n">
        <v>3706.01</v>
      </c>
      <c r="FK12" s="93" t="n">
        <f aca="false">FJ12/FI12</f>
        <v>0.678466503947147</v>
      </c>
      <c r="FL12" s="100"/>
      <c r="FM12" s="85" t="n">
        <v>10</v>
      </c>
      <c r="FN12" s="85" t="s">
        <v>20</v>
      </c>
      <c r="FO12" s="86" t="n">
        <v>3196.46204166667</v>
      </c>
      <c r="FP12" s="58" t="n">
        <v>2123.76</v>
      </c>
      <c r="FQ12" s="93" t="n">
        <f aca="false">FP12/FO12</f>
        <v>0.664409579189825</v>
      </c>
      <c r="FS12" s="85" t="n">
        <v>10</v>
      </c>
      <c r="FT12" s="85" t="s">
        <v>9</v>
      </c>
      <c r="FU12" s="86" t="n">
        <v>3309.52769230769</v>
      </c>
      <c r="FV12" s="58" t="n">
        <v>3523.02</v>
      </c>
      <c r="FW12" s="93" t="n">
        <f aca="false">FV12/FU12</f>
        <v>1.06450839139027</v>
      </c>
      <c r="FY12" s="85" t="n">
        <v>10</v>
      </c>
      <c r="FZ12" s="85" t="s">
        <v>17</v>
      </c>
      <c r="GA12" s="86" t="n">
        <v>4265.00853846154</v>
      </c>
      <c r="GB12" s="58" t="n">
        <v>3536.91</v>
      </c>
      <c r="GC12" s="93" t="n">
        <f aca="false">GB12/GA12</f>
        <v>0.829285561354543</v>
      </c>
      <c r="GE12" s="7" t="n">
        <v>10</v>
      </c>
      <c r="GF12" s="7" t="s">
        <v>7</v>
      </c>
      <c r="GG12" s="3" t="n">
        <v>3098.37467307692</v>
      </c>
      <c r="GH12" s="10" t="n">
        <v>2097.29</v>
      </c>
      <c r="GI12" s="93" t="n">
        <f aca="false">GH12/GG12</f>
        <v>0.676900059319563</v>
      </c>
      <c r="GK12" s="7" t="n">
        <v>10</v>
      </c>
      <c r="GL12" s="7" t="s">
        <v>11</v>
      </c>
      <c r="GM12" s="32" t="n">
        <v>3011.91634615385</v>
      </c>
      <c r="GN12" s="10" t="n">
        <v>6661.76</v>
      </c>
      <c r="GO12" s="93" t="n">
        <f aca="false">GN12/GM12</f>
        <v>2.21180113734132</v>
      </c>
      <c r="GQ12" s="7" t="n">
        <v>10</v>
      </c>
      <c r="GR12" s="7" t="s">
        <v>18</v>
      </c>
      <c r="GS12" s="32" t="n">
        <v>2925.73623076923</v>
      </c>
      <c r="GT12" s="10" t="n">
        <v>2552</v>
      </c>
      <c r="GU12" s="93" t="n">
        <f aca="false">GT12/GS12</f>
        <v>0.87225908240164</v>
      </c>
      <c r="GW12" s="7" t="n">
        <v>10</v>
      </c>
      <c r="GX12" s="7" t="s">
        <v>7</v>
      </c>
      <c r="GY12" s="32" t="n">
        <v>2757.4024375</v>
      </c>
      <c r="GZ12" s="10" t="n">
        <v>2934.01</v>
      </c>
      <c r="HA12" s="93" t="n">
        <f aca="false">GZ12/GY12</f>
        <v>1.06404852628625</v>
      </c>
      <c r="HC12" s="7" t="n">
        <v>10</v>
      </c>
      <c r="HD12" s="7" t="s">
        <v>13</v>
      </c>
      <c r="HE12" s="21" t="n">
        <v>3969.18954166667</v>
      </c>
      <c r="HF12" s="8" t="n">
        <v>5844.01</v>
      </c>
      <c r="HG12" s="93" t="n">
        <f aca="false">HF12/HE12</f>
        <v>1.47234339369596</v>
      </c>
      <c r="HI12" s="7" t="n">
        <v>10</v>
      </c>
      <c r="HJ12" s="7" t="s">
        <v>20</v>
      </c>
      <c r="HK12" s="21" t="n">
        <v>2784.41273076923</v>
      </c>
      <c r="HL12" s="36" t="n">
        <v>3054.5</v>
      </c>
      <c r="HM12" s="93" t="n">
        <f aca="false">HL12/HK12</f>
        <v>1.09699972502142</v>
      </c>
      <c r="HO12" s="7" t="n">
        <v>10</v>
      </c>
      <c r="HP12" s="7" t="s">
        <v>20</v>
      </c>
      <c r="HQ12" s="21" t="n">
        <v>2691.10346153846</v>
      </c>
      <c r="HR12" s="36" t="n">
        <v>2396</v>
      </c>
      <c r="HS12" s="93" t="n">
        <f aca="false">HR12/HQ12</f>
        <v>0.890341093995042</v>
      </c>
      <c r="HU12" s="7" t="n">
        <v>10</v>
      </c>
      <c r="HV12" s="7" t="s">
        <v>11</v>
      </c>
      <c r="HW12" s="21" t="n">
        <v>2948.29516666667</v>
      </c>
      <c r="HX12" s="36" t="n">
        <v>2358</v>
      </c>
      <c r="HY12" s="93" t="n">
        <f aca="false">HX12/HW12</f>
        <v>0.799784236890347</v>
      </c>
      <c r="HZ12" s="100"/>
      <c r="IA12" s="7" t="n">
        <v>10</v>
      </c>
      <c r="IB12" s="7" t="s">
        <v>17</v>
      </c>
      <c r="IC12" s="21" t="n">
        <v>4467.71406666667</v>
      </c>
      <c r="ID12" s="36" t="n">
        <v>3823</v>
      </c>
      <c r="IE12" s="93" t="n">
        <f aca="false">ID12/IC12</f>
        <v>0.855694868327219</v>
      </c>
      <c r="IG12" s="7" t="n">
        <v>10</v>
      </c>
      <c r="IH12" s="7" t="s">
        <v>7</v>
      </c>
      <c r="II12" s="21" t="n">
        <v>3050.3745</v>
      </c>
      <c r="IJ12" s="36" t="n">
        <v>3002.02</v>
      </c>
      <c r="IK12" s="93" t="n">
        <f aca="false">IJ12/II12</f>
        <v>0.984148011990003</v>
      </c>
    </row>
    <row r="13" customFormat="false" ht="15.75" hidden="false" customHeight="false" outlineLevel="0" collapsed="false">
      <c r="A13" s="85" t="n">
        <v>11</v>
      </c>
      <c r="B13" s="85" t="s">
        <v>13</v>
      </c>
      <c r="C13" s="90" t="n">
        <v>5000</v>
      </c>
      <c r="D13" s="58" t="n">
        <v>5536.05</v>
      </c>
      <c r="E13" s="91" t="n">
        <f aca="false">D13/C13</f>
        <v>1.10721</v>
      </c>
      <c r="F13" s="81"/>
      <c r="G13" s="85" t="n">
        <v>11</v>
      </c>
      <c r="H13" s="85" t="s">
        <v>13</v>
      </c>
      <c r="I13" s="92" t="n">
        <v>4996.1625</v>
      </c>
      <c r="J13" s="86" t="n">
        <v>5589.5</v>
      </c>
      <c r="K13" s="93" t="n">
        <f aca="false">J13/I13</f>
        <v>1.11875864726177</v>
      </c>
      <c r="L13" s="81"/>
      <c r="M13" s="85" t="n">
        <v>11</v>
      </c>
      <c r="N13" s="85" t="s">
        <v>20</v>
      </c>
      <c r="O13" s="86" t="n">
        <v>3465.2332</v>
      </c>
      <c r="P13" s="86" t="n">
        <v>1988</v>
      </c>
      <c r="Q13" s="93" t="n">
        <f aca="false">P13/O13</f>
        <v>0.573698762899998</v>
      </c>
      <c r="R13" s="81"/>
      <c r="S13" s="85" t="n">
        <v>11</v>
      </c>
      <c r="T13" s="85" t="s">
        <v>9</v>
      </c>
      <c r="U13" s="58" t="n">
        <v>2628.82307692308</v>
      </c>
      <c r="V13" s="58" t="n">
        <v>2258</v>
      </c>
      <c r="W13" s="93" t="n">
        <f aca="false">V13/U13</f>
        <v>0.85893950788156</v>
      </c>
      <c r="X13" s="81"/>
      <c r="Y13" s="101" t="n">
        <v>11</v>
      </c>
      <c r="Z13" s="85" t="s">
        <v>17</v>
      </c>
      <c r="AA13" s="95" t="n">
        <v>3689.71235294118</v>
      </c>
      <c r="AB13" s="58" t="n">
        <v>3123.5</v>
      </c>
      <c r="AC13" s="93" t="n">
        <f aca="false">AB13/AA13</f>
        <v>0.846542955444796</v>
      </c>
      <c r="AD13" s="81"/>
      <c r="AE13" s="101" t="n">
        <v>11</v>
      </c>
      <c r="AF13" s="85" t="s">
        <v>20</v>
      </c>
      <c r="AG13" s="95" t="n">
        <v>3323.86871</v>
      </c>
      <c r="AH13" s="58" t="n">
        <v>3082.52</v>
      </c>
      <c r="AI13" s="93" t="n">
        <f aca="false">AH13/AG13</f>
        <v>0.927389216886367</v>
      </c>
      <c r="AJ13" s="81"/>
      <c r="AK13" s="101" t="n">
        <v>11</v>
      </c>
      <c r="AL13" s="85" t="s">
        <v>11</v>
      </c>
      <c r="AM13" s="58" t="n">
        <v>3615.0324</v>
      </c>
      <c r="AN13" s="58" t="n">
        <v>2958</v>
      </c>
      <c r="AO13" s="93" t="n">
        <f aca="false">AN13/AM13</f>
        <v>0.81824992771849</v>
      </c>
      <c r="AP13" s="81"/>
      <c r="AQ13" s="85" t="n">
        <v>11</v>
      </c>
      <c r="AR13" s="85" t="s">
        <v>18</v>
      </c>
      <c r="AS13" s="58" t="n">
        <v>3049.52388461539</v>
      </c>
      <c r="AT13" s="58" t="n">
        <v>2128.01</v>
      </c>
      <c r="AU13" s="93" t="n">
        <f aca="false">AT13/AS13</f>
        <v>0.697817128350968</v>
      </c>
      <c r="AV13" s="81"/>
      <c r="AW13" s="85" t="n">
        <v>11</v>
      </c>
      <c r="AX13" s="85" t="s">
        <v>7</v>
      </c>
      <c r="AY13" s="58" t="n">
        <v>3620.84856923077</v>
      </c>
      <c r="AZ13" s="58" t="n">
        <v>3153.51</v>
      </c>
      <c r="BA13" s="93" t="n">
        <f aca="false">AZ13/AY13</f>
        <v>0.870931202922399</v>
      </c>
      <c r="BB13" s="81"/>
      <c r="BC13" s="85" t="n">
        <v>11</v>
      </c>
      <c r="BD13" s="85" t="s">
        <v>13</v>
      </c>
      <c r="BE13" s="58" t="n">
        <v>5580.95515384616</v>
      </c>
      <c r="BF13" s="58" t="n">
        <v>4232</v>
      </c>
      <c r="BG13" s="93" t="n">
        <f aca="false">BF13/BE13</f>
        <v>0.758293138600744</v>
      </c>
      <c r="BH13" s="81"/>
      <c r="BI13" s="85" t="n">
        <v>11</v>
      </c>
      <c r="BJ13" s="85" t="s">
        <v>18</v>
      </c>
      <c r="BK13" s="58" t="n">
        <v>3108.05488636364</v>
      </c>
      <c r="BL13" s="58" t="n">
        <v>3076</v>
      </c>
      <c r="BM13" s="93" t="n">
        <f aca="false">BL13/BK13</f>
        <v>0.989686512131984</v>
      </c>
      <c r="BN13" s="81"/>
      <c r="BO13" s="85" t="n">
        <v>11</v>
      </c>
      <c r="BP13" s="85" t="s">
        <v>9</v>
      </c>
      <c r="BQ13" s="58" t="n">
        <v>3789.02151923077</v>
      </c>
      <c r="BR13" s="58" t="n">
        <v>3624.04</v>
      </c>
      <c r="BS13" s="93" t="n">
        <f aca="false">BR13/BQ13</f>
        <v>0.956458014716088</v>
      </c>
      <c r="BT13" s="81"/>
      <c r="BU13" s="85" t="n">
        <v>11</v>
      </c>
      <c r="BV13" s="85" t="s">
        <v>17</v>
      </c>
      <c r="BW13" s="58" t="n">
        <v>5569.685793</v>
      </c>
      <c r="BX13" s="58" t="n">
        <v>5069.52</v>
      </c>
      <c r="BY13" s="93" t="n">
        <f aca="false">BX13/BW13</f>
        <v>0.910198562075331</v>
      </c>
      <c r="BZ13" s="81"/>
      <c r="CA13" s="85" t="n">
        <v>11</v>
      </c>
      <c r="CB13" s="85" t="s">
        <v>18</v>
      </c>
      <c r="CC13" s="58" t="n">
        <v>3258.90177884615</v>
      </c>
      <c r="CD13" s="58" t="n">
        <v>3917.53</v>
      </c>
      <c r="CE13" s="93" t="n">
        <f aca="false">CD13/CC13</f>
        <v>1.20210128007818</v>
      </c>
      <c r="CF13" s="81"/>
      <c r="CG13" s="85" t="n">
        <v>11</v>
      </c>
      <c r="CH13" s="85" t="s">
        <v>9</v>
      </c>
      <c r="CI13" s="86" t="n">
        <v>4164.52486153846</v>
      </c>
      <c r="CJ13" s="58" t="n">
        <v>4783.54</v>
      </c>
      <c r="CK13" s="93" t="n">
        <f aca="false">CJ13/CI13</f>
        <v>1.14864003915032</v>
      </c>
      <c r="CL13" s="81"/>
      <c r="CM13" s="85" t="n">
        <v>11</v>
      </c>
      <c r="CN13" s="85" t="s">
        <v>13</v>
      </c>
      <c r="CO13" s="86" t="n">
        <v>6903.4878</v>
      </c>
      <c r="CP13" s="60" t="n">
        <v>2295.52</v>
      </c>
      <c r="CQ13" s="93" t="n">
        <f aca="false">CP13/CO13</f>
        <v>0.332515978372555</v>
      </c>
      <c r="CR13" s="81"/>
      <c r="CS13" s="85" t="n">
        <v>11</v>
      </c>
      <c r="CT13" s="85" t="s">
        <v>20</v>
      </c>
      <c r="CU13" s="86" t="n">
        <v>3778.056</v>
      </c>
      <c r="CV13" s="58" t="n">
        <v>1779.11</v>
      </c>
      <c r="CW13" s="93" t="n">
        <f aca="false">CV13/CU13</f>
        <v>0.470906201496219</v>
      </c>
      <c r="CX13" s="81"/>
      <c r="CY13" s="85" t="n">
        <v>11</v>
      </c>
      <c r="CZ13" s="85" t="s">
        <v>9</v>
      </c>
      <c r="DA13" s="86" t="n">
        <v>3390.73971875</v>
      </c>
      <c r="DB13" s="58" t="n">
        <v>3111.5</v>
      </c>
      <c r="DC13" s="93" t="n">
        <f aca="false">DB13/DA13</f>
        <v>0.917646371614468</v>
      </c>
      <c r="DD13" s="81"/>
      <c r="DE13" s="85" t="n">
        <v>11</v>
      </c>
      <c r="DF13" s="85" t="s">
        <v>17</v>
      </c>
      <c r="DG13" s="86" t="n">
        <v>4499.2023125</v>
      </c>
      <c r="DH13" s="58" t="n">
        <v>1972.08</v>
      </c>
      <c r="DI13" s="93" t="n">
        <f aca="false">DH13/DG13</f>
        <v>0.438317697899699</v>
      </c>
      <c r="DJ13" s="81"/>
      <c r="DK13" s="85" t="n">
        <v>11</v>
      </c>
      <c r="DL13" s="85" t="s">
        <v>7</v>
      </c>
      <c r="DM13" s="86" t="n">
        <v>3244.36143333333</v>
      </c>
      <c r="DN13" s="58" t="n">
        <v>2415.5</v>
      </c>
      <c r="DO13" s="93" t="n">
        <f aca="false">DN13/DM13</f>
        <v>0.744522473723977</v>
      </c>
      <c r="DP13" s="81"/>
      <c r="DQ13" s="85" t="n">
        <v>11</v>
      </c>
      <c r="DR13" s="85" t="s">
        <v>11</v>
      </c>
      <c r="DS13" s="86" t="n">
        <v>2817.0883125</v>
      </c>
      <c r="DT13" s="58" t="n">
        <v>4732.57</v>
      </c>
      <c r="DU13" s="93" t="n">
        <f aca="false">DT13/DS13</f>
        <v>1.67995088368391</v>
      </c>
      <c r="DV13" s="81"/>
      <c r="DW13" s="85" t="n">
        <v>11</v>
      </c>
      <c r="DX13" s="85" t="s">
        <v>18</v>
      </c>
      <c r="DY13" s="86" t="n">
        <v>2896.25827826088</v>
      </c>
      <c r="DZ13" s="58" t="n">
        <v>4360.75</v>
      </c>
      <c r="EA13" s="93" t="n">
        <f aca="false">DZ13/DY13</f>
        <v>1.50564955920247</v>
      </c>
      <c r="EB13" s="81"/>
      <c r="EC13" s="85" t="n">
        <v>11</v>
      </c>
      <c r="ED13" s="85" t="s">
        <v>7</v>
      </c>
      <c r="EE13" s="86" t="n">
        <v>3820.83230769231</v>
      </c>
      <c r="EF13" s="58" t="n">
        <v>2933.75</v>
      </c>
      <c r="EG13" s="93" t="n">
        <f aca="false">EF13/EE13</f>
        <v>0.767830086155211</v>
      </c>
      <c r="EH13" s="100"/>
      <c r="EI13" s="85" t="n">
        <v>11</v>
      </c>
      <c r="EJ13" s="85" t="s">
        <v>13</v>
      </c>
      <c r="EK13" s="86" t="n">
        <v>4193.88859615385</v>
      </c>
      <c r="EL13" s="58" t="n">
        <v>5174</v>
      </c>
      <c r="EM13" s="93" t="n">
        <f aca="false">EL13/EK13</f>
        <v>1.23369991390448</v>
      </c>
      <c r="EN13" s="81"/>
      <c r="EO13" s="85" t="n">
        <v>11</v>
      </c>
      <c r="EP13" s="85" t="s">
        <v>20</v>
      </c>
      <c r="EQ13" s="86" t="n">
        <v>3824.392</v>
      </c>
      <c r="ER13" s="58" t="n">
        <v>4036</v>
      </c>
      <c r="ES13" s="93" t="n">
        <f aca="false">ER13/EQ13</f>
        <v>1.05533114806223</v>
      </c>
      <c r="ET13" s="81"/>
      <c r="EU13" s="85" t="n">
        <v>11</v>
      </c>
      <c r="EV13" s="85" t="s">
        <v>20</v>
      </c>
      <c r="EW13" s="86" t="n">
        <v>3947.55533333333</v>
      </c>
      <c r="EX13" s="58" t="n">
        <v>2203.75</v>
      </c>
      <c r="EY13" s="93" t="n">
        <f aca="false">EX13/EW13</f>
        <v>0.558256899248869</v>
      </c>
      <c r="FA13" s="85" t="n">
        <v>11</v>
      </c>
      <c r="FB13" s="85" t="s">
        <v>11</v>
      </c>
      <c r="FC13" s="86" t="n">
        <v>4211.02930769231</v>
      </c>
      <c r="FD13" s="58" t="n">
        <v>3065.81</v>
      </c>
      <c r="FE13" s="93" t="n">
        <f aca="false">FD13/FC13</f>
        <v>0.728042902574833</v>
      </c>
      <c r="FG13" s="85" t="n">
        <v>11</v>
      </c>
      <c r="FH13" s="85" t="s">
        <v>17</v>
      </c>
      <c r="FI13" s="86" t="n">
        <v>5046.12053846154</v>
      </c>
      <c r="FJ13" s="58" t="n">
        <v>2910.75</v>
      </c>
      <c r="FK13" s="93" t="n">
        <f aca="false">FJ13/FI13</f>
        <v>0.576829264741946</v>
      </c>
      <c r="FL13" s="100"/>
      <c r="FM13" s="85" t="n">
        <v>11</v>
      </c>
      <c r="FN13" s="85" t="s">
        <v>7</v>
      </c>
      <c r="FO13" s="86" t="n">
        <v>3456.04072</v>
      </c>
      <c r="FP13" s="58" t="n">
        <v>2997.75</v>
      </c>
      <c r="FQ13" s="93" t="n">
        <f aca="false">FP13/FO13</f>
        <v>0.867394293895935</v>
      </c>
      <c r="FS13" s="85" t="n">
        <v>11</v>
      </c>
      <c r="FT13" s="85" t="s">
        <v>11</v>
      </c>
      <c r="FU13" s="86" t="n">
        <v>3432.83980769231</v>
      </c>
      <c r="FV13" s="58" t="n">
        <v>3388.5</v>
      </c>
      <c r="FW13" s="93" t="n">
        <f aca="false">FV13/FU13</f>
        <v>0.987083636238151</v>
      </c>
      <c r="FY13" s="85" t="n">
        <v>11</v>
      </c>
      <c r="FZ13" s="85" t="s">
        <v>18</v>
      </c>
      <c r="GA13" s="86" t="n">
        <v>2733.30451923077</v>
      </c>
      <c r="GB13" s="58" t="n">
        <v>2170.52</v>
      </c>
      <c r="GC13" s="93" t="n">
        <f aca="false">GB13/GA13</f>
        <v>0.794101054137519</v>
      </c>
      <c r="GE13" s="7" t="n">
        <v>11</v>
      </c>
      <c r="GF13" s="7" t="s">
        <v>9</v>
      </c>
      <c r="GG13" s="3" t="n">
        <v>3151.42417307692</v>
      </c>
      <c r="GH13" s="10" t="n">
        <v>2250</v>
      </c>
      <c r="GI13" s="93" t="n">
        <f aca="false">GH13/GG13</f>
        <v>0.713962918486848</v>
      </c>
      <c r="GK13" s="7" t="n">
        <v>11</v>
      </c>
      <c r="GL13" s="7" t="s">
        <v>13</v>
      </c>
      <c r="GM13" s="3" t="n">
        <v>4334.40196296296</v>
      </c>
      <c r="GN13" s="10" t="n">
        <v>8622</v>
      </c>
      <c r="GO13" s="93" t="n">
        <f aca="false">GN13/GM13</f>
        <v>1.98920175693767</v>
      </c>
      <c r="GQ13" s="7" t="n">
        <v>11</v>
      </c>
      <c r="GR13" s="7" t="s">
        <v>20</v>
      </c>
      <c r="GS13" s="3" t="n">
        <v>2882.27175961539</v>
      </c>
      <c r="GT13" s="10" t="n">
        <v>3252.5</v>
      </c>
      <c r="GU13" s="93" t="n">
        <f aca="false">GT13/GS13</f>
        <v>1.12845015018085</v>
      </c>
      <c r="GW13" s="7" t="n">
        <v>11</v>
      </c>
      <c r="GX13" s="7" t="s">
        <v>9</v>
      </c>
      <c r="GY13" s="3" t="n">
        <v>3129.20941666667</v>
      </c>
      <c r="GZ13" s="10" t="n">
        <v>2524</v>
      </c>
      <c r="HA13" s="93" t="n">
        <f aca="false">GZ13/GY13</f>
        <v>0.806593507790425</v>
      </c>
      <c r="HC13" s="7" t="n">
        <v>11</v>
      </c>
      <c r="HD13" s="7" t="s">
        <v>17</v>
      </c>
      <c r="HE13" s="3" t="n">
        <v>4064.60462</v>
      </c>
      <c r="HF13" s="8" t="n">
        <v>5247</v>
      </c>
      <c r="HG13" s="93" t="n">
        <f aca="false">HF13/HE13</f>
        <v>1.29090046647637</v>
      </c>
      <c r="HI13" s="7" t="n">
        <v>11</v>
      </c>
      <c r="HJ13" s="7" t="s">
        <v>7</v>
      </c>
      <c r="HK13" s="3" t="n">
        <v>3123.952</v>
      </c>
      <c r="HL13" s="36" t="n">
        <v>4457</v>
      </c>
      <c r="HM13" s="93" t="n">
        <f aca="false">HL13/HK13</f>
        <v>1.42671846430419</v>
      </c>
      <c r="HO13" s="7" t="n">
        <v>11</v>
      </c>
      <c r="HP13" s="7" t="s">
        <v>7</v>
      </c>
      <c r="HQ13" s="3" t="n">
        <v>3000.2225</v>
      </c>
      <c r="HR13" s="36" t="n">
        <v>5202</v>
      </c>
      <c r="HS13" s="93" t="n">
        <f aca="false">HR13/HQ13</f>
        <v>1.7338714045375</v>
      </c>
      <c r="HU13" s="7" t="n">
        <v>11</v>
      </c>
      <c r="HV13" s="7" t="s">
        <v>13</v>
      </c>
      <c r="HW13" s="3" t="n">
        <v>4705.97004166667</v>
      </c>
      <c r="HX13" s="36" t="n">
        <v>4750.5</v>
      </c>
      <c r="HY13" s="93" t="n">
        <f aca="false">HX13/HW13</f>
        <v>1.00946243982411</v>
      </c>
      <c r="HZ13" s="100"/>
      <c r="IA13" s="7" t="n">
        <v>11</v>
      </c>
      <c r="IB13" s="7" t="s">
        <v>18</v>
      </c>
      <c r="IC13" s="3" t="n">
        <v>2465.12093333333</v>
      </c>
      <c r="ID13" s="36" t="n">
        <v>1685</v>
      </c>
      <c r="IE13" s="93" t="n">
        <f aca="false">ID13/IC13</f>
        <v>0.683536445297856</v>
      </c>
      <c r="IG13" s="7" t="n">
        <v>11</v>
      </c>
      <c r="IH13" s="7" t="s">
        <v>9</v>
      </c>
      <c r="II13" s="3" t="n">
        <v>2625.013875</v>
      </c>
      <c r="IJ13" s="36" t="n">
        <v>1727.5</v>
      </c>
      <c r="IK13" s="93" t="n">
        <f aca="false">IJ13/II13</f>
        <v>0.658091759610223</v>
      </c>
    </row>
    <row r="14" customFormat="false" ht="15.75" hidden="false" customHeight="false" outlineLevel="0" collapsed="false">
      <c r="A14" s="85" t="n">
        <v>12</v>
      </c>
      <c r="B14" s="85" t="s">
        <v>17</v>
      </c>
      <c r="C14" s="90" t="n">
        <v>4000</v>
      </c>
      <c r="D14" s="58" t="n">
        <v>5480.5</v>
      </c>
      <c r="E14" s="91" t="n">
        <f aca="false">D14/C14</f>
        <v>1.370125</v>
      </c>
      <c r="F14" s="81"/>
      <c r="G14" s="85" t="n">
        <v>12</v>
      </c>
      <c r="H14" s="85" t="s">
        <v>17</v>
      </c>
      <c r="I14" s="92" t="n">
        <v>4734.9025</v>
      </c>
      <c r="J14" s="86" t="n">
        <v>4383</v>
      </c>
      <c r="K14" s="93" t="n">
        <f aca="false">J14/I14</f>
        <v>0.925679039853513</v>
      </c>
      <c r="L14" s="81"/>
      <c r="M14" s="85" t="n">
        <v>12</v>
      </c>
      <c r="N14" s="85" t="s">
        <v>7</v>
      </c>
      <c r="O14" s="86" t="n">
        <v>3505.10506666667</v>
      </c>
      <c r="P14" s="86" t="n">
        <v>2640</v>
      </c>
      <c r="Q14" s="93" t="n">
        <f aca="false">P14/O14</f>
        <v>0.753187122721722</v>
      </c>
      <c r="R14" s="81"/>
      <c r="S14" s="85" t="n">
        <v>12</v>
      </c>
      <c r="T14" s="85" t="s">
        <v>11</v>
      </c>
      <c r="U14" s="58" t="n">
        <v>4033.78076923077</v>
      </c>
      <c r="V14" s="58" t="n">
        <v>3488</v>
      </c>
      <c r="W14" s="93" t="n">
        <f aca="false">V14/U14</f>
        <v>0.864697463631657</v>
      </c>
      <c r="X14" s="81"/>
      <c r="Y14" s="101" t="n">
        <v>12</v>
      </c>
      <c r="Z14" s="85" t="s">
        <v>18</v>
      </c>
      <c r="AA14" s="95" t="n">
        <v>2557.5375</v>
      </c>
      <c r="AB14" s="58" t="n">
        <v>2140.5</v>
      </c>
      <c r="AC14" s="93" t="n">
        <f aca="false">AB14/AA14</f>
        <v>0.83693787481122</v>
      </c>
      <c r="AD14" s="81"/>
      <c r="AE14" s="101" t="n">
        <v>12</v>
      </c>
      <c r="AF14" s="85" t="s">
        <v>7</v>
      </c>
      <c r="AG14" s="95" t="n">
        <v>3100.40545238095</v>
      </c>
      <c r="AH14" s="58" t="n">
        <v>3377.5</v>
      </c>
      <c r="AI14" s="93" t="n">
        <f aca="false">AH14/AG14</f>
        <v>1.08937364866465</v>
      </c>
      <c r="AJ14" s="81"/>
      <c r="AK14" s="101" t="n">
        <v>12</v>
      </c>
      <c r="AL14" s="85" t="s">
        <v>13</v>
      </c>
      <c r="AM14" s="58" t="n">
        <v>4370.5494</v>
      </c>
      <c r="AN14" s="58" t="n">
        <v>4542.01</v>
      </c>
      <c r="AO14" s="93" t="n">
        <f aca="false">AN14/AM14</f>
        <v>1.03923090309882</v>
      </c>
      <c r="AP14" s="81"/>
      <c r="AQ14" s="85" t="n">
        <v>12</v>
      </c>
      <c r="AR14" s="85" t="s">
        <v>20</v>
      </c>
      <c r="AS14" s="58" t="n">
        <v>3489.23480769231</v>
      </c>
      <c r="AT14" s="58" t="n">
        <v>2463</v>
      </c>
      <c r="AU14" s="93" t="n">
        <f aca="false">AT14/AS14</f>
        <v>0.705885426389222</v>
      </c>
      <c r="AV14" s="81"/>
      <c r="AW14" s="85" t="n">
        <v>12</v>
      </c>
      <c r="AX14" s="85" t="s">
        <v>9</v>
      </c>
      <c r="AY14" s="58" t="n">
        <v>3535.0242</v>
      </c>
      <c r="AZ14" s="58" t="n">
        <v>6548.5</v>
      </c>
      <c r="BA14" s="93" t="n">
        <f aca="false">AZ14/AY14</f>
        <v>1.85246256588569</v>
      </c>
      <c r="BB14" s="81"/>
      <c r="BC14" s="85" t="n">
        <v>12</v>
      </c>
      <c r="BD14" s="85" t="s">
        <v>17</v>
      </c>
      <c r="BE14" s="58" t="n">
        <v>5140.16838461539</v>
      </c>
      <c r="BF14" s="58" t="n">
        <v>6334.5</v>
      </c>
      <c r="BG14" s="93" t="n">
        <f aca="false">BF14/BE14</f>
        <v>1.23235262466484</v>
      </c>
      <c r="BH14" s="81"/>
      <c r="BI14" s="85" t="n">
        <v>12</v>
      </c>
      <c r="BJ14" s="85" t="s">
        <v>20</v>
      </c>
      <c r="BK14" s="58" t="n">
        <v>3435.89447727273</v>
      </c>
      <c r="BL14" s="58" t="n">
        <v>3028.01</v>
      </c>
      <c r="BM14" s="93" t="n">
        <f aca="false">BL14/BK14</f>
        <v>0.881287251406949</v>
      </c>
      <c r="BN14" s="81"/>
      <c r="BO14" s="85" t="n">
        <v>12</v>
      </c>
      <c r="BP14" s="85" t="s">
        <v>11</v>
      </c>
      <c r="BQ14" s="58" t="n">
        <v>4029.96582692308</v>
      </c>
      <c r="BR14" s="58" t="n">
        <v>3733.53</v>
      </c>
      <c r="BS14" s="93" t="n">
        <f aca="false">BR14/BQ14</f>
        <v>0.926442099101021</v>
      </c>
      <c r="BT14" s="81"/>
      <c r="BU14" s="85" t="n">
        <v>12</v>
      </c>
      <c r="BV14" s="85" t="s">
        <v>18</v>
      </c>
      <c r="BW14" s="58" t="n">
        <v>3222.12748846154</v>
      </c>
      <c r="BX14" s="58" t="n">
        <v>3647.55</v>
      </c>
      <c r="BY14" s="93" t="n">
        <f aca="false">BX14/BW14</f>
        <v>1.13203155774</v>
      </c>
      <c r="BZ14" s="81"/>
      <c r="CA14" s="85" t="n">
        <v>12</v>
      </c>
      <c r="CB14" s="85" t="s">
        <v>20</v>
      </c>
      <c r="CC14" s="58" t="n">
        <v>3607.60614423077</v>
      </c>
      <c r="CD14" s="58" t="n">
        <v>5202</v>
      </c>
      <c r="CE14" s="93" t="n">
        <f aca="false">CD14/CC14</f>
        <v>1.44195341509742</v>
      </c>
      <c r="CF14" s="81"/>
      <c r="CG14" s="85" t="n">
        <v>12</v>
      </c>
      <c r="CH14" s="85" t="s">
        <v>11</v>
      </c>
      <c r="CI14" s="86" t="n">
        <v>4618.74731971154</v>
      </c>
      <c r="CJ14" s="58" t="n">
        <v>3759.54</v>
      </c>
      <c r="CK14" s="93" t="n">
        <f aca="false">CJ14/CI14</f>
        <v>0.813973950026519</v>
      </c>
      <c r="CL14" s="81"/>
      <c r="CM14" s="85" t="n">
        <v>12</v>
      </c>
      <c r="CN14" s="85" t="s">
        <v>17</v>
      </c>
      <c r="CO14" s="86" t="n">
        <v>6423.77193333333</v>
      </c>
      <c r="CP14" s="60" t="n">
        <v>2134.07</v>
      </c>
      <c r="CQ14" s="93" t="n">
        <f aca="false">CP14/CO14</f>
        <v>0.332214471831758</v>
      </c>
      <c r="CR14" s="81"/>
      <c r="CS14" s="85" t="n">
        <v>12</v>
      </c>
      <c r="CT14" s="85" t="s">
        <v>7</v>
      </c>
      <c r="CU14" s="86" t="n">
        <v>3423.9315</v>
      </c>
      <c r="CV14" s="58" t="n">
        <v>3044.03</v>
      </c>
      <c r="CW14" s="93" t="n">
        <f aca="false">CV14/CU14</f>
        <v>0.889045239368837</v>
      </c>
      <c r="CX14" s="81"/>
      <c r="CY14" s="85" t="n">
        <v>12</v>
      </c>
      <c r="CZ14" s="85" t="s">
        <v>11</v>
      </c>
      <c r="DA14" s="86" t="n">
        <v>3831.45896875</v>
      </c>
      <c r="DB14" s="58" t="n">
        <v>2512.56</v>
      </c>
      <c r="DC14" s="93" t="n">
        <f aca="false">DB14/DA14</f>
        <v>0.6557710836767</v>
      </c>
      <c r="DD14" s="81"/>
      <c r="DE14" s="85" t="n">
        <v>12</v>
      </c>
      <c r="DF14" s="85" t="s">
        <v>18</v>
      </c>
      <c r="DG14" s="86" t="n">
        <v>2899.715</v>
      </c>
      <c r="DH14" s="58" t="n">
        <v>2737.7</v>
      </c>
      <c r="DI14" s="93" t="n">
        <f aca="false">DH14/DG14</f>
        <v>0.944127267679755</v>
      </c>
      <c r="DJ14" s="81"/>
      <c r="DK14" s="85" t="n">
        <v>12</v>
      </c>
      <c r="DL14" s="85" t="s">
        <v>9</v>
      </c>
      <c r="DM14" s="86" t="n">
        <v>3168.16775</v>
      </c>
      <c r="DN14" s="58" t="n">
        <v>2605.52</v>
      </c>
      <c r="DO14" s="93" t="n">
        <f aca="false">DN14/DM14</f>
        <v>0.822405947412349</v>
      </c>
      <c r="DP14" s="81"/>
      <c r="DQ14" s="85" t="n">
        <v>12</v>
      </c>
      <c r="DR14" s="85" t="s">
        <v>13</v>
      </c>
      <c r="DS14" s="86" t="n">
        <v>3631.1611875</v>
      </c>
      <c r="DT14" s="58" t="n">
        <v>5725.01</v>
      </c>
      <c r="DU14" s="93" t="n">
        <f aca="false">DT14/DS14</f>
        <v>1.57663339752251</v>
      </c>
      <c r="DV14" s="81"/>
      <c r="DW14" s="85" t="n">
        <v>12</v>
      </c>
      <c r="DX14" s="85" t="s">
        <v>20</v>
      </c>
      <c r="DY14" s="102" t="n">
        <v>3657.8939775</v>
      </c>
      <c r="DZ14" s="58" t="n">
        <v>5184.8</v>
      </c>
      <c r="EA14" s="93" t="n">
        <f aca="false">DZ14/DY14</f>
        <v>1.4174276323732</v>
      </c>
      <c r="EB14" s="81"/>
      <c r="EC14" s="85" t="n">
        <v>12</v>
      </c>
      <c r="ED14" s="85" t="s">
        <v>9</v>
      </c>
      <c r="EE14" s="102" t="n">
        <v>3738.57553846154</v>
      </c>
      <c r="EF14" s="58" t="n">
        <v>2501.6</v>
      </c>
      <c r="EG14" s="93" t="n">
        <f aca="false">EF14/EE14</f>
        <v>0.66913185898323</v>
      </c>
      <c r="EH14" s="100"/>
      <c r="EI14" s="85" t="n">
        <v>12</v>
      </c>
      <c r="EJ14" s="85" t="s">
        <v>17</v>
      </c>
      <c r="EK14" s="102" t="n">
        <v>3751.09713461538</v>
      </c>
      <c r="EL14" s="58" t="n">
        <v>3844.25</v>
      </c>
      <c r="EM14" s="93" t="n">
        <f aca="false">EL14/EK14</f>
        <v>1.02483349858499</v>
      </c>
      <c r="EN14" s="81"/>
      <c r="EO14" s="85" t="n">
        <v>12</v>
      </c>
      <c r="EP14" s="85" t="s">
        <v>7</v>
      </c>
      <c r="EQ14" s="102" t="n">
        <v>3598.85944</v>
      </c>
      <c r="ER14" s="58" t="n">
        <v>5012.26</v>
      </c>
      <c r="ES14" s="93" t="n">
        <f aca="false">ER14/EQ14</f>
        <v>1.39273569406201</v>
      </c>
      <c r="ET14" s="81"/>
      <c r="EU14" s="85" t="n">
        <v>12</v>
      </c>
      <c r="EV14" s="85" t="s">
        <v>7</v>
      </c>
      <c r="EW14" s="102" t="n">
        <v>3815.68264</v>
      </c>
      <c r="EX14" s="58" t="n">
        <v>3651</v>
      </c>
      <c r="EY14" s="93" t="n">
        <f aca="false">EX14/EW14</f>
        <v>0.956840582528111</v>
      </c>
      <c r="FA14" s="85" t="n">
        <v>12</v>
      </c>
      <c r="FB14" s="85" t="s">
        <v>13</v>
      </c>
      <c r="FC14" s="102" t="n">
        <v>5462.33303846154</v>
      </c>
      <c r="FD14" s="58" t="n">
        <v>3065.25</v>
      </c>
      <c r="FE14" s="93" t="n">
        <f aca="false">FD14/FC14</f>
        <v>0.561161316678582</v>
      </c>
      <c r="FG14" s="85" t="n">
        <v>12</v>
      </c>
      <c r="FH14" s="85" t="s">
        <v>18</v>
      </c>
      <c r="FI14" s="102" t="n">
        <v>3488.60176923077</v>
      </c>
      <c r="FJ14" s="58" t="n">
        <v>1417.26</v>
      </c>
      <c r="FK14" s="93" t="n">
        <f aca="false">FJ14/FI14</f>
        <v>0.406254451998545</v>
      </c>
      <c r="FL14" s="100"/>
      <c r="FM14" s="85" t="n">
        <v>12</v>
      </c>
      <c r="FN14" s="85" t="s">
        <v>9</v>
      </c>
      <c r="FO14" s="102" t="n">
        <v>3327.21696153846</v>
      </c>
      <c r="FP14" s="58" t="n">
        <v>3996.29</v>
      </c>
      <c r="FQ14" s="93" t="n">
        <f aca="false">FP14/FO14</f>
        <v>1.20109089554297</v>
      </c>
      <c r="FS14" s="85" t="n">
        <v>12</v>
      </c>
      <c r="FT14" s="85" t="s">
        <v>13</v>
      </c>
      <c r="FU14" s="102" t="n">
        <v>4957.44530769231</v>
      </c>
      <c r="FV14" s="58" t="n">
        <v>4008.16</v>
      </c>
      <c r="FW14" s="93" t="n">
        <f aca="false">FV14/FU14</f>
        <v>0.808513206142822</v>
      </c>
      <c r="FY14" s="85" t="n">
        <v>12</v>
      </c>
      <c r="FZ14" s="85" t="s">
        <v>20</v>
      </c>
      <c r="GA14" s="102" t="n">
        <v>2712.61778846154</v>
      </c>
      <c r="GB14" s="58" t="n">
        <v>3052</v>
      </c>
      <c r="GC14" s="93" t="n">
        <f aca="false">GB14/GA14</f>
        <v>1.12511243308293</v>
      </c>
      <c r="GE14" s="7" t="n">
        <v>12</v>
      </c>
      <c r="GF14" s="7" t="s">
        <v>11</v>
      </c>
      <c r="GG14" s="32" t="n">
        <v>3011.91634615385</v>
      </c>
      <c r="GH14" s="10" t="n">
        <v>2097.93</v>
      </c>
      <c r="GI14" s="93" t="n">
        <f aca="false">GH14/GG14</f>
        <v>0.696543249841255</v>
      </c>
      <c r="GK14" s="7" t="n">
        <v>12</v>
      </c>
      <c r="GL14" s="7" t="s">
        <v>17</v>
      </c>
      <c r="GM14" s="3" t="n">
        <v>3846.46377777778</v>
      </c>
      <c r="GN14" s="10" t="n">
        <v>7934.7</v>
      </c>
      <c r="GO14" s="93" t="n">
        <f aca="false">GN14/GM14</f>
        <v>2.06285577049789</v>
      </c>
      <c r="GQ14" s="7" t="n">
        <v>12</v>
      </c>
      <c r="GR14" s="7" t="s">
        <v>7</v>
      </c>
      <c r="GS14" s="3" t="n">
        <v>3563.13087403846</v>
      </c>
      <c r="GT14" s="10" t="n">
        <v>1830.5</v>
      </c>
      <c r="GU14" s="93" t="n">
        <f aca="false">GT14/GS14</f>
        <v>0.513733585633162</v>
      </c>
      <c r="GW14" s="7" t="n">
        <v>12</v>
      </c>
      <c r="GX14" s="7" t="s">
        <v>11</v>
      </c>
      <c r="GY14" s="3" t="n">
        <v>2824.96158333333</v>
      </c>
      <c r="GZ14" s="10" t="n">
        <v>2651</v>
      </c>
      <c r="HA14" s="93" t="n">
        <f aca="false">GZ14/GY14</f>
        <v>0.938419841048577</v>
      </c>
      <c r="HC14" s="7" t="n">
        <v>12</v>
      </c>
      <c r="HD14" s="7" t="s">
        <v>18</v>
      </c>
      <c r="HE14" s="3" t="n">
        <v>2356.85408333333</v>
      </c>
      <c r="HF14" s="8" t="n">
        <v>2547.5</v>
      </c>
      <c r="HG14" s="93" t="n">
        <f aca="false">HF14/HE14</f>
        <v>1.08088999570013</v>
      </c>
      <c r="HI14" s="7" t="n">
        <v>12</v>
      </c>
      <c r="HJ14" s="7" t="s">
        <v>9</v>
      </c>
      <c r="HK14" s="3" t="n">
        <v>3353.44953846154</v>
      </c>
      <c r="HL14" s="8" t="n">
        <v>1257</v>
      </c>
      <c r="HM14" s="93" t="n">
        <f aca="false">HL14/HK14</f>
        <v>0.374837905143094</v>
      </c>
      <c r="HO14" s="7" t="n">
        <v>12</v>
      </c>
      <c r="HP14" s="7" t="s">
        <v>9</v>
      </c>
      <c r="HQ14" s="3" t="n">
        <v>3049.44030769231</v>
      </c>
      <c r="HR14" s="8" t="n">
        <v>2442.5</v>
      </c>
      <c r="HS14" s="93" t="n">
        <f aca="false">HR14/HQ14</f>
        <v>0.800966654057375</v>
      </c>
      <c r="HU14" s="7" t="n">
        <v>12</v>
      </c>
      <c r="HV14" s="7" t="s">
        <v>17</v>
      </c>
      <c r="HW14" s="3" t="n">
        <v>4690.85558333333</v>
      </c>
      <c r="HX14" s="8" t="n">
        <v>4090</v>
      </c>
      <c r="HY14" s="93" t="n">
        <f aca="false">HX14/HW14</f>
        <v>0.871909170372206</v>
      </c>
      <c r="HZ14" s="100"/>
      <c r="IA14" s="7" t="n">
        <v>12</v>
      </c>
      <c r="IB14" s="7" t="s">
        <v>20</v>
      </c>
      <c r="IC14" s="3" t="n">
        <v>2649.56393333333</v>
      </c>
      <c r="ID14" s="8" t="n">
        <v>2066</v>
      </c>
      <c r="IE14" s="93" t="n">
        <f aca="false">ID14/IC14</f>
        <v>0.779750952225874</v>
      </c>
      <c r="IG14" s="7" t="n">
        <v>12</v>
      </c>
      <c r="IH14" s="7" t="s">
        <v>11</v>
      </c>
      <c r="II14" s="3" t="n">
        <v>2871.523875</v>
      </c>
      <c r="IJ14" s="8" t="n">
        <v>4061.01</v>
      </c>
      <c r="IK14" s="93" t="n">
        <f aca="false">IJ14/II14</f>
        <v>1.41423515066543</v>
      </c>
    </row>
    <row r="15" customFormat="false" ht="15.75" hidden="false" customHeight="false" outlineLevel="0" collapsed="false">
      <c r="A15" s="85" t="n">
        <v>13</v>
      </c>
      <c r="B15" s="85" t="s">
        <v>18</v>
      </c>
      <c r="C15" s="90" t="n">
        <v>1900</v>
      </c>
      <c r="D15" s="58" t="n">
        <v>4060.5</v>
      </c>
      <c r="E15" s="91" t="n">
        <f aca="false">D15/C15</f>
        <v>2.13710526315789</v>
      </c>
      <c r="F15" s="81"/>
      <c r="G15" s="85" t="n">
        <v>13</v>
      </c>
      <c r="H15" s="85" t="s">
        <v>18</v>
      </c>
      <c r="I15" s="92" t="n">
        <v>3140.65</v>
      </c>
      <c r="J15" s="86" t="n">
        <v>1733</v>
      </c>
      <c r="K15" s="93" t="n">
        <f aca="false">J15/I15</f>
        <v>0.551796602614109</v>
      </c>
      <c r="L15" s="81"/>
      <c r="M15" s="85" t="n">
        <v>13</v>
      </c>
      <c r="N15" s="85" t="s">
        <v>9</v>
      </c>
      <c r="O15" s="86" t="n">
        <v>2738.74755555556</v>
      </c>
      <c r="P15" s="86" t="n">
        <v>2426.5</v>
      </c>
      <c r="Q15" s="93" t="n">
        <f aca="false">P15/O15</f>
        <v>0.885988924053199</v>
      </c>
      <c r="R15" s="81"/>
      <c r="S15" s="85" t="n">
        <v>13</v>
      </c>
      <c r="T15" s="85" t="s">
        <v>13</v>
      </c>
      <c r="U15" s="58" t="n">
        <v>4690.08846153846</v>
      </c>
      <c r="V15" s="58" t="n">
        <v>3590.5</v>
      </c>
      <c r="W15" s="93" t="n">
        <f aca="false">V15/U15</f>
        <v>0.765550592370326</v>
      </c>
      <c r="X15" s="81"/>
      <c r="Y15" s="101" t="n">
        <v>13</v>
      </c>
      <c r="Z15" s="85" t="s">
        <v>20</v>
      </c>
      <c r="AA15" s="95" t="n">
        <v>3393.50875</v>
      </c>
      <c r="AB15" s="58" t="n">
        <v>2227.5</v>
      </c>
      <c r="AC15" s="93" t="n">
        <f aca="false">AB15/AA15</f>
        <v>0.656400252393632</v>
      </c>
      <c r="AD15" s="81"/>
      <c r="AE15" s="101" t="n">
        <v>13</v>
      </c>
      <c r="AF15" s="85" t="s">
        <v>9</v>
      </c>
      <c r="AG15" s="95" t="n">
        <v>2743.68354782609</v>
      </c>
      <c r="AH15" s="58" t="n">
        <v>3606.02</v>
      </c>
      <c r="AI15" s="93" t="n">
        <f aca="false">AH15/AG15</f>
        <v>1.31429880200913</v>
      </c>
      <c r="AJ15" s="81"/>
      <c r="AK15" s="101" t="n">
        <v>13</v>
      </c>
      <c r="AL15" s="85" t="s">
        <v>17</v>
      </c>
      <c r="AM15" s="58" t="n">
        <v>4138.3610625</v>
      </c>
      <c r="AN15" s="58" t="n">
        <v>3816.5</v>
      </c>
      <c r="AO15" s="93" t="n">
        <f aca="false">AN15/AM15</f>
        <v>0.92222499254196</v>
      </c>
      <c r="AP15" s="81"/>
      <c r="AQ15" s="85" t="n">
        <v>13</v>
      </c>
      <c r="AR15" s="85" t="s">
        <v>7</v>
      </c>
      <c r="AS15" s="58" t="n">
        <v>3715.95565384615</v>
      </c>
      <c r="AT15" s="58" t="n">
        <v>3068</v>
      </c>
      <c r="AU15" s="93" t="n">
        <f aca="false">AT15/AS15</f>
        <v>0.825628798025215</v>
      </c>
      <c r="AV15" s="81"/>
      <c r="AW15" s="85" t="n">
        <v>13</v>
      </c>
      <c r="AX15" s="85" t="s">
        <v>11</v>
      </c>
      <c r="AY15" s="58" t="n">
        <v>3996.56007692308</v>
      </c>
      <c r="AZ15" s="58" t="n">
        <v>6433</v>
      </c>
      <c r="BA15" s="93" t="n">
        <f aca="false">AZ15/AY15</f>
        <v>1.60963425450437</v>
      </c>
      <c r="BB15" s="81"/>
      <c r="BC15" s="85" t="n">
        <v>13</v>
      </c>
      <c r="BD15" s="85" t="s">
        <v>18</v>
      </c>
      <c r="BE15" s="58" t="n">
        <v>2913.27507692308</v>
      </c>
      <c r="BF15" s="58" t="n">
        <v>2463.52</v>
      </c>
      <c r="BG15" s="93" t="n">
        <f aca="false">BF15/BE15</f>
        <v>0.845618740061409</v>
      </c>
      <c r="BH15" s="81"/>
      <c r="BI15" s="85" t="n">
        <v>13</v>
      </c>
      <c r="BJ15" s="85" t="s">
        <v>7</v>
      </c>
      <c r="BK15" s="58" t="n">
        <v>3839.49681818182</v>
      </c>
      <c r="BL15" s="58" t="n">
        <v>3176</v>
      </c>
      <c r="BM15" s="93" t="n">
        <f aca="false">BL15/BK15</f>
        <v>0.827191725999133</v>
      </c>
      <c r="BN15" s="81"/>
      <c r="BO15" s="85" t="n">
        <v>13</v>
      </c>
      <c r="BP15" s="85" t="s">
        <v>13</v>
      </c>
      <c r="BQ15" s="58" t="n">
        <v>5199.17766666667</v>
      </c>
      <c r="BR15" s="58" t="n">
        <v>5902.04</v>
      </c>
      <c r="BS15" s="93" t="n">
        <f aca="false">BR15/BQ15</f>
        <v>1.13518721197769</v>
      </c>
      <c r="BT15" s="81"/>
      <c r="BU15" s="85" t="n">
        <v>13</v>
      </c>
      <c r="BV15" s="85" t="s">
        <v>20</v>
      </c>
      <c r="BW15" s="58" t="n">
        <v>3554.17122980769</v>
      </c>
      <c r="BX15" s="58" t="n">
        <v>4739.5</v>
      </c>
      <c r="BY15" s="93" t="n">
        <f aca="false">BX15/BW15</f>
        <v>1.33350356343311</v>
      </c>
      <c r="BZ15" s="81"/>
      <c r="CA15" s="85" t="n">
        <v>13</v>
      </c>
      <c r="CB15" s="85" t="s">
        <v>7</v>
      </c>
      <c r="CC15" s="58" t="n">
        <v>3949.32755769231</v>
      </c>
      <c r="CD15" s="58" t="n">
        <v>4511.03</v>
      </c>
      <c r="CE15" s="93" t="n">
        <f aca="false">CD15/CC15</f>
        <v>1.14222736253255</v>
      </c>
      <c r="CF15" s="81"/>
      <c r="CG15" s="85" t="n">
        <v>13</v>
      </c>
      <c r="CH15" s="85" t="s">
        <v>13</v>
      </c>
      <c r="CI15" s="86" t="n">
        <v>6207.68088028846</v>
      </c>
      <c r="CJ15" s="58" t="n">
        <v>5133.04</v>
      </c>
      <c r="CK15" s="93" t="n">
        <f aca="false">CJ15/CI15</f>
        <v>0.826885289206664</v>
      </c>
      <c r="CL15" s="81"/>
      <c r="CM15" s="85" t="n">
        <v>13</v>
      </c>
      <c r="CN15" s="85" t="s">
        <v>18</v>
      </c>
      <c r="CO15" s="86" t="n">
        <v>3518.0440625</v>
      </c>
      <c r="CP15" s="60" t="n">
        <v>3067.68</v>
      </c>
      <c r="CQ15" s="93" t="n">
        <f aca="false">CP15/CO15</f>
        <v>0.871984530466636</v>
      </c>
      <c r="CR15" s="81"/>
      <c r="CS15" s="85" t="n">
        <v>13</v>
      </c>
      <c r="CT15" s="85" t="s">
        <v>9</v>
      </c>
      <c r="CU15" s="86" t="n">
        <v>3452.2635</v>
      </c>
      <c r="CV15" s="58" t="n">
        <v>2266.57</v>
      </c>
      <c r="CW15" s="93" t="n">
        <f aca="false">CV15/CU15</f>
        <v>0.656546060287692</v>
      </c>
      <c r="CX15" s="81"/>
      <c r="CY15" s="85" t="n">
        <v>13</v>
      </c>
      <c r="CZ15" s="85" t="s">
        <v>13</v>
      </c>
      <c r="DA15" s="86" t="n">
        <v>5263.61373958333</v>
      </c>
      <c r="DB15" s="58" t="n">
        <v>3434.54</v>
      </c>
      <c r="DC15" s="93" t="n">
        <f aca="false">DB15/DA15</f>
        <v>0.652506086108036</v>
      </c>
      <c r="DD15" s="81"/>
      <c r="DE15" s="85" t="n">
        <v>13</v>
      </c>
      <c r="DF15" s="85" t="s">
        <v>20</v>
      </c>
      <c r="DG15" s="86" t="n">
        <v>3652.4061875</v>
      </c>
      <c r="DH15" s="58" t="n">
        <v>2837.1</v>
      </c>
      <c r="DI15" s="93" t="n">
        <f aca="false">DH15/DG15</f>
        <v>0.776775597881116</v>
      </c>
      <c r="DJ15" s="81"/>
      <c r="DK15" s="85" t="n">
        <v>13</v>
      </c>
      <c r="DL15" s="85" t="s">
        <v>11</v>
      </c>
      <c r="DM15" s="86" t="n">
        <v>3230.885088</v>
      </c>
      <c r="DN15" s="58" t="n">
        <v>2431.5</v>
      </c>
      <c r="DO15" s="93" t="n">
        <f aca="false">DN15/DM15</f>
        <v>0.752580154902742</v>
      </c>
      <c r="DP15" s="81"/>
      <c r="DQ15" s="85" t="n">
        <v>13</v>
      </c>
      <c r="DR15" s="85" t="s">
        <v>17</v>
      </c>
      <c r="DS15" s="86" t="n">
        <v>3162.9469375</v>
      </c>
      <c r="DT15" s="58" t="n">
        <v>6097.03</v>
      </c>
      <c r="DU15" s="93" t="n">
        <f aca="false">DT15/DS15</f>
        <v>1.92764220218601</v>
      </c>
      <c r="DV15" s="81"/>
      <c r="DW15" s="85" t="n">
        <v>13</v>
      </c>
      <c r="DX15" s="85" t="s">
        <v>7</v>
      </c>
      <c r="DY15" s="86" t="n">
        <v>3406.579505</v>
      </c>
      <c r="DZ15" s="58" t="n">
        <v>6840.76</v>
      </c>
      <c r="EA15" s="93" t="n">
        <f aca="false">DZ15/DY15</f>
        <v>2.00810225916039</v>
      </c>
      <c r="EB15" s="81"/>
      <c r="EC15" s="85" t="n">
        <v>13</v>
      </c>
      <c r="ED15" s="85" t="s">
        <v>11</v>
      </c>
      <c r="EE15" s="86" t="n">
        <v>3996.95769230769</v>
      </c>
      <c r="EF15" s="58" t="n">
        <v>3563.35</v>
      </c>
      <c r="EG15" s="93" t="n">
        <f aca="false">EF15/EE15</f>
        <v>0.89151556616619</v>
      </c>
      <c r="EH15" s="100"/>
      <c r="EI15" s="85" t="n">
        <v>13</v>
      </c>
      <c r="EJ15" s="85" t="s">
        <v>18</v>
      </c>
      <c r="EK15" s="86" t="n">
        <v>3161.80644230769</v>
      </c>
      <c r="EL15" s="58" t="n">
        <v>2271.75</v>
      </c>
      <c r="EM15" s="93" t="n">
        <f aca="false">EL15/EK15</f>
        <v>0.718497492320223</v>
      </c>
      <c r="EN15" s="81"/>
      <c r="EO15" s="85" t="n">
        <v>13</v>
      </c>
      <c r="EP15" s="85" t="s">
        <v>9</v>
      </c>
      <c r="EQ15" s="86" t="n">
        <v>3504.97196296296</v>
      </c>
      <c r="ER15" s="58" t="n">
        <v>4701.75</v>
      </c>
      <c r="ES15" s="93" t="n">
        <f aca="false">ER15/EQ15</f>
        <v>1.34145152933701</v>
      </c>
      <c r="ET15" s="81"/>
      <c r="EU15" s="85" t="n">
        <v>13</v>
      </c>
      <c r="EV15" s="85" t="s">
        <v>9</v>
      </c>
      <c r="EW15" s="86" t="n">
        <v>3699.33934615385</v>
      </c>
      <c r="EX15" s="58" t="n">
        <v>3370.25</v>
      </c>
      <c r="EY15" s="93" t="n">
        <f aca="false">EX15/EW15</f>
        <v>0.911041049398185</v>
      </c>
      <c r="FA15" s="85" t="n">
        <v>13</v>
      </c>
      <c r="FB15" s="85" t="s">
        <v>17</v>
      </c>
      <c r="FC15" s="86" t="n">
        <v>5046.12053846154</v>
      </c>
      <c r="FD15" s="58" t="n">
        <v>2786.01</v>
      </c>
      <c r="FE15" s="93" t="n">
        <f aca="false">FD15/FC15</f>
        <v>0.552109284501832</v>
      </c>
      <c r="FG15" s="85" t="n">
        <v>13</v>
      </c>
      <c r="FH15" s="85" t="s">
        <v>20</v>
      </c>
      <c r="FI15" s="86" t="n">
        <v>3878.677</v>
      </c>
      <c r="FJ15" s="58" t="n">
        <v>1942.27</v>
      </c>
      <c r="FK15" s="93" t="n">
        <f aca="false">FJ15/FI15</f>
        <v>0.500755798948971</v>
      </c>
      <c r="FL15" s="100"/>
      <c r="FM15" s="85" t="n">
        <v>13</v>
      </c>
      <c r="FN15" s="85" t="s">
        <v>11</v>
      </c>
      <c r="FO15" s="86" t="n">
        <v>3504.46842307692</v>
      </c>
      <c r="FP15" s="58" t="n">
        <v>1930.5</v>
      </c>
      <c r="FQ15" s="93" t="n">
        <f aca="false">FP15/FO15</f>
        <v>0.550868139455234</v>
      </c>
      <c r="FS15" s="85" t="n">
        <v>13</v>
      </c>
      <c r="FT15" s="85" t="s">
        <v>17</v>
      </c>
      <c r="FU15" s="86" t="n">
        <v>4348.39307692308</v>
      </c>
      <c r="FV15" s="58" t="n">
        <v>2679.07</v>
      </c>
      <c r="FW15" s="93" t="n">
        <f aca="false">FV15/FU15</f>
        <v>0.616105755070263</v>
      </c>
      <c r="FY15" s="85" t="n">
        <v>13</v>
      </c>
      <c r="FZ15" s="85" t="s">
        <v>7</v>
      </c>
      <c r="GA15" s="86" t="n">
        <v>3303.29538461538</v>
      </c>
      <c r="GB15" s="58" t="n">
        <v>3561.52</v>
      </c>
      <c r="GC15" s="93" t="n">
        <f aca="false">GB15/GA15</f>
        <v>1.07817182096014</v>
      </c>
      <c r="GE15" s="7" t="n">
        <v>13</v>
      </c>
      <c r="GF15" s="7" t="s">
        <v>13</v>
      </c>
      <c r="GG15" s="3" t="n">
        <v>4334.40196296296</v>
      </c>
      <c r="GH15" s="10" t="n">
        <v>3593.8</v>
      </c>
      <c r="GI15" s="93" t="n">
        <f aca="false">GH15/GG15</f>
        <v>0.829133991426884</v>
      </c>
      <c r="GK15" s="7" t="n">
        <v>13</v>
      </c>
      <c r="GL15" s="7" t="s">
        <v>18</v>
      </c>
      <c r="GM15" s="21" t="n">
        <v>2544.11846153846</v>
      </c>
      <c r="GN15" s="10" t="n">
        <v>1076.01</v>
      </c>
      <c r="GO15" s="93" t="n">
        <f aca="false">GN15/GM15</f>
        <v>0.422940211419764</v>
      </c>
      <c r="GQ15" s="7" t="n">
        <v>13</v>
      </c>
      <c r="GR15" s="7" t="s">
        <v>9</v>
      </c>
      <c r="GS15" s="21" t="n">
        <v>3624.13779903846</v>
      </c>
      <c r="GT15" s="10" t="n">
        <v>2209</v>
      </c>
      <c r="GU15" s="93" t="n">
        <f aca="false">GT15/GS15</f>
        <v>0.609524284806743</v>
      </c>
      <c r="GW15" s="7" t="n">
        <v>13</v>
      </c>
      <c r="GX15" s="7" t="s">
        <v>13</v>
      </c>
      <c r="GY15" s="21" t="n">
        <v>3969.18954166667</v>
      </c>
      <c r="GZ15" s="10" t="n">
        <v>4429.01</v>
      </c>
      <c r="HA15" s="93" t="n">
        <f aca="false">GZ15/GY15</f>
        <v>1.11584744278557</v>
      </c>
      <c r="HC15" s="7" t="n">
        <v>13</v>
      </c>
      <c r="HD15" s="7" t="s">
        <v>20</v>
      </c>
      <c r="HE15" s="3" t="n">
        <v>2287.03039583333</v>
      </c>
      <c r="HF15" s="8" t="n">
        <v>1989</v>
      </c>
      <c r="HG15" s="93" t="n">
        <f aca="false">HF15/HE15</f>
        <v>0.8696867359628</v>
      </c>
      <c r="HI15" s="7" t="n">
        <v>13</v>
      </c>
      <c r="HJ15" s="7" t="s">
        <v>11</v>
      </c>
      <c r="HK15" s="3" t="n">
        <v>3092.86366666667</v>
      </c>
      <c r="HL15" s="8" t="n">
        <v>1471.5</v>
      </c>
      <c r="HM15" s="93" t="n">
        <f aca="false">HL15/HK15</f>
        <v>0.475772668501069</v>
      </c>
      <c r="HO15" s="7" t="n">
        <v>13</v>
      </c>
      <c r="HP15" s="7" t="s">
        <v>11</v>
      </c>
      <c r="HQ15" s="3" t="n">
        <v>3011.866</v>
      </c>
      <c r="HR15" s="8" t="n">
        <v>2079</v>
      </c>
      <c r="HS15" s="93" t="n">
        <f aca="false">HR15/HQ15</f>
        <v>0.690269753036822</v>
      </c>
      <c r="HU15" s="7" t="n">
        <v>13</v>
      </c>
      <c r="HV15" s="7" t="s">
        <v>18</v>
      </c>
      <c r="HW15" s="3" t="n">
        <v>2460.242125</v>
      </c>
      <c r="HX15" s="8" t="n">
        <v>1953</v>
      </c>
      <c r="HY15" s="93" t="n">
        <f aca="false">HX15/HW15</f>
        <v>0.793824307028317</v>
      </c>
      <c r="HZ15" s="100"/>
      <c r="IA15" s="7" t="n">
        <v>13</v>
      </c>
      <c r="IB15" s="7" t="s">
        <v>7</v>
      </c>
      <c r="IC15" s="3" t="n">
        <v>2953.77090909091</v>
      </c>
      <c r="ID15" s="8" t="n">
        <v>3548</v>
      </c>
      <c r="IE15" s="93" t="n">
        <f aca="false">ID15/IC15</f>
        <v>1.20117643148296</v>
      </c>
      <c r="IG15" s="7" t="n">
        <v>13</v>
      </c>
      <c r="IH15" s="7" t="s">
        <v>13</v>
      </c>
      <c r="II15" s="3" t="n">
        <v>4812.18420833333</v>
      </c>
      <c r="IJ15" s="8" t="n">
        <v>1059</v>
      </c>
      <c r="IK15" s="93" t="n">
        <f aca="false">IJ15/II15</f>
        <v>0.220066388598781</v>
      </c>
    </row>
    <row r="16" customFormat="false" ht="15.75" hidden="false" customHeight="false" outlineLevel="0" collapsed="false">
      <c r="A16" s="85" t="n">
        <v>14</v>
      </c>
      <c r="B16" s="85" t="s">
        <v>20</v>
      </c>
      <c r="C16" s="90" t="n">
        <v>2000</v>
      </c>
      <c r="D16" s="58" t="n">
        <v>3627.5</v>
      </c>
      <c r="E16" s="91" t="n">
        <f aca="false">D16/C16</f>
        <v>1.81375</v>
      </c>
      <c r="F16" s="81"/>
      <c r="G16" s="85" t="n">
        <v>14</v>
      </c>
      <c r="H16" s="85" t="s">
        <v>20</v>
      </c>
      <c r="I16" s="92" t="n">
        <v>3785.785</v>
      </c>
      <c r="J16" s="86" t="n">
        <v>3690</v>
      </c>
      <c r="K16" s="93" t="n">
        <f aca="false">J16/I16</f>
        <v>0.97469877449459</v>
      </c>
      <c r="L16" s="81"/>
      <c r="M16" s="85" t="n">
        <v>14</v>
      </c>
      <c r="N16" s="85" t="s">
        <v>11</v>
      </c>
      <c r="O16" s="86" t="n">
        <v>3468.6145</v>
      </c>
      <c r="P16" s="86" t="n">
        <v>6451</v>
      </c>
      <c r="Q16" s="93" t="n">
        <f aca="false">P16/O16</f>
        <v>1.85982039802924</v>
      </c>
      <c r="R16" s="81"/>
      <c r="S16" s="85" t="n">
        <v>14</v>
      </c>
      <c r="T16" s="85" t="s">
        <v>17</v>
      </c>
      <c r="U16" s="58" t="n">
        <v>4046.23923076923</v>
      </c>
      <c r="V16" s="58" t="n">
        <v>2005.5</v>
      </c>
      <c r="W16" s="93" t="n">
        <f aca="false">V16/U16</f>
        <v>0.495645434098254</v>
      </c>
      <c r="X16" s="81"/>
      <c r="Y16" s="101" t="n">
        <v>14</v>
      </c>
      <c r="Z16" s="85" t="s">
        <v>7</v>
      </c>
      <c r="AA16" s="95" t="n">
        <v>3016.24352941176</v>
      </c>
      <c r="AB16" s="58" t="n">
        <v>3156.51</v>
      </c>
      <c r="AC16" s="93" t="n">
        <f aca="false">AB16/AA16</f>
        <v>1.04650369548098</v>
      </c>
      <c r="AD16" s="81"/>
      <c r="AE16" s="101" t="n">
        <v>14</v>
      </c>
      <c r="AF16" s="85" t="s">
        <v>11</v>
      </c>
      <c r="AG16" s="95" t="n">
        <v>3548.44762608696</v>
      </c>
      <c r="AH16" s="58" t="n">
        <v>3082.5</v>
      </c>
      <c r="AI16" s="93" t="n">
        <f aca="false">AH16/AG16</f>
        <v>0.868689727118565</v>
      </c>
      <c r="AJ16" s="81"/>
      <c r="AK16" s="101" t="n">
        <v>14</v>
      </c>
      <c r="AL16" s="85" t="s">
        <v>18</v>
      </c>
      <c r="AM16" s="58" t="n">
        <v>2705.10176086957</v>
      </c>
      <c r="AN16" s="58" t="n">
        <v>4478</v>
      </c>
      <c r="AO16" s="93" t="n">
        <f aca="false">AN16/AM16</f>
        <v>1.65539059002369</v>
      </c>
      <c r="AP16" s="81"/>
      <c r="AQ16" s="85" t="n">
        <v>14</v>
      </c>
      <c r="AR16" s="85" t="s">
        <v>9</v>
      </c>
      <c r="AS16" s="58" t="n">
        <v>3620.97675</v>
      </c>
      <c r="AT16" s="58" t="n">
        <v>2362</v>
      </c>
      <c r="AU16" s="93" t="n">
        <f aca="false">AT16/AS16</f>
        <v>0.652310181223892</v>
      </c>
      <c r="AV16" s="81"/>
      <c r="AW16" s="85" t="n">
        <v>14</v>
      </c>
      <c r="AX16" s="85" t="s">
        <v>13</v>
      </c>
      <c r="AY16" s="58" t="n">
        <v>5060.51798571429</v>
      </c>
      <c r="AZ16" s="58" t="n">
        <v>7005</v>
      </c>
      <c r="BA16" s="93" t="n">
        <f aca="false">AZ16/AY16</f>
        <v>1.38424564832591</v>
      </c>
      <c r="BB16" s="81"/>
      <c r="BC16" s="85" t="n">
        <v>14</v>
      </c>
      <c r="BD16" s="85" t="s">
        <v>20</v>
      </c>
      <c r="BE16" s="58" t="n">
        <v>3379.77075</v>
      </c>
      <c r="BF16" s="58" t="n">
        <v>3122.5</v>
      </c>
      <c r="BG16" s="93" t="n">
        <f aca="false">BF16/BE16</f>
        <v>0.923879230566156</v>
      </c>
      <c r="BH16" s="81"/>
      <c r="BI16" s="85" t="n">
        <v>14</v>
      </c>
      <c r="BJ16" s="85" t="s">
        <v>9</v>
      </c>
      <c r="BK16" s="58" t="n">
        <v>3758.82436363636</v>
      </c>
      <c r="BL16" s="58" t="n">
        <v>3841.51</v>
      </c>
      <c r="BM16" s="93" t="n">
        <f aca="false">BL16/BK16</f>
        <v>1.02199773875139</v>
      </c>
      <c r="BN16" s="81"/>
      <c r="BO16" s="85" t="n">
        <v>14</v>
      </c>
      <c r="BP16" s="85" t="s">
        <v>17</v>
      </c>
      <c r="BQ16" s="58" t="n">
        <v>5304.46266</v>
      </c>
      <c r="BR16" s="58" t="n">
        <v>6163.5</v>
      </c>
      <c r="BS16" s="93" t="n">
        <f aca="false">BR16/BQ16</f>
        <v>1.16194615648402</v>
      </c>
      <c r="BT16" s="81"/>
      <c r="BU16" s="85" t="n">
        <v>14</v>
      </c>
      <c r="BV16" s="85" t="s">
        <v>7</v>
      </c>
      <c r="BW16" s="58" t="n">
        <v>3944.74966442308</v>
      </c>
      <c r="BX16" s="58" t="n">
        <v>3983.03</v>
      </c>
      <c r="BY16" s="93" t="n">
        <f aca="false">BX16/BW16</f>
        <v>1.00970412290599</v>
      </c>
      <c r="BZ16" s="81"/>
      <c r="CA16" s="85" t="n">
        <v>14</v>
      </c>
      <c r="CB16" s="85" t="s">
        <v>9</v>
      </c>
      <c r="CC16" s="58" t="n">
        <v>3966.21415384615</v>
      </c>
      <c r="CD16" s="58" t="n">
        <v>2940.52</v>
      </c>
      <c r="CE16" s="93" t="n">
        <f aca="false">CD16/CC16</f>
        <v>0.741392140197093</v>
      </c>
      <c r="CF16" s="81"/>
      <c r="CG16" s="85" t="n">
        <v>14</v>
      </c>
      <c r="CH16" s="85" t="s">
        <v>17</v>
      </c>
      <c r="CI16" s="86" t="n">
        <v>6371.97246875</v>
      </c>
      <c r="CJ16" s="58" t="n">
        <v>4879.5</v>
      </c>
      <c r="CK16" s="93" t="n">
        <f aca="false">CJ16/CI16</f>
        <v>0.7657754367161</v>
      </c>
      <c r="CL16" s="81"/>
      <c r="CM16" s="85" t="n">
        <v>14</v>
      </c>
      <c r="CN16" s="85" t="s">
        <v>20</v>
      </c>
      <c r="CO16" s="86" t="n">
        <v>4420.4125625</v>
      </c>
      <c r="CP16" s="60" t="n">
        <v>2663.59</v>
      </c>
      <c r="CQ16" s="93" t="n">
        <f aca="false">CP16/CO16</f>
        <v>0.602565928482835</v>
      </c>
      <c r="CR16" s="81"/>
      <c r="CS16" s="85" t="n">
        <v>14</v>
      </c>
      <c r="CT16" s="85" t="s">
        <v>11</v>
      </c>
      <c r="CU16" s="86" t="n">
        <v>3827.424</v>
      </c>
      <c r="CV16" s="58" t="n">
        <v>3083.04</v>
      </c>
      <c r="CW16" s="93" t="n">
        <f aca="false">CV16/CU16</f>
        <v>0.805513055255963</v>
      </c>
      <c r="CX16" s="81"/>
      <c r="CY16" s="85" t="n">
        <v>14</v>
      </c>
      <c r="CZ16" s="85" t="s">
        <v>17</v>
      </c>
      <c r="DA16" s="86" t="n">
        <v>4936.90694791667</v>
      </c>
      <c r="DB16" s="58" t="n">
        <v>2638.06</v>
      </c>
      <c r="DC16" s="93" t="n">
        <f aca="false">DB16/DA16</f>
        <v>0.534354815237755</v>
      </c>
      <c r="DD16" s="81"/>
      <c r="DE16" s="85" t="n">
        <v>14</v>
      </c>
      <c r="DF16" s="85" t="s">
        <v>7</v>
      </c>
      <c r="DG16" s="86" t="n">
        <v>3405.940125</v>
      </c>
      <c r="DH16" s="58" t="n">
        <v>3064.52</v>
      </c>
      <c r="DI16" s="93" t="n">
        <f aca="false">DH16/DG16</f>
        <v>0.899757449494213</v>
      </c>
      <c r="DJ16" s="81"/>
      <c r="DK16" s="85" t="n">
        <v>14</v>
      </c>
      <c r="DL16" s="85" t="s">
        <v>13</v>
      </c>
      <c r="DM16" s="86" t="n">
        <v>4178.504736</v>
      </c>
      <c r="DN16" s="58" t="n">
        <v>3454.51</v>
      </c>
      <c r="DO16" s="93" t="n">
        <f aca="false">DN16/DM16</f>
        <v>0.826733537056352</v>
      </c>
      <c r="DP16" s="81"/>
      <c r="DQ16" s="85" t="n">
        <v>14</v>
      </c>
      <c r="DR16" s="85" t="s">
        <v>18</v>
      </c>
      <c r="DS16" s="86" t="n">
        <v>2653.7599375</v>
      </c>
      <c r="DT16" s="58" t="n">
        <v>1874.51</v>
      </c>
      <c r="DU16" s="93" t="n">
        <f aca="false">DT16/DS16</f>
        <v>0.70636004919341</v>
      </c>
      <c r="DV16" s="81"/>
      <c r="DW16" s="85" t="n">
        <v>14</v>
      </c>
      <c r="DX16" s="85" t="s">
        <v>9</v>
      </c>
      <c r="DY16" s="86" t="n">
        <v>3326.5761375</v>
      </c>
      <c r="DZ16" s="58" t="n">
        <v>3973.78</v>
      </c>
      <c r="EA16" s="93" t="n">
        <f aca="false">DZ16/DY16</f>
        <v>1.19455555374313</v>
      </c>
      <c r="EB16" s="81"/>
      <c r="EC16" s="85" t="n">
        <v>14</v>
      </c>
      <c r="ED16" s="85" t="s">
        <v>13</v>
      </c>
      <c r="EE16" s="86" t="n">
        <v>4853.73777777778</v>
      </c>
      <c r="EF16" s="58" t="n">
        <v>2487</v>
      </c>
      <c r="EG16" s="93" t="n">
        <f aca="false">EF16/EE16</f>
        <v>0.512388619629683</v>
      </c>
      <c r="EH16" s="100"/>
      <c r="EI16" s="85" t="n">
        <v>14</v>
      </c>
      <c r="EJ16" s="85" t="s">
        <v>20</v>
      </c>
      <c r="EK16" s="86" t="n">
        <v>3526.95252</v>
      </c>
      <c r="EL16" s="58" t="n">
        <v>3730.25</v>
      </c>
      <c r="EM16" s="93" t="n">
        <f aca="false">EL16/EK16</f>
        <v>1.05764111618945</v>
      </c>
      <c r="EN16" s="81"/>
      <c r="EO16" s="85" t="n">
        <v>14</v>
      </c>
      <c r="EP16" s="85" t="s">
        <v>11</v>
      </c>
      <c r="EQ16" s="86" t="n">
        <v>3756.49266666667</v>
      </c>
      <c r="ER16" s="58" t="n">
        <v>3829.5</v>
      </c>
      <c r="ES16" s="93" t="n">
        <f aca="false">ER16/EQ16</f>
        <v>1.01943497294196</v>
      </c>
      <c r="ET16" s="81"/>
      <c r="EU16" s="85" t="n">
        <v>14</v>
      </c>
      <c r="EV16" s="85" t="s">
        <v>11</v>
      </c>
      <c r="EW16" s="86" t="n">
        <v>4094.86380769231</v>
      </c>
      <c r="EX16" s="58" t="n">
        <v>2659.01</v>
      </c>
      <c r="EY16" s="93" t="n">
        <f aca="false">EX16/EW16</f>
        <v>0.649352487622416</v>
      </c>
      <c r="FA16" s="85" t="n">
        <v>14</v>
      </c>
      <c r="FB16" s="85" t="s">
        <v>18</v>
      </c>
      <c r="FC16" s="86" t="n">
        <v>3488.60176923077</v>
      </c>
      <c r="FD16" s="58" t="n">
        <v>2065.51</v>
      </c>
      <c r="FE16" s="93" t="n">
        <f aca="false">FD16/FC16</f>
        <v>0.592073884218502</v>
      </c>
      <c r="FG16" s="85" t="n">
        <v>14</v>
      </c>
      <c r="FH16" s="85" t="s">
        <v>7</v>
      </c>
      <c r="FI16" s="86" t="n">
        <v>3929.07108</v>
      </c>
      <c r="FJ16" s="58" t="n">
        <v>2700</v>
      </c>
      <c r="FK16" s="93" t="n">
        <f aca="false">FJ16/FI16</f>
        <v>0.687185328293934</v>
      </c>
      <c r="FL16" s="100"/>
      <c r="FM16" s="85" t="n">
        <v>14</v>
      </c>
      <c r="FN16" s="85" t="s">
        <v>13</v>
      </c>
      <c r="FO16" s="86" t="n">
        <v>4887.0415</v>
      </c>
      <c r="FP16" s="58" t="n">
        <v>3716.29</v>
      </c>
      <c r="FQ16" s="93" t="n">
        <f aca="false">FP16/FO16</f>
        <v>0.760437577622371</v>
      </c>
      <c r="FS16" s="85" t="n">
        <v>14</v>
      </c>
      <c r="FT16" s="85" t="s">
        <v>18</v>
      </c>
      <c r="FU16" s="86" t="n">
        <v>2816.69469230769</v>
      </c>
      <c r="FV16" s="58" t="n">
        <v>1470.52</v>
      </c>
      <c r="FW16" s="93" t="n">
        <f aca="false">FV16/FU16</f>
        <v>0.522072911919047</v>
      </c>
      <c r="FY16" s="85" t="n">
        <v>14</v>
      </c>
      <c r="FZ16" s="85" t="s">
        <v>9</v>
      </c>
      <c r="GA16" s="86" t="n">
        <v>3318.94157692308</v>
      </c>
      <c r="GB16" s="58" t="n">
        <v>2677.52</v>
      </c>
      <c r="GC16" s="93" t="n">
        <f aca="false">GB16/GA16</f>
        <v>0.806739117861265</v>
      </c>
      <c r="GE16" s="7" t="n">
        <v>14</v>
      </c>
      <c r="GF16" s="7" t="s">
        <v>17</v>
      </c>
      <c r="GG16" s="3" t="n">
        <v>3846.46377777778</v>
      </c>
      <c r="GH16" s="10" t="n">
        <v>2751</v>
      </c>
      <c r="GI16" s="93" t="n">
        <f aca="false">GH16/GG16</f>
        <v>0.715202367403896</v>
      </c>
      <c r="GK16" s="7" t="n">
        <v>14</v>
      </c>
      <c r="GL16" s="7" t="s">
        <v>20</v>
      </c>
      <c r="GM16" s="3" t="n">
        <v>2506.32326923077</v>
      </c>
      <c r="GN16" s="10" t="n">
        <v>2593.01</v>
      </c>
      <c r="GO16" s="93" t="n">
        <f aca="false">GN16/GM16</f>
        <v>1.03458721060984</v>
      </c>
      <c r="GQ16" s="7" t="n">
        <v>14</v>
      </c>
      <c r="GR16" s="7" t="s">
        <v>11</v>
      </c>
      <c r="GS16" s="3" t="n">
        <v>3463.70379807693</v>
      </c>
      <c r="GT16" s="10" t="n">
        <v>2235</v>
      </c>
      <c r="GU16" s="93" t="n">
        <f aca="false">GT16/GS16</f>
        <v>0.645263027756844</v>
      </c>
      <c r="GW16" s="7" t="n">
        <v>14</v>
      </c>
      <c r="GX16" s="7" t="s">
        <v>17</v>
      </c>
      <c r="GY16" s="3" t="n">
        <v>4064.60462</v>
      </c>
      <c r="GZ16" s="10" t="n">
        <v>2350.5</v>
      </c>
      <c r="HA16" s="93" t="n">
        <f aca="false">GZ16/GY16</f>
        <v>0.578285028864628</v>
      </c>
      <c r="HC16" s="7" t="n">
        <v>14</v>
      </c>
      <c r="HD16" s="7" t="s">
        <v>7</v>
      </c>
      <c r="HE16" s="32" t="n">
        <v>2757.4024375</v>
      </c>
      <c r="HF16" s="8" t="n">
        <v>3473.04</v>
      </c>
      <c r="HG16" s="93" t="n">
        <f aca="false">HF16/HE16</f>
        <v>1.25953323053882</v>
      </c>
      <c r="HI16" s="7" t="n">
        <v>14</v>
      </c>
      <c r="HJ16" s="7" t="s">
        <v>13</v>
      </c>
      <c r="HK16" s="32" t="n">
        <v>4778.57114814815</v>
      </c>
      <c r="HL16" s="8" t="n">
        <v>3689.5</v>
      </c>
      <c r="HM16" s="93" t="n">
        <f aca="false">HL16/HK16</f>
        <v>0.772092720944377</v>
      </c>
      <c r="HO16" s="7" t="n">
        <v>14</v>
      </c>
      <c r="HP16" s="7" t="s">
        <v>13</v>
      </c>
      <c r="HQ16" s="32" t="n">
        <v>4793.87107692308</v>
      </c>
      <c r="HR16" s="8" t="n">
        <v>2945.5</v>
      </c>
      <c r="HS16" s="93" t="n">
        <f aca="false">HR16/HQ16</f>
        <v>0.61443037427084</v>
      </c>
      <c r="HU16" s="7" t="n">
        <v>14</v>
      </c>
      <c r="HV16" s="7" t="s">
        <v>20</v>
      </c>
      <c r="HW16" s="32" t="n">
        <v>2676.452625</v>
      </c>
      <c r="HX16" s="8" t="n">
        <v>2354.55</v>
      </c>
      <c r="HY16" s="93" t="n">
        <f aca="false">HX16/HW16</f>
        <v>0.879727882349496</v>
      </c>
      <c r="HZ16" s="100"/>
      <c r="IA16" s="7" t="n">
        <v>14</v>
      </c>
      <c r="IB16" s="7" t="s">
        <v>9</v>
      </c>
      <c r="IC16" s="32" t="n">
        <v>2785.5702</v>
      </c>
      <c r="ID16" s="8" t="n">
        <v>1981.53</v>
      </c>
      <c r="IE16" s="93" t="n">
        <f aca="false">ID16/IC16</f>
        <v>0.711355255021036</v>
      </c>
      <c r="IG16" s="7" t="n">
        <v>14</v>
      </c>
      <c r="IH16" s="7" t="s">
        <v>17</v>
      </c>
      <c r="II16" s="32" t="n">
        <v>4517.60925</v>
      </c>
      <c r="IJ16" s="8" t="n">
        <v>4069.5</v>
      </c>
      <c r="IK16" s="93" t="n">
        <f aca="false">IJ16/II16</f>
        <v>0.900808320241508</v>
      </c>
    </row>
    <row r="17" customFormat="false" ht="15.75" hidden="false" customHeight="false" outlineLevel="0" collapsed="false">
      <c r="A17" s="85" t="n">
        <v>15</v>
      </c>
      <c r="B17" s="85" t="s">
        <v>7</v>
      </c>
      <c r="C17" s="90" t="n">
        <v>2500</v>
      </c>
      <c r="D17" s="58" t="n">
        <v>3655.62</v>
      </c>
      <c r="E17" s="91" t="n">
        <f aca="false">D17/C17</f>
        <v>1.462248</v>
      </c>
      <c r="F17" s="81"/>
      <c r="G17" s="85" t="n">
        <v>15</v>
      </c>
      <c r="H17" s="85" t="s">
        <v>7</v>
      </c>
      <c r="I17" s="92" t="n">
        <v>3528.2075</v>
      </c>
      <c r="J17" s="86" t="n">
        <v>3608.5</v>
      </c>
      <c r="K17" s="93" t="n">
        <f aca="false">J17/I17</f>
        <v>1.02275730664934</v>
      </c>
      <c r="L17" s="81"/>
      <c r="M17" s="85" t="n">
        <v>15</v>
      </c>
      <c r="N17" s="85" t="s">
        <v>13</v>
      </c>
      <c r="O17" s="86" t="n">
        <v>4968.2295</v>
      </c>
      <c r="P17" s="86" t="n">
        <v>4568.5</v>
      </c>
      <c r="Q17" s="93" t="n">
        <f aca="false">P17/O17</f>
        <v>0.919542867333323</v>
      </c>
      <c r="R17" s="81"/>
      <c r="S17" s="85" t="n">
        <v>15</v>
      </c>
      <c r="T17" s="85" t="s">
        <v>18</v>
      </c>
      <c r="U17" s="58" t="n">
        <v>2494.38333333333</v>
      </c>
      <c r="V17" s="58" t="n">
        <v>2120.5</v>
      </c>
      <c r="W17" s="93" t="n">
        <f aca="false">V17/U17</f>
        <v>0.850109913605902</v>
      </c>
      <c r="X17" s="81"/>
      <c r="Y17" s="101" t="n">
        <v>15</v>
      </c>
      <c r="Z17" s="85" t="s">
        <v>9</v>
      </c>
      <c r="AA17" s="95" t="n">
        <v>2559.51111111111</v>
      </c>
      <c r="AB17" s="58" t="n">
        <v>2657.51</v>
      </c>
      <c r="AC17" s="93" t="n">
        <f aca="false">AB17/AA17</f>
        <v>1.0382881279411</v>
      </c>
      <c r="AD17" s="81"/>
      <c r="AE17" s="101" t="n">
        <v>15</v>
      </c>
      <c r="AF17" s="85" t="s">
        <v>13</v>
      </c>
      <c r="AG17" s="95" t="n">
        <v>4238.41114090909</v>
      </c>
      <c r="AH17" s="58" t="n">
        <v>3862</v>
      </c>
      <c r="AI17" s="93" t="n">
        <f aca="false">AH17/AG17</f>
        <v>0.911190507858953</v>
      </c>
      <c r="AJ17" s="81"/>
      <c r="AK17" s="101" t="n">
        <v>15</v>
      </c>
      <c r="AL17" s="85" t="s">
        <v>20</v>
      </c>
      <c r="AM17" s="58" t="n">
        <v>3417.11331818182</v>
      </c>
      <c r="AN17" s="58" t="n">
        <v>3859</v>
      </c>
      <c r="AO17" s="93" t="n">
        <f aca="false">AN17/AM17</f>
        <v>1.12931578226188</v>
      </c>
      <c r="AP17" s="81"/>
      <c r="AQ17" s="85" t="n">
        <v>15</v>
      </c>
      <c r="AR17" s="85" t="s">
        <v>11</v>
      </c>
      <c r="AS17" s="58" t="n">
        <v>3514.63915384615</v>
      </c>
      <c r="AT17" s="58" t="n">
        <v>3320.5</v>
      </c>
      <c r="AU17" s="93" t="n">
        <f aca="false">AT17/AS17</f>
        <v>0.944762706682506</v>
      </c>
      <c r="AV17" s="81"/>
      <c r="AW17" s="85" t="n">
        <v>15</v>
      </c>
      <c r="AX17" s="85" t="s">
        <v>17</v>
      </c>
      <c r="AY17" s="58" t="n">
        <v>4746.31186153846</v>
      </c>
      <c r="AZ17" s="58" t="n">
        <v>6027</v>
      </c>
      <c r="BA17" s="93" t="n">
        <f aca="false">AZ17/AY17</f>
        <v>1.26982806352013</v>
      </c>
      <c r="BB17" s="81"/>
      <c r="BC17" s="85" t="n">
        <v>15</v>
      </c>
      <c r="BD17" s="85" t="s">
        <v>7</v>
      </c>
      <c r="BE17" s="58" t="n">
        <v>3500.343</v>
      </c>
      <c r="BF17" s="58" t="n">
        <v>8558.5</v>
      </c>
      <c r="BG17" s="93" t="n">
        <f aca="false">BF17/BE17</f>
        <v>2.44504609976794</v>
      </c>
      <c r="BH17" s="81"/>
      <c r="BI17" s="85" t="n">
        <v>15</v>
      </c>
      <c r="BJ17" s="85" t="s">
        <v>11</v>
      </c>
      <c r="BK17" s="58" t="n">
        <v>4128.831</v>
      </c>
      <c r="BL17" s="58" t="n">
        <v>2814.01</v>
      </c>
      <c r="BM17" s="93" t="n">
        <f aca="false">BL17/BK17</f>
        <v>0.681551267174656</v>
      </c>
      <c r="BN17" s="81"/>
      <c r="BO17" s="85" t="n">
        <v>15</v>
      </c>
      <c r="BP17" s="85" t="s">
        <v>18</v>
      </c>
      <c r="BQ17" s="58" t="n">
        <v>3068.69284615385</v>
      </c>
      <c r="BR17" s="58" t="n">
        <v>2846.51</v>
      </c>
      <c r="BS17" s="93" t="n">
        <f aca="false">BR17/BQ17</f>
        <v>0.927596909403193</v>
      </c>
      <c r="BT17" s="81"/>
      <c r="BU17" s="85" t="n">
        <v>15</v>
      </c>
      <c r="BV17" s="85" t="s">
        <v>9</v>
      </c>
      <c r="BW17" s="58" t="n">
        <v>3978.47259519231</v>
      </c>
      <c r="BX17" s="58" t="n">
        <v>4318.03</v>
      </c>
      <c r="BY17" s="93" t="n">
        <f aca="false">BX17/BW17</f>
        <v>1.08534868512555</v>
      </c>
      <c r="BZ17" s="81"/>
      <c r="CA17" s="85" t="n">
        <v>15</v>
      </c>
      <c r="CB17" s="85" t="s">
        <v>11</v>
      </c>
      <c r="CC17" s="58" t="n">
        <v>4398.80697115385</v>
      </c>
      <c r="CD17" s="58" t="n">
        <v>3841.5</v>
      </c>
      <c r="CE17" s="93" t="n">
        <f aca="false">CD17/CC17</f>
        <v>0.873304972278049</v>
      </c>
      <c r="CF17" s="81"/>
      <c r="CG17" s="85" t="n">
        <v>15</v>
      </c>
      <c r="CH17" s="85" t="s">
        <v>18</v>
      </c>
      <c r="CI17" s="86" t="n">
        <v>3421.84686778846</v>
      </c>
      <c r="CJ17" s="58" t="n">
        <v>3081.04</v>
      </c>
      <c r="CK17" s="93" t="n">
        <f aca="false">CJ17/CI17</f>
        <v>0.900402653608891</v>
      </c>
      <c r="CL17" s="81"/>
      <c r="CM17" s="85" t="n">
        <v>15</v>
      </c>
      <c r="CN17" s="85" t="s">
        <v>7</v>
      </c>
      <c r="CO17" s="86" t="n">
        <v>4042.78086666667</v>
      </c>
      <c r="CP17" s="60" t="n">
        <v>2751.06</v>
      </c>
      <c r="CQ17" s="93" t="n">
        <f aca="false">CP17/CO17</f>
        <v>0.680487043629522</v>
      </c>
      <c r="CR17" s="81"/>
      <c r="CS17" s="85" t="n">
        <v>15</v>
      </c>
      <c r="CT17" s="85" t="s">
        <v>13</v>
      </c>
      <c r="CU17" s="86" t="n">
        <v>5622.48052631579</v>
      </c>
      <c r="CV17" s="58" t="n">
        <v>2458.84</v>
      </c>
      <c r="CW17" s="93" t="n">
        <f aca="false">CV17/CU17</f>
        <v>0.43732299089192</v>
      </c>
      <c r="CX17" s="81"/>
      <c r="CY17" s="85" t="n">
        <v>15</v>
      </c>
      <c r="CZ17" s="85" t="s">
        <v>18</v>
      </c>
      <c r="DA17" s="86" t="n">
        <v>2939.27120833333</v>
      </c>
      <c r="DB17" s="58" t="n">
        <v>2651.58</v>
      </c>
      <c r="DC17" s="93" t="n">
        <f aca="false">DB17/DA17</f>
        <v>0.902121584589514</v>
      </c>
      <c r="DD17" s="81"/>
      <c r="DE17" s="85" t="n">
        <v>15</v>
      </c>
      <c r="DF17" s="85" t="s">
        <v>9</v>
      </c>
      <c r="DG17" s="86" t="n">
        <v>3410.6576875</v>
      </c>
      <c r="DH17" s="58" t="n">
        <v>2748.05</v>
      </c>
      <c r="DI17" s="93" t="n">
        <f aca="false">DH17/DG17</f>
        <v>0.805724365148562</v>
      </c>
      <c r="DJ17" s="81"/>
      <c r="DK17" s="85" t="n">
        <v>15</v>
      </c>
      <c r="DL17" s="85" t="s">
        <v>17</v>
      </c>
      <c r="DM17" s="86" t="n">
        <v>3817.06353333333</v>
      </c>
      <c r="DN17" s="58" t="n">
        <v>2628.53</v>
      </c>
      <c r="DO17" s="93" t="n">
        <f aca="false">DN17/DM17</f>
        <v>0.688626211496297</v>
      </c>
      <c r="DP17" s="81"/>
      <c r="DQ17" s="85" t="n">
        <v>15</v>
      </c>
      <c r="DR17" s="85" t="s">
        <v>20</v>
      </c>
      <c r="DS17" s="86" t="n">
        <v>3195.7760625</v>
      </c>
      <c r="DT17" s="58" t="n">
        <v>3094.03</v>
      </c>
      <c r="DU17" s="93" t="n">
        <f aca="false">DT17/DS17</f>
        <v>0.968162330366664</v>
      </c>
      <c r="DV17" s="81"/>
      <c r="DW17" s="85" t="n">
        <v>15</v>
      </c>
      <c r="DX17" s="85" t="s">
        <v>11</v>
      </c>
      <c r="DY17" s="99" t="n">
        <v>3392.4293424</v>
      </c>
      <c r="DZ17" s="58" t="n">
        <v>8689.26</v>
      </c>
      <c r="EA17" s="93" t="n">
        <f aca="false">DZ17/DY17</f>
        <v>2.56136801182503</v>
      </c>
      <c r="EB17" s="81"/>
      <c r="EC17" s="85" t="n">
        <v>15</v>
      </c>
      <c r="ED17" s="85" t="s">
        <v>17</v>
      </c>
      <c r="EE17" s="99" t="n">
        <v>4361.21492307692</v>
      </c>
      <c r="EF17" s="58" t="n">
        <v>3171.75</v>
      </c>
      <c r="EG17" s="93" t="n">
        <f aca="false">EF17/EE17</f>
        <v>0.727262942997148</v>
      </c>
      <c r="EH17" s="100"/>
      <c r="EI17" s="85" t="n">
        <v>15</v>
      </c>
      <c r="EJ17" s="85" t="s">
        <v>7</v>
      </c>
      <c r="EK17" s="99" t="n">
        <v>3307.11473076923</v>
      </c>
      <c r="EL17" s="58" t="n">
        <v>3770.26</v>
      </c>
      <c r="EM17" s="93" t="n">
        <f aca="false">EL17/EK17</f>
        <v>1.14004511694792</v>
      </c>
      <c r="EN17" s="81"/>
      <c r="EO17" s="85" t="n">
        <v>15</v>
      </c>
      <c r="EP17" s="85" t="s">
        <v>13</v>
      </c>
      <c r="EQ17" s="99" t="n">
        <v>4710.96407692308</v>
      </c>
      <c r="ER17" s="58" t="n">
        <v>5093.75</v>
      </c>
      <c r="ES17" s="93" t="n">
        <f aca="false">ER17/EQ17</f>
        <v>1.08125426490769</v>
      </c>
      <c r="ET17" s="81"/>
      <c r="EU17" s="85" t="n">
        <v>15</v>
      </c>
      <c r="EV17" s="85" t="s">
        <v>13</v>
      </c>
      <c r="EW17" s="99" t="n">
        <v>5238.86836</v>
      </c>
      <c r="EX17" s="58" t="n">
        <v>4990.75</v>
      </c>
      <c r="EY17" s="93" t="n">
        <f aca="false">EX17/EW17</f>
        <v>0.952638939757593</v>
      </c>
      <c r="FA17" s="85" t="n">
        <v>15</v>
      </c>
      <c r="FB17" s="85" t="s">
        <v>20</v>
      </c>
      <c r="FC17" s="99" t="n">
        <v>3878.677</v>
      </c>
      <c r="FD17" s="58" t="n">
        <v>1480.76</v>
      </c>
      <c r="FE17" s="93" t="n">
        <f aca="false">FD17/FC17</f>
        <v>0.381769350734799</v>
      </c>
      <c r="FG17" s="85" t="n">
        <v>15</v>
      </c>
      <c r="FH17" s="85" t="s">
        <v>9</v>
      </c>
      <c r="FI17" s="99" t="n">
        <v>3926.07684615385</v>
      </c>
      <c r="FJ17" s="58" t="n">
        <v>2343</v>
      </c>
      <c r="FK17" s="93" t="n">
        <f aca="false">FJ17/FI17</f>
        <v>0.596778945449145</v>
      </c>
      <c r="FL17" s="100"/>
      <c r="FM17" s="85" t="n">
        <v>15</v>
      </c>
      <c r="FN17" s="85" t="s">
        <v>17</v>
      </c>
      <c r="FO17" s="99" t="n">
        <v>4213.64815384615</v>
      </c>
      <c r="FP17" s="58" t="n">
        <v>2684.02</v>
      </c>
      <c r="FQ17" s="93" t="n">
        <f aca="false">FP17/FO17</f>
        <v>0.636982467923922</v>
      </c>
      <c r="FS17" s="85" t="n">
        <v>15</v>
      </c>
      <c r="FT17" s="85" t="s">
        <v>20</v>
      </c>
      <c r="FU17" s="99" t="n">
        <v>2925.96392</v>
      </c>
      <c r="FV17" s="58" t="n">
        <v>2484.4</v>
      </c>
      <c r="FW17" s="93" t="n">
        <f aca="false">FV17/FU17</f>
        <v>0.849087708504622</v>
      </c>
      <c r="FY17" s="85" t="n">
        <v>15</v>
      </c>
      <c r="FZ17" s="85" t="s">
        <v>11</v>
      </c>
      <c r="GA17" s="99" t="n">
        <v>3374.18556</v>
      </c>
      <c r="GB17" s="58" t="n">
        <v>2163.5</v>
      </c>
      <c r="GC17" s="93" t="n">
        <f aca="false">GB17/GA17</f>
        <v>0.641191766584408</v>
      </c>
      <c r="GE17" s="7" t="n">
        <v>15</v>
      </c>
      <c r="GF17" s="7" t="s">
        <v>18</v>
      </c>
      <c r="GG17" s="21" t="n">
        <v>2544.11846153846</v>
      </c>
      <c r="GH17" s="10" t="n">
        <v>2154.75</v>
      </c>
      <c r="GI17" s="93" t="n">
        <f aca="false">GH17/GG17</f>
        <v>0.846953486079809</v>
      </c>
      <c r="GK17" s="7" t="n">
        <v>15</v>
      </c>
      <c r="GL17" s="7" t="s">
        <v>7</v>
      </c>
      <c r="GM17" s="3" t="n">
        <v>3098.37467307692</v>
      </c>
      <c r="GN17" s="10" t="n">
        <v>2003.52</v>
      </c>
      <c r="GO17" s="93" t="n">
        <f aca="false">GN17/GM17</f>
        <v>0.646635804704133</v>
      </c>
      <c r="GQ17" s="7" t="n">
        <v>15</v>
      </c>
      <c r="GR17" s="7" t="s">
        <v>13</v>
      </c>
      <c r="GS17" s="3" t="n">
        <v>4984.5622574074</v>
      </c>
      <c r="GT17" s="10" t="n">
        <v>3360.5</v>
      </c>
      <c r="GU17" s="93" t="n">
        <f aca="false">GT17/GS17</f>
        <v>0.674181568302426</v>
      </c>
      <c r="GW17" s="7" t="n">
        <v>15</v>
      </c>
      <c r="GX17" s="7" t="s">
        <v>18</v>
      </c>
      <c r="GY17" s="3" t="n">
        <v>2356.85408333333</v>
      </c>
      <c r="GZ17" s="10" t="n">
        <v>1849</v>
      </c>
      <c r="HA17" s="93" t="n">
        <f aca="false">GZ17/GY17</f>
        <v>0.784520354092068</v>
      </c>
      <c r="HC17" s="7" t="n">
        <v>15</v>
      </c>
      <c r="HD17" s="7" t="s">
        <v>9</v>
      </c>
      <c r="HE17" s="3" t="n">
        <v>3129.20941666667</v>
      </c>
      <c r="HF17" s="8" t="n">
        <v>2970</v>
      </c>
      <c r="HG17" s="93" t="n">
        <f aca="false">HF17/HE17</f>
        <v>0.949121520656721</v>
      </c>
      <c r="HI17" s="7" t="n">
        <v>15</v>
      </c>
      <c r="HJ17" s="7" t="s">
        <v>17</v>
      </c>
      <c r="HK17" s="3" t="n">
        <v>4579.57201923077</v>
      </c>
      <c r="HL17" s="8" t="n">
        <v>2867.5</v>
      </c>
      <c r="HM17" s="93" t="n">
        <f aca="false">HL17/HK17</f>
        <v>0.62615021402844</v>
      </c>
      <c r="HO17" s="7" t="n">
        <v>15</v>
      </c>
      <c r="HP17" s="7" t="s">
        <v>17</v>
      </c>
      <c r="HQ17" s="3" t="n">
        <v>4694.97776</v>
      </c>
      <c r="HR17" s="8" t="n">
        <v>2583</v>
      </c>
      <c r="HS17" s="93" t="n">
        <f aca="false">HR17/HQ17</f>
        <v>0.550162350502806</v>
      </c>
      <c r="HU17" s="7" t="n">
        <v>15</v>
      </c>
      <c r="HV17" s="7" t="s">
        <v>7</v>
      </c>
      <c r="HW17" s="3" t="n">
        <v>2951.8025</v>
      </c>
      <c r="HX17" s="8" t="n">
        <v>2607.51</v>
      </c>
      <c r="HY17" s="93" t="n">
        <f aca="false">HX17/HW17</f>
        <v>0.883361945794138</v>
      </c>
      <c r="HZ17" s="100"/>
      <c r="IA17" s="7" t="n">
        <v>15</v>
      </c>
      <c r="IB17" s="7" t="s">
        <v>11</v>
      </c>
      <c r="IC17" s="3" t="n">
        <v>2874.87833043478</v>
      </c>
      <c r="ID17" s="8" t="n">
        <v>1924</v>
      </c>
      <c r="IE17" s="93" t="n">
        <f aca="false">ID17/IC17</f>
        <v>0.669245713681742</v>
      </c>
      <c r="IG17" s="7" t="n">
        <v>15</v>
      </c>
      <c r="IH17" s="7" t="s">
        <v>18</v>
      </c>
      <c r="II17" s="3" t="n">
        <v>2441.72591666667</v>
      </c>
      <c r="IJ17" s="8" t="n">
        <v>2679.5</v>
      </c>
      <c r="IK17" s="93" t="n">
        <f aca="false">IJ17/II17</f>
        <v>1.09737951410121</v>
      </c>
    </row>
    <row r="18" customFormat="false" ht="15.75" hidden="false" customHeight="false" outlineLevel="0" collapsed="false">
      <c r="A18" s="85" t="n">
        <v>16</v>
      </c>
      <c r="B18" s="85" t="s">
        <v>9</v>
      </c>
      <c r="C18" s="90" t="n">
        <v>2900</v>
      </c>
      <c r="D18" s="58" t="n">
        <v>2025</v>
      </c>
      <c r="E18" s="91" t="n">
        <f aca="false">D18/C18</f>
        <v>0.698275862068966</v>
      </c>
      <c r="F18" s="81"/>
      <c r="G18" s="85" t="n">
        <v>16</v>
      </c>
      <c r="H18" s="85" t="s">
        <v>9</v>
      </c>
      <c r="I18" s="92" t="n">
        <v>2599.55</v>
      </c>
      <c r="J18" s="86" t="n">
        <v>2119.5</v>
      </c>
      <c r="K18" s="93" t="n">
        <f aca="false">J18/I18</f>
        <v>0.815333423092458</v>
      </c>
      <c r="L18" s="81"/>
      <c r="M18" s="85" t="n">
        <v>16</v>
      </c>
      <c r="N18" s="85" t="s">
        <v>17</v>
      </c>
      <c r="O18" s="86" t="n">
        <v>4495.4793</v>
      </c>
      <c r="P18" s="86" t="n">
        <v>3877.5</v>
      </c>
      <c r="Q18" s="93" t="n">
        <f aca="false">P18/O18</f>
        <v>0.862533167486724</v>
      </c>
      <c r="R18" s="81"/>
      <c r="S18" s="85" t="n">
        <v>16</v>
      </c>
      <c r="T18" s="85" t="s">
        <v>20</v>
      </c>
      <c r="U18" s="58" t="n">
        <v>3175.47</v>
      </c>
      <c r="V18" s="58" t="n">
        <v>2688</v>
      </c>
      <c r="W18" s="93" t="n">
        <f aca="false">V18/U18</f>
        <v>0.84648886621508</v>
      </c>
      <c r="X18" s="81"/>
      <c r="Y18" s="101" t="n">
        <v>16</v>
      </c>
      <c r="Z18" s="85" t="s">
        <v>11</v>
      </c>
      <c r="AA18" s="95" t="n">
        <v>3615.61944444444</v>
      </c>
      <c r="AB18" s="58" t="n">
        <v>2385.02</v>
      </c>
      <c r="AC18" s="93" t="n">
        <f aca="false">AB18/AA18</f>
        <v>0.659643537337617</v>
      </c>
      <c r="AD18" s="81"/>
      <c r="AE18" s="103" t="n">
        <v>16</v>
      </c>
      <c r="AF18" s="105" t="s">
        <v>17</v>
      </c>
      <c r="AG18" s="104" t="n">
        <v>3814.78206190476</v>
      </c>
      <c r="AH18" s="65" t="n">
        <v>3467</v>
      </c>
      <c r="AI18" s="93" t="n">
        <f aca="false">AH18/AG18</f>
        <v>0.908833045699311</v>
      </c>
      <c r="AJ18" s="81"/>
      <c r="AK18" s="103" t="n">
        <v>16</v>
      </c>
      <c r="AL18" s="85" t="s">
        <v>7</v>
      </c>
      <c r="AM18" s="58" t="n">
        <v>3259.27532608696</v>
      </c>
      <c r="AN18" s="58" t="n">
        <v>3860.01</v>
      </c>
      <c r="AO18" s="93" t="n">
        <f aca="false">AN18/AM18</f>
        <v>1.18431541180483</v>
      </c>
      <c r="AP18" s="81"/>
      <c r="AQ18" s="85" t="n">
        <v>16</v>
      </c>
      <c r="AR18" s="85" t="s">
        <v>13</v>
      </c>
      <c r="AS18" s="58" t="n">
        <v>4983.30807692308</v>
      </c>
      <c r="AT18" s="58" t="n">
        <v>3240.5</v>
      </c>
      <c r="AU18" s="93" t="n">
        <f aca="false">AT18/AS18</f>
        <v>0.650270854215546</v>
      </c>
      <c r="AV18" s="81"/>
      <c r="AW18" s="85" t="n">
        <v>16</v>
      </c>
      <c r="AX18" s="85" t="s">
        <v>18</v>
      </c>
      <c r="AY18" s="58" t="n">
        <v>2984.17084615385</v>
      </c>
      <c r="AZ18" s="58" t="n">
        <v>3158</v>
      </c>
      <c r="BA18" s="93" t="n">
        <f aca="false">AZ18/AY18</f>
        <v>1.05825040281128</v>
      </c>
      <c r="BB18" s="81"/>
      <c r="BC18" s="85" t="n">
        <v>16</v>
      </c>
      <c r="BD18" s="85" t="s">
        <v>9</v>
      </c>
      <c r="BE18" s="58" t="n">
        <v>3575.83073076923</v>
      </c>
      <c r="BF18" s="58" t="n">
        <v>2608.5</v>
      </c>
      <c r="BG18" s="93" t="n">
        <f aca="false">BF18/BE18</f>
        <v>0.729480838551567</v>
      </c>
      <c r="BH18" s="81"/>
      <c r="BI18" s="85" t="n">
        <v>16</v>
      </c>
      <c r="BJ18" s="85" t="s">
        <v>13</v>
      </c>
      <c r="BK18" s="58" t="n">
        <v>5319.04179545455</v>
      </c>
      <c r="BL18" s="58" t="n">
        <v>4268.03</v>
      </c>
      <c r="BM18" s="93" t="n">
        <f aca="false">BL18/BK18</f>
        <v>0.802405802422402</v>
      </c>
      <c r="BN18" s="81"/>
      <c r="BO18" s="85" t="n">
        <v>16</v>
      </c>
      <c r="BP18" s="85" t="s">
        <v>20</v>
      </c>
      <c r="BQ18" s="58" t="n">
        <v>3384.92498076923</v>
      </c>
      <c r="BR18" s="58" t="n">
        <v>3897.01</v>
      </c>
      <c r="BS18" s="93" t="n">
        <f aca="false">BR18/BQ18</f>
        <v>1.15128400840198</v>
      </c>
      <c r="BT18" s="81"/>
      <c r="BU18" s="85" t="n">
        <v>16</v>
      </c>
      <c r="BV18" s="85" t="s">
        <v>11</v>
      </c>
      <c r="BW18" s="58" t="n">
        <v>4231.46411826923</v>
      </c>
      <c r="BX18" s="58" t="n">
        <v>5971.5</v>
      </c>
      <c r="BY18" s="93" t="n">
        <f aca="false">BX18/BW18</f>
        <v>1.41121366815288</v>
      </c>
      <c r="BZ18" s="81"/>
      <c r="CA18" s="85" t="n">
        <v>16</v>
      </c>
      <c r="CB18" s="85" t="s">
        <v>13</v>
      </c>
      <c r="CC18" s="58" t="n">
        <v>5912.07702884615</v>
      </c>
      <c r="CD18" s="58" t="n">
        <v>7511.1</v>
      </c>
      <c r="CE18" s="93" t="n">
        <f aca="false">CD18/CC18</f>
        <v>1.27046720862261</v>
      </c>
      <c r="CF18" s="81"/>
      <c r="CG18" s="85" t="n">
        <v>16</v>
      </c>
      <c r="CH18" s="85" t="s">
        <v>20</v>
      </c>
      <c r="CI18" s="86" t="n">
        <v>3787.98645144231</v>
      </c>
      <c r="CJ18" s="58" t="n">
        <v>3665.53</v>
      </c>
      <c r="CK18" s="93" t="n">
        <f aca="false">CJ18/CI18</f>
        <v>0.967672415672003</v>
      </c>
      <c r="CL18" s="81"/>
      <c r="CM18" s="85" t="n">
        <v>16</v>
      </c>
      <c r="CN18" s="85" t="s">
        <v>9</v>
      </c>
      <c r="CO18" s="86" t="n">
        <v>4144.624</v>
      </c>
      <c r="CP18" s="60" t="n">
        <v>2984.53</v>
      </c>
      <c r="CQ18" s="93" t="n">
        <f aca="false">CP18/CO18</f>
        <v>0.720096684283062</v>
      </c>
      <c r="CR18" s="81"/>
      <c r="CS18" s="85" t="n">
        <v>16</v>
      </c>
      <c r="CT18" s="85" t="s">
        <v>17</v>
      </c>
      <c r="CU18" s="86" t="n">
        <v>5211.90105263158</v>
      </c>
      <c r="CV18" s="58" t="n">
        <v>1920.53</v>
      </c>
      <c r="CW18" s="93" t="n">
        <f aca="false">CV18/CU18</f>
        <v>0.368489344023577</v>
      </c>
      <c r="CX18" s="81"/>
      <c r="CY18" s="85" t="n">
        <v>16</v>
      </c>
      <c r="CZ18" s="85" t="s">
        <v>20</v>
      </c>
      <c r="DA18" s="86" t="n">
        <v>3688.52485416667</v>
      </c>
      <c r="DB18" s="58" t="n">
        <v>2505.5</v>
      </c>
      <c r="DC18" s="93" t="n">
        <f aca="false">DB18/DA18</f>
        <v>0.67926884027085</v>
      </c>
      <c r="DD18" s="81"/>
      <c r="DE18" s="85" t="n">
        <v>16</v>
      </c>
      <c r="DF18" s="85" t="s">
        <v>11</v>
      </c>
      <c r="DG18" s="86" t="n">
        <v>3693.521125</v>
      </c>
      <c r="DH18" s="58" t="n">
        <v>1730</v>
      </c>
      <c r="DI18" s="93" t="n">
        <f aca="false">DH18/DG18</f>
        <v>0.468387736647912</v>
      </c>
      <c r="DJ18" s="81"/>
      <c r="DK18" s="85" t="n">
        <v>16</v>
      </c>
      <c r="DL18" s="85" t="s">
        <v>18</v>
      </c>
      <c r="DM18" s="86" t="n">
        <v>2758.34121739131</v>
      </c>
      <c r="DN18" s="58" t="n">
        <v>2699.02</v>
      </c>
      <c r="DO18" s="93" t="n">
        <f aca="false">DN18/DM18</f>
        <v>0.978493879938678</v>
      </c>
      <c r="DP18" s="81"/>
      <c r="DQ18" s="85" t="n">
        <v>16</v>
      </c>
      <c r="DR18" s="85" t="s">
        <v>7</v>
      </c>
      <c r="DS18" s="86" t="n">
        <v>3018.05525</v>
      </c>
      <c r="DT18" s="58" t="n">
        <v>2191.5</v>
      </c>
      <c r="DU18" s="93" t="n">
        <f aca="false">DT18/DS18</f>
        <v>0.726129848020509</v>
      </c>
      <c r="DV18" s="81"/>
      <c r="DW18" s="85" t="n">
        <v>16</v>
      </c>
      <c r="DX18" s="85" t="s">
        <v>13</v>
      </c>
      <c r="DY18" s="86" t="n">
        <v>4387.4299728</v>
      </c>
      <c r="DZ18" s="58" t="n">
        <v>8072.52</v>
      </c>
      <c r="EA18" s="93" t="n">
        <f aca="false">DZ18/DY18</f>
        <v>1.83991996454549</v>
      </c>
      <c r="EB18" s="81"/>
      <c r="EC18" s="85" t="n">
        <v>16</v>
      </c>
      <c r="ED18" s="85" t="s">
        <v>18</v>
      </c>
      <c r="EE18" s="86" t="n">
        <v>3478.47696</v>
      </c>
      <c r="EF18" s="58" t="n">
        <v>2508</v>
      </c>
      <c r="EG18" s="93" t="n">
        <f aca="false">EF18/EE18</f>
        <v>0.72100520683052</v>
      </c>
      <c r="EH18" s="100"/>
      <c r="EI18" s="85" t="n">
        <v>16</v>
      </c>
      <c r="EJ18" s="85" t="s">
        <v>9</v>
      </c>
      <c r="EK18" s="86" t="n">
        <v>3270.15311538462</v>
      </c>
      <c r="EL18" s="58" t="n">
        <v>3424.02</v>
      </c>
      <c r="EM18" s="93" t="n">
        <f aca="false">EL18/EK18</f>
        <v>1.04705188998384</v>
      </c>
      <c r="EN18" s="81"/>
      <c r="EO18" s="85" t="n">
        <v>16</v>
      </c>
      <c r="EP18" s="85" t="s">
        <v>17</v>
      </c>
      <c r="EQ18" s="86" t="n">
        <v>4203.32253846154</v>
      </c>
      <c r="ER18" s="58" t="n">
        <v>4808.85</v>
      </c>
      <c r="ES18" s="93" t="n">
        <f aca="false">ER18/EQ18</f>
        <v>1.14405924265809</v>
      </c>
      <c r="ET18" s="81"/>
      <c r="EU18" s="85" t="n">
        <v>16</v>
      </c>
      <c r="EV18" s="85" t="s">
        <v>17</v>
      </c>
      <c r="EW18" s="86" t="n">
        <v>4690.301</v>
      </c>
      <c r="EX18" s="58" t="n">
        <v>4930.04</v>
      </c>
      <c r="EY18" s="93" t="n">
        <f aca="false">EX18/EW18</f>
        <v>1.05111377713285</v>
      </c>
      <c r="FA18" s="85" t="n">
        <v>16</v>
      </c>
      <c r="FB18" s="85" t="s">
        <v>7</v>
      </c>
      <c r="FC18" s="86" t="n">
        <v>3929.07108</v>
      </c>
      <c r="FD18" s="58" t="n">
        <v>3039</v>
      </c>
      <c r="FE18" s="93" t="n">
        <f aca="false">FD18/FC18</f>
        <v>0.773465263957505</v>
      </c>
      <c r="FG18" s="85" t="n">
        <v>16</v>
      </c>
      <c r="FH18" s="85" t="s">
        <v>11</v>
      </c>
      <c r="FI18" s="86" t="n">
        <v>4211.02930769231</v>
      </c>
      <c r="FJ18" s="58" t="n">
        <v>2099.76</v>
      </c>
      <c r="FK18" s="93" t="n">
        <f aca="false">FJ18/FI18</f>
        <v>0.498633432962425</v>
      </c>
      <c r="FL18" s="100"/>
      <c r="FM18" s="85" t="n">
        <v>16</v>
      </c>
      <c r="FN18" s="85" t="s">
        <v>18</v>
      </c>
      <c r="FO18" s="86" t="n">
        <v>3046.40219230769</v>
      </c>
      <c r="FP18" s="58" t="n">
        <v>1500.77</v>
      </c>
      <c r="FQ18" s="93" t="n">
        <f aca="false">FP18/FO18</f>
        <v>0.492636856613849</v>
      </c>
      <c r="FS18" s="85" t="n">
        <v>16</v>
      </c>
      <c r="FT18" s="85" t="s">
        <v>7</v>
      </c>
      <c r="FU18" s="86" t="n">
        <v>3453.12792</v>
      </c>
      <c r="FV18" s="58" t="n">
        <v>2447.5</v>
      </c>
      <c r="FW18" s="93" t="n">
        <f aca="false">FV18/FU18</f>
        <v>0.708777681192882</v>
      </c>
      <c r="FY18" s="85" t="n">
        <v>16</v>
      </c>
      <c r="FZ18" s="85" t="s">
        <v>13</v>
      </c>
      <c r="GA18" s="86" t="n">
        <v>4768.50242307692</v>
      </c>
      <c r="GB18" s="58" t="n">
        <v>3196.9</v>
      </c>
      <c r="GC18" s="93" t="n">
        <f aca="false">GB18/GA18</f>
        <v>0.670420126983425</v>
      </c>
      <c r="GE18" s="7" t="n">
        <v>16</v>
      </c>
      <c r="GF18" s="7" t="s">
        <v>20</v>
      </c>
      <c r="GG18" s="3" t="n">
        <v>2506.32326923077</v>
      </c>
      <c r="GH18" s="10" t="n">
        <v>1894.51</v>
      </c>
      <c r="GI18" s="93" t="n">
        <f aca="false">GH18/GG18</f>
        <v>0.755892116255799</v>
      </c>
      <c r="GK18" s="7" t="n">
        <v>16</v>
      </c>
      <c r="GL18" s="7" t="s">
        <v>9</v>
      </c>
      <c r="GM18" s="3" t="n">
        <v>3151.42417307692</v>
      </c>
      <c r="GN18" s="10" t="n">
        <v>2930.52</v>
      </c>
      <c r="GO18" s="93" t="n">
        <f aca="false">GN18/GM18</f>
        <v>0.92990338305959</v>
      </c>
      <c r="GQ18" s="7" t="n">
        <v>16</v>
      </c>
      <c r="GR18" s="7" t="s">
        <v>17</v>
      </c>
      <c r="GS18" s="3" t="n">
        <v>4423.43334444445</v>
      </c>
      <c r="GT18" s="10" t="n">
        <v>3765.41</v>
      </c>
      <c r="GU18" s="93" t="n">
        <f aca="false">GT18/GS18</f>
        <v>0.851241492025445</v>
      </c>
      <c r="GW18" s="7" t="n">
        <v>16</v>
      </c>
      <c r="GX18" s="7" t="s">
        <v>20</v>
      </c>
      <c r="GY18" s="3" t="n">
        <v>2287.03039583333</v>
      </c>
      <c r="GZ18" s="10" t="n">
        <v>1986.51</v>
      </c>
      <c r="HA18" s="93" t="n">
        <f aca="false">GZ18/GY18</f>
        <v>0.868597987861972</v>
      </c>
      <c r="HC18" s="7" t="n">
        <v>16</v>
      </c>
      <c r="HD18" s="7" t="s">
        <v>11</v>
      </c>
      <c r="HE18" s="3" t="n">
        <v>2824.96158333333</v>
      </c>
      <c r="HF18" s="8" t="n">
        <v>3421.5</v>
      </c>
      <c r="HG18" s="93" t="n">
        <f aca="false">HF18/HE18</f>
        <v>1.21116691291879</v>
      </c>
      <c r="HI18" s="7" t="n">
        <v>16</v>
      </c>
      <c r="HJ18" s="7" t="s">
        <v>18</v>
      </c>
      <c r="HK18" s="3" t="n">
        <v>2688.75926923077</v>
      </c>
      <c r="HL18" s="8" t="n">
        <v>2008.5</v>
      </c>
      <c r="HM18" s="93" t="n">
        <f aca="false">HL18/HK18</f>
        <v>0.746998819486958</v>
      </c>
      <c r="HO18" s="7" t="n">
        <v>16</v>
      </c>
      <c r="HP18" s="7" t="s">
        <v>18</v>
      </c>
      <c r="HQ18" s="3" t="n">
        <v>2600.96311538462</v>
      </c>
      <c r="HR18" s="8" t="n">
        <v>1635.5</v>
      </c>
      <c r="HS18" s="93" t="n">
        <f aca="false">HR18/HQ18</f>
        <v>0.628805533737125</v>
      </c>
      <c r="HU18" s="7" t="n">
        <v>16</v>
      </c>
      <c r="HV18" s="7" t="s">
        <v>9</v>
      </c>
      <c r="HW18" s="3" t="n">
        <v>2871.19891666667</v>
      </c>
      <c r="HX18" s="8" t="n">
        <v>1818.5</v>
      </c>
      <c r="HY18" s="93" t="n">
        <f aca="false">HX18/HW18</f>
        <v>0.633359113311173</v>
      </c>
      <c r="HZ18" s="100"/>
      <c r="IA18" s="7" t="n">
        <v>16</v>
      </c>
      <c r="IB18" s="7" t="s">
        <v>13</v>
      </c>
      <c r="IC18" s="3" t="n">
        <v>4633.34946666667</v>
      </c>
      <c r="ID18" s="8" t="n">
        <v>6114</v>
      </c>
      <c r="IE18" s="93" t="n">
        <f aca="false">ID18/IC18</f>
        <v>1.31956375058378</v>
      </c>
      <c r="IG18" s="7" t="n">
        <v>16</v>
      </c>
      <c r="IH18" s="7" t="s">
        <v>20</v>
      </c>
      <c r="II18" s="3" t="n">
        <v>2595.82125</v>
      </c>
      <c r="IJ18" s="8" t="n">
        <v>1493.5</v>
      </c>
      <c r="IK18" s="93" t="n">
        <f aca="false">IJ18/II18</f>
        <v>0.575347782517768</v>
      </c>
    </row>
    <row r="19" customFormat="false" ht="15.75" hidden="false" customHeight="false" outlineLevel="0" collapsed="false">
      <c r="A19" s="85" t="n">
        <v>17</v>
      </c>
      <c r="B19" s="85" t="s">
        <v>11</v>
      </c>
      <c r="C19" s="90" t="n">
        <v>3500</v>
      </c>
      <c r="D19" s="58" t="n">
        <v>2346.5</v>
      </c>
      <c r="E19" s="91" t="n">
        <f aca="false">D19/C19</f>
        <v>0.670428571428571</v>
      </c>
      <c r="F19" s="81"/>
      <c r="G19" s="85" t="n">
        <v>17</v>
      </c>
      <c r="H19" s="85" t="s">
        <v>11</v>
      </c>
      <c r="I19" s="92" t="n">
        <v>3555.4125</v>
      </c>
      <c r="J19" s="86" t="n">
        <v>3235.5</v>
      </c>
      <c r="K19" s="93" t="n">
        <f aca="false">J19/I19</f>
        <v>0.910020989125734</v>
      </c>
      <c r="L19" s="81"/>
      <c r="M19" s="85" t="n">
        <v>17</v>
      </c>
      <c r="N19" s="85" t="s">
        <v>18</v>
      </c>
      <c r="O19" s="86" t="n">
        <v>2733.978</v>
      </c>
      <c r="P19" s="86" t="n">
        <v>2356.5</v>
      </c>
      <c r="Q19" s="93" t="n">
        <f aca="false">P19/O19</f>
        <v>0.861930856795483</v>
      </c>
      <c r="R19" s="81"/>
      <c r="S19" s="85" t="n">
        <v>17</v>
      </c>
      <c r="T19" s="85" t="s">
        <v>7</v>
      </c>
      <c r="U19" s="58" t="n">
        <v>3056.81846153846</v>
      </c>
      <c r="V19" s="58" t="n">
        <v>2466.5</v>
      </c>
      <c r="W19" s="93" t="n">
        <f aca="false">V19/U19</f>
        <v>0.806884684528711</v>
      </c>
      <c r="X19" s="81"/>
      <c r="Y19" s="101" t="n">
        <v>17</v>
      </c>
      <c r="Z19" s="85" t="s">
        <v>13</v>
      </c>
      <c r="AA19" s="95" t="n">
        <v>4056.95277777778</v>
      </c>
      <c r="AB19" s="58" t="n">
        <v>5408.51</v>
      </c>
      <c r="AC19" s="93" t="n">
        <f aca="false">AB19/AA19</f>
        <v>1.33314590932028</v>
      </c>
      <c r="AD19" s="81"/>
      <c r="AE19" s="96" t="n">
        <v>17</v>
      </c>
      <c r="AF19" s="97" t="s">
        <v>18</v>
      </c>
      <c r="AG19" s="98" t="n">
        <v>2577.63165</v>
      </c>
      <c r="AH19" s="66" t="n">
        <v>2881.01</v>
      </c>
      <c r="AI19" s="93" t="n">
        <f aca="false">AH19/AG19</f>
        <v>1.1176965490783</v>
      </c>
      <c r="AJ19" s="81"/>
      <c r="AK19" s="96" t="n">
        <v>17</v>
      </c>
      <c r="AL19" s="85" t="s">
        <v>9</v>
      </c>
      <c r="AM19" s="58" t="n">
        <v>2961.45192</v>
      </c>
      <c r="AN19" s="58" t="n">
        <v>2902.5</v>
      </c>
      <c r="AO19" s="93" t="n">
        <f aca="false">AN19/AM19</f>
        <v>0.98009357518119</v>
      </c>
      <c r="AP19" s="81"/>
      <c r="AQ19" s="85" t="n">
        <v>17</v>
      </c>
      <c r="AR19" s="85" t="s">
        <v>17</v>
      </c>
      <c r="AS19" s="58" t="n">
        <v>4829.43946153846</v>
      </c>
      <c r="AT19" s="58" t="n">
        <v>3979.51</v>
      </c>
      <c r="AU19" s="93" t="n">
        <f aca="false">AT19/AS19</f>
        <v>0.824010743212069</v>
      </c>
      <c r="AV19" s="81"/>
      <c r="AW19" s="85" t="n">
        <v>17</v>
      </c>
      <c r="AX19" s="85" t="s">
        <v>20</v>
      </c>
      <c r="AY19" s="58" t="n">
        <v>3688.79469230769</v>
      </c>
      <c r="AZ19" s="58" t="n">
        <v>2059.5</v>
      </c>
      <c r="BA19" s="93" t="n">
        <f aca="false">AZ19/AY19</f>
        <v>0.558312449401077</v>
      </c>
      <c r="BB19" s="81"/>
      <c r="BC19" s="85" t="n">
        <v>17</v>
      </c>
      <c r="BD19" s="85" t="s">
        <v>11</v>
      </c>
      <c r="BE19" s="58" t="n">
        <v>4199.43784615385</v>
      </c>
      <c r="BF19" s="58" t="n">
        <v>3220</v>
      </c>
      <c r="BG19" s="93" t="n">
        <f aca="false">BF19/BE19</f>
        <v>0.766769295787795</v>
      </c>
      <c r="BH19" s="81"/>
      <c r="BI19" s="85" t="n">
        <v>17</v>
      </c>
      <c r="BJ19" s="85" t="s">
        <v>17</v>
      </c>
      <c r="BK19" s="58" t="n">
        <v>5306.68711363636</v>
      </c>
      <c r="BL19" s="58" t="n">
        <v>4159.5</v>
      </c>
      <c r="BM19" s="93" t="n">
        <f aca="false">BL19/BK19</f>
        <v>0.783822356760307</v>
      </c>
      <c r="BN19" s="81"/>
      <c r="BO19" s="85" t="n">
        <v>17</v>
      </c>
      <c r="BP19" s="85" t="s">
        <v>7</v>
      </c>
      <c r="BQ19" s="58" t="n">
        <v>3756.90444230769</v>
      </c>
      <c r="BR19" s="58" t="n">
        <v>3552.02</v>
      </c>
      <c r="BS19" s="93" t="n">
        <f aca="false">BR19/BQ19</f>
        <v>0.94546455853377</v>
      </c>
      <c r="BT19" s="81"/>
      <c r="BU19" s="85" t="n">
        <v>17</v>
      </c>
      <c r="BV19" s="85" t="s">
        <v>13</v>
      </c>
      <c r="BW19" s="58" t="n">
        <v>5459.13655</v>
      </c>
      <c r="BX19" s="58" t="n">
        <v>7659.03</v>
      </c>
      <c r="BY19" s="93" t="n">
        <f aca="false">BX19/BW19</f>
        <v>1.40297461509733</v>
      </c>
      <c r="BZ19" s="81"/>
      <c r="CA19" s="85" t="n">
        <v>17</v>
      </c>
      <c r="CB19" s="85" t="s">
        <v>17</v>
      </c>
      <c r="CC19" s="58" t="n">
        <v>6068.54520833333</v>
      </c>
      <c r="CD19" s="58" t="n">
        <v>6691.53</v>
      </c>
      <c r="CE19" s="93" t="n">
        <f aca="false">CD19/CC19</f>
        <v>1.10265801279872</v>
      </c>
      <c r="CF19" s="81"/>
      <c r="CG19" s="85" t="n">
        <v>17</v>
      </c>
      <c r="CH19" s="85" t="s">
        <v>7</v>
      </c>
      <c r="CI19" s="86" t="n">
        <v>4146.79393557692</v>
      </c>
      <c r="CJ19" s="58" t="n">
        <v>3542.58</v>
      </c>
      <c r="CK19" s="93" t="n">
        <f aca="false">CJ19/CI19</f>
        <v>0.854293715828718</v>
      </c>
      <c r="CL19" s="81"/>
      <c r="CM19" s="85" t="n">
        <v>17</v>
      </c>
      <c r="CN19" s="85" t="s">
        <v>11</v>
      </c>
      <c r="CO19" s="86" t="n">
        <v>4759.3194</v>
      </c>
      <c r="CP19" s="60" t="n">
        <v>2660.53</v>
      </c>
      <c r="CQ19" s="93" t="n">
        <f aca="false">CP19/CO19</f>
        <v>0.559014803671298</v>
      </c>
      <c r="CR19" s="81"/>
      <c r="CS19" s="85" t="n">
        <v>17</v>
      </c>
      <c r="CT19" s="85" t="s">
        <v>18</v>
      </c>
      <c r="CU19" s="86" t="n">
        <v>3035.46</v>
      </c>
      <c r="CV19" s="58" t="n">
        <v>2158.65</v>
      </c>
      <c r="CW19" s="93" t="n">
        <f aca="false">CV19/CU19</f>
        <v>0.711144274673361</v>
      </c>
      <c r="CX19" s="81"/>
      <c r="CY19" s="85" t="n">
        <v>17</v>
      </c>
      <c r="CZ19" s="85" t="s">
        <v>7</v>
      </c>
      <c r="DA19" s="86" t="n">
        <v>3391.54861458333</v>
      </c>
      <c r="DB19" s="58" t="n">
        <v>3621.52</v>
      </c>
      <c r="DC19" s="93" t="n">
        <f aca="false">DB19/DA19</f>
        <v>1.06780719121283</v>
      </c>
      <c r="DD19" s="81"/>
      <c r="DE19" s="85" t="n">
        <v>17</v>
      </c>
      <c r="DF19" s="85" t="s">
        <v>13</v>
      </c>
      <c r="DG19" s="86" t="n">
        <v>4876.4235625</v>
      </c>
      <c r="DH19" s="58" t="n">
        <v>3810.52</v>
      </c>
      <c r="DI19" s="93" t="n">
        <f aca="false">DH19/DG19</f>
        <v>0.781416944439186</v>
      </c>
      <c r="DJ19" s="81"/>
      <c r="DK19" s="85" t="n">
        <v>17</v>
      </c>
      <c r="DL19" s="85" t="s">
        <v>20</v>
      </c>
      <c r="DM19" s="86" t="n">
        <v>3483.70855</v>
      </c>
      <c r="DN19" s="58" t="n">
        <v>4766.03</v>
      </c>
      <c r="DO19" s="93" t="n">
        <f aca="false">DN19/DM19</f>
        <v>1.36809090990117</v>
      </c>
      <c r="DP19" s="81"/>
      <c r="DQ19" s="85" t="n">
        <v>17</v>
      </c>
      <c r="DR19" s="85" t="s">
        <v>9</v>
      </c>
      <c r="DS19" s="86" t="n">
        <v>2876.6968125</v>
      </c>
      <c r="DT19" s="58" t="n">
        <v>2777.54</v>
      </c>
      <c r="DU19" s="93" t="n">
        <f aca="false">DT19/DS19</f>
        <v>0.965531017356734</v>
      </c>
      <c r="DV19" s="81"/>
      <c r="DW19" s="85" t="n">
        <v>17</v>
      </c>
      <c r="DX19" s="85" t="s">
        <v>17</v>
      </c>
      <c r="DY19" s="86" t="n">
        <v>4007.91671</v>
      </c>
      <c r="DZ19" s="58" t="n">
        <v>6901.26</v>
      </c>
      <c r="EA19" s="93" t="n">
        <f aca="false">DZ19/DY19</f>
        <v>1.72190704032869</v>
      </c>
      <c r="EB19" s="81"/>
      <c r="EC19" s="85" t="n">
        <v>17</v>
      </c>
      <c r="ED19" s="85" t="s">
        <v>20</v>
      </c>
      <c r="EE19" s="86" t="n">
        <v>3892.50323076923</v>
      </c>
      <c r="EF19" s="58" t="n">
        <v>3633.6</v>
      </c>
      <c r="EG19" s="93" t="n">
        <f aca="false">EF19/EE19</f>
        <v>0.933486701122643</v>
      </c>
      <c r="EH19" s="100"/>
      <c r="EI19" s="85" t="n">
        <v>17</v>
      </c>
      <c r="EJ19" s="85" t="s">
        <v>11</v>
      </c>
      <c r="EK19" s="86" t="n">
        <v>3395.17378846154</v>
      </c>
      <c r="EL19" s="58" t="n">
        <v>2989.75</v>
      </c>
      <c r="EM19" s="93" t="n">
        <f aca="false">EL19/EK19</f>
        <v>0.880588207343209</v>
      </c>
      <c r="EN19" s="81"/>
      <c r="EO19" s="85" t="n">
        <v>17</v>
      </c>
      <c r="EP19" s="85" t="s">
        <v>18</v>
      </c>
      <c r="EQ19" s="86" t="n">
        <v>3410.95964</v>
      </c>
      <c r="ER19" s="58" t="n">
        <v>3555.75</v>
      </c>
      <c r="ES19" s="93" t="n">
        <f aca="false">ER19/EQ19</f>
        <v>1.04244857027977</v>
      </c>
      <c r="ET19" s="81"/>
      <c r="EU19" s="85" t="n">
        <v>17</v>
      </c>
      <c r="EV19" s="85" t="s">
        <v>18</v>
      </c>
      <c r="EW19" s="86" t="n">
        <v>3506.36634615385</v>
      </c>
      <c r="EX19" s="58" t="n">
        <v>2571.51</v>
      </c>
      <c r="EY19" s="93" t="n">
        <f aca="false">EX19/EW19</f>
        <v>0.733383151141837</v>
      </c>
      <c r="FA19" s="85" t="n">
        <v>17</v>
      </c>
      <c r="FB19" s="85" t="s">
        <v>9</v>
      </c>
      <c r="FC19" s="86" t="n">
        <v>3926.07684615385</v>
      </c>
      <c r="FD19" s="58" t="n">
        <v>2141.04</v>
      </c>
      <c r="FE19" s="93" t="n">
        <f aca="false">FD19/FC19</f>
        <v>0.545338281418881</v>
      </c>
      <c r="FG19" s="85" t="n">
        <v>17</v>
      </c>
      <c r="FH19" s="85" t="s">
        <v>13</v>
      </c>
      <c r="FI19" s="86" t="n">
        <v>5462.33303846154</v>
      </c>
      <c r="FJ19" s="58" t="n">
        <v>3700</v>
      </c>
      <c r="FK19" s="93" t="n">
        <f aca="false">FJ19/FI19</f>
        <v>0.677366241484628</v>
      </c>
      <c r="FL19" s="100"/>
      <c r="FM19" s="85" t="n">
        <v>17</v>
      </c>
      <c r="FN19" s="85" t="s">
        <v>20</v>
      </c>
      <c r="FO19" s="86" t="n">
        <v>3196.46204166667</v>
      </c>
      <c r="FP19" s="58" t="n">
        <v>1245.76</v>
      </c>
      <c r="FQ19" s="93" t="n">
        <f aca="false">FP19/FO19</f>
        <v>0.389730891141897</v>
      </c>
      <c r="FS19" s="85" t="n">
        <v>17</v>
      </c>
      <c r="FT19" s="85" t="s">
        <v>9</v>
      </c>
      <c r="FU19" s="86" t="n">
        <v>3309.52769230769</v>
      </c>
      <c r="FV19" s="58" t="n">
        <v>2762.5</v>
      </c>
      <c r="FW19" s="93" t="n">
        <f aca="false">FV19/FU19</f>
        <v>0.834711250919839</v>
      </c>
      <c r="FY19" s="85" t="n">
        <v>17</v>
      </c>
      <c r="FZ19" s="85" t="s">
        <v>17</v>
      </c>
      <c r="GA19" s="86" t="n">
        <v>4265.00853846154</v>
      </c>
      <c r="GB19" s="58" t="n">
        <v>2686.8</v>
      </c>
      <c r="GC19" s="93" t="n">
        <f aca="false">GB19/GA19</f>
        <v>0.62996356883477</v>
      </c>
      <c r="GE19" s="7" t="n">
        <v>17</v>
      </c>
      <c r="GF19" s="7" t="s">
        <v>7</v>
      </c>
      <c r="GG19" s="3" t="n">
        <v>3098.37467307692</v>
      </c>
      <c r="GH19" s="10" t="n">
        <v>2338.51</v>
      </c>
      <c r="GI19" s="93" t="n">
        <f aca="false">GH19/GG19</f>
        <v>0.754753781174464</v>
      </c>
      <c r="GK19" s="7" t="n">
        <v>17</v>
      </c>
      <c r="GL19" s="7" t="s">
        <v>11</v>
      </c>
      <c r="GM19" s="32" t="n">
        <v>3011.91634615385</v>
      </c>
      <c r="GN19" s="10" t="n">
        <v>1796.5</v>
      </c>
      <c r="GO19" s="93" t="n">
        <f aca="false">GN19/GM19</f>
        <v>0.596464109069327</v>
      </c>
      <c r="GQ19" s="7" t="n">
        <v>17</v>
      </c>
      <c r="GR19" s="7" t="s">
        <v>18</v>
      </c>
      <c r="GS19" s="32" t="n">
        <v>2925.73623076923</v>
      </c>
      <c r="GT19" s="10" t="n">
        <v>1562.5</v>
      </c>
      <c r="GU19" s="93" t="n">
        <f aca="false">GT19/GS19</f>
        <v>0.534053611384233</v>
      </c>
      <c r="GW19" s="7" t="n">
        <v>17</v>
      </c>
      <c r="GX19" s="7" t="s">
        <v>7</v>
      </c>
      <c r="GY19" s="32" t="n">
        <v>2757.4024375</v>
      </c>
      <c r="GZ19" s="10" t="n">
        <v>1610</v>
      </c>
      <c r="HA19" s="93" t="n">
        <f aca="false">GZ19/GY19</f>
        <v>0.58388285224688</v>
      </c>
      <c r="HC19" s="7" t="n">
        <v>17</v>
      </c>
      <c r="HD19" s="7" t="s">
        <v>13</v>
      </c>
      <c r="HE19" s="21" t="n">
        <v>3969.18954166667</v>
      </c>
      <c r="HF19" s="8" t="n">
        <v>5946</v>
      </c>
      <c r="HG19" s="93" t="n">
        <f aca="false">HF19/HE19</f>
        <v>1.49803881562765</v>
      </c>
      <c r="HI19" s="7" t="n">
        <v>17</v>
      </c>
      <c r="HJ19" s="7" t="s">
        <v>20</v>
      </c>
      <c r="HK19" s="21" t="n">
        <v>2784.41273076923</v>
      </c>
      <c r="HL19" s="8" t="n">
        <v>2237</v>
      </c>
      <c r="HM19" s="93" t="n">
        <f aca="false">HL19/HK19</f>
        <v>0.803401009943666</v>
      </c>
      <c r="HO19" s="7" t="n">
        <v>17</v>
      </c>
      <c r="HP19" s="7" t="s">
        <v>20</v>
      </c>
      <c r="HQ19" s="21" t="n">
        <v>2691.10346153846</v>
      </c>
      <c r="HR19" s="8" t="n">
        <v>2055.5</v>
      </c>
      <c r="HS19" s="93" t="n">
        <f aca="false">HR19/HQ19</f>
        <v>0.763813071246582</v>
      </c>
      <c r="HU19" s="7" t="n">
        <v>17</v>
      </c>
      <c r="HV19" s="7" t="s">
        <v>11</v>
      </c>
      <c r="HW19" s="21" t="n">
        <v>2948.29516666667</v>
      </c>
      <c r="HX19" s="8" t="n">
        <v>2350.5</v>
      </c>
      <c r="HY19" s="93" t="n">
        <f aca="false">HX19/HW19</f>
        <v>0.797240393897694</v>
      </c>
      <c r="HZ19" s="100"/>
      <c r="IA19" s="7" t="n">
        <v>17</v>
      </c>
      <c r="IB19" s="7" t="s">
        <v>17</v>
      </c>
      <c r="IC19" s="21" t="n">
        <v>4467.71406666667</v>
      </c>
      <c r="ID19" s="8" t="n">
        <v>4655</v>
      </c>
      <c r="IE19" s="93" t="n">
        <f aca="false">ID19/IC19</f>
        <v>1.04191985667361</v>
      </c>
      <c r="IG19" s="7" t="n">
        <v>17</v>
      </c>
      <c r="IH19" s="7" t="s">
        <v>7</v>
      </c>
      <c r="II19" s="21" t="n">
        <v>3050.3745</v>
      </c>
      <c r="IJ19" s="8" t="n">
        <v>2014</v>
      </c>
      <c r="IK19" s="93" t="n">
        <f aca="false">IJ19/II19</f>
        <v>0.660246799204491</v>
      </c>
    </row>
    <row r="20" customFormat="false" ht="15.75" hidden="false" customHeight="false" outlineLevel="0" collapsed="false">
      <c r="A20" s="85" t="n">
        <v>18</v>
      </c>
      <c r="B20" s="85" t="s">
        <v>13</v>
      </c>
      <c r="C20" s="90" t="n">
        <v>4500</v>
      </c>
      <c r="D20" s="58" t="n">
        <v>3673</v>
      </c>
      <c r="E20" s="91" t="n">
        <f aca="false">D20/C20</f>
        <v>0.816222222222222</v>
      </c>
      <c r="F20" s="81"/>
      <c r="G20" s="85" t="n">
        <v>18</v>
      </c>
      <c r="H20" s="85" t="s">
        <v>13</v>
      </c>
      <c r="I20" s="92" t="n">
        <v>4996.1625</v>
      </c>
      <c r="J20" s="86" t="n">
        <v>4443</v>
      </c>
      <c r="K20" s="93" t="n">
        <f aca="false">J20/I20</f>
        <v>0.889282524337429</v>
      </c>
      <c r="L20" s="81"/>
      <c r="M20" s="85" t="n">
        <v>18</v>
      </c>
      <c r="N20" s="85" t="s">
        <v>20</v>
      </c>
      <c r="O20" s="86" t="n">
        <v>3465.2332</v>
      </c>
      <c r="P20" s="86" t="n">
        <v>4678.5</v>
      </c>
      <c r="Q20" s="93" t="n">
        <f aca="false">P20/O20</f>
        <v>1.35012558462155</v>
      </c>
      <c r="R20" s="81"/>
      <c r="S20" s="85" t="n">
        <v>18</v>
      </c>
      <c r="T20" s="85" t="s">
        <v>9</v>
      </c>
      <c r="U20" s="58" t="n">
        <v>2628.82307692308</v>
      </c>
      <c r="V20" s="58" t="n">
        <v>2666</v>
      </c>
      <c r="W20" s="93" t="n">
        <f aca="false">V20/U20</f>
        <v>1.01414204074944</v>
      </c>
      <c r="X20" s="81"/>
      <c r="Y20" s="101" t="n">
        <v>18</v>
      </c>
      <c r="Z20" s="85" t="s">
        <v>17</v>
      </c>
      <c r="AA20" s="95" t="n">
        <v>3689.71235294118</v>
      </c>
      <c r="AB20" s="58" t="n">
        <v>3754.5</v>
      </c>
      <c r="AC20" s="93" t="n">
        <f aca="false">AB20/AA20</f>
        <v>1.01755899670802</v>
      </c>
      <c r="AD20" s="81"/>
      <c r="AE20" s="101" t="n">
        <v>18</v>
      </c>
      <c r="AF20" s="85" t="s">
        <v>20</v>
      </c>
      <c r="AG20" s="95" t="n">
        <v>3323.86871</v>
      </c>
      <c r="AH20" s="58" t="n">
        <v>3468.5</v>
      </c>
      <c r="AI20" s="93" t="n">
        <f aca="false">AH20/AG20</f>
        <v>1.04351293706784</v>
      </c>
      <c r="AJ20" s="81"/>
      <c r="AK20" s="101" t="n">
        <v>18</v>
      </c>
      <c r="AL20" s="85" t="s">
        <v>11</v>
      </c>
      <c r="AM20" s="58" t="n">
        <v>3615.0324</v>
      </c>
      <c r="AN20" s="58" t="n">
        <v>2904</v>
      </c>
      <c r="AO20" s="93" t="n">
        <f aca="false">AN20/AM20</f>
        <v>0.803312302263183</v>
      </c>
      <c r="AP20" s="81"/>
      <c r="AQ20" s="85" t="n">
        <v>18</v>
      </c>
      <c r="AR20" s="85" t="s">
        <v>18</v>
      </c>
      <c r="AS20" s="58" t="n">
        <v>3049.52388461539</v>
      </c>
      <c r="AT20" s="58" t="n">
        <v>2641.02</v>
      </c>
      <c r="AU20" s="93" t="n">
        <f aca="false">AT20/AS20</f>
        <v>0.866043389043037</v>
      </c>
      <c r="AV20" s="81"/>
      <c r="AW20" s="85" t="n">
        <v>18</v>
      </c>
      <c r="AX20" s="85" t="s">
        <v>7</v>
      </c>
      <c r="AY20" s="58" t="n">
        <v>3620.84856923077</v>
      </c>
      <c r="AZ20" s="58" t="n">
        <v>3622.5</v>
      </c>
      <c r="BA20" s="93" t="n">
        <f aca="false">AZ20/AY20</f>
        <v>1.00045608943253</v>
      </c>
      <c r="BB20" s="81"/>
      <c r="BC20" s="85" t="n">
        <v>18</v>
      </c>
      <c r="BD20" s="85" t="s">
        <v>13</v>
      </c>
      <c r="BE20" s="58" t="n">
        <v>5580.95515384616</v>
      </c>
      <c r="BF20" s="58" t="n">
        <v>6592.5</v>
      </c>
      <c r="BG20" s="93" t="n">
        <f aca="false">BF20/BE20</f>
        <v>1.18124941309674</v>
      </c>
      <c r="BH20" s="81"/>
      <c r="BI20" s="85" t="n">
        <v>18</v>
      </c>
      <c r="BJ20" s="85" t="s">
        <v>18</v>
      </c>
      <c r="BK20" s="58" t="n">
        <v>3108.05488636364</v>
      </c>
      <c r="BL20" s="58" t="n">
        <v>2293</v>
      </c>
      <c r="BM20" s="93" t="n">
        <f aca="false">BL20/BK20</f>
        <v>0.7377604591413</v>
      </c>
      <c r="BN20" s="81"/>
      <c r="BO20" s="85" t="n">
        <v>18</v>
      </c>
      <c r="BP20" s="85" t="s">
        <v>9</v>
      </c>
      <c r="BQ20" s="58" t="n">
        <v>3789.02151923077</v>
      </c>
      <c r="BR20" s="58" t="n">
        <v>2445.5</v>
      </c>
      <c r="BS20" s="93" t="n">
        <f aca="false">BR20/BQ20</f>
        <v>0.645417289816943</v>
      </c>
      <c r="BT20" s="81"/>
      <c r="BU20" s="85" t="n">
        <v>18</v>
      </c>
      <c r="BV20" s="85" t="s">
        <v>17</v>
      </c>
      <c r="BW20" s="58" t="n">
        <v>5569.685793</v>
      </c>
      <c r="BX20" s="58" t="n">
        <v>7680.01</v>
      </c>
      <c r="BY20" s="93" t="n">
        <f aca="false">BX20/BW20</f>
        <v>1.37889466038681</v>
      </c>
      <c r="BZ20" s="81"/>
      <c r="CA20" s="85" t="n">
        <v>18</v>
      </c>
      <c r="CB20" s="85" t="s">
        <v>18</v>
      </c>
      <c r="CC20" s="58" t="n">
        <v>3258.90177884615</v>
      </c>
      <c r="CD20" s="58" t="n">
        <v>2444.53</v>
      </c>
      <c r="CE20" s="93" t="n">
        <f aca="false">CD20/CC20</f>
        <v>0.750108523020756</v>
      </c>
      <c r="CF20" s="81"/>
      <c r="CG20" s="85" t="n">
        <v>18</v>
      </c>
      <c r="CH20" s="85" t="s">
        <v>9</v>
      </c>
      <c r="CI20" s="86" t="n">
        <v>4164.52486153846</v>
      </c>
      <c r="CJ20" s="58" t="n">
        <v>3078.1</v>
      </c>
      <c r="CK20" s="93" t="n">
        <f aca="false">CJ20/CI20</f>
        <v>0.739123934263869</v>
      </c>
      <c r="CL20" s="81"/>
      <c r="CM20" s="85" t="n">
        <v>18</v>
      </c>
      <c r="CN20" s="85" t="s">
        <v>13</v>
      </c>
      <c r="CO20" s="86" t="n">
        <v>6903.4878</v>
      </c>
      <c r="CP20" s="60" t="n">
        <v>2511.53</v>
      </c>
      <c r="CQ20" s="93" t="n">
        <f aca="false">CP20/CO20</f>
        <v>0.36380595906898</v>
      </c>
      <c r="CR20" s="81"/>
      <c r="CS20" s="85" t="n">
        <v>18</v>
      </c>
      <c r="CT20" s="85" t="s">
        <v>20</v>
      </c>
      <c r="CU20" s="86" t="n">
        <v>3778.056</v>
      </c>
      <c r="CV20" s="58" t="n">
        <v>2025.03</v>
      </c>
      <c r="CW20" s="93" t="n">
        <f aca="false">CV20/CU20</f>
        <v>0.535997878273906</v>
      </c>
      <c r="CX20" s="81"/>
      <c r="CY20" s="85" t="n">
        <v>18</v>
      </c>
      <c r="CZ20" s="85" t="s">
        <v>9</v>
      </c>
      <c r="DA20" s="86" t="n">
        <v>3390.73971875</v>
      </c>
      <c r="DB20" s="58" t="n">
        <v>2359.5</v>
      </c>
      <c r="DC20" s="93" t="n">
        <f aca="false">DB20/DA20</f>
        <v>0.695865856925707</v>
      </c>
      <c r="DD20" s="81"/>
      <c r="DE20" s="85" t="n">
        <v>18</v>
      </c>
      <c r="DF20" s="85" t="s">
        <v>17</v>
      </c>
      <c r="DG20" s="86" t="n">
        <v>4499.2023125</v>
      </c>
      <c r="DH20" s="58" t="n">
        <v>2209.51</v>
      </c>
      <c r="DI20" s="93" t="n">
        <f aca="false">DH20/DG20</f>
        <v>0.491089274616833</v>
      </c>
      <c r="DJ20" s="81"/>
      <c r="DK20" s="85" t="n">
        <v>18</v>
      </c>
      <c r="DL20" s="85" t="s">
        <v>7</v>
      </c>
      <c r="DM20" s="86" t="n">
        <v>3244.36143333333</v>
      </c>
      <c r="DN20" s="58" t="n">
        <v>3146.5</v>
      </c>
      <c r="DO20" s="93" t="n">
        <f aca="false">DN20/DM20</f>
        <v>0.969836457699232</v>
      </c>
      <c r="DP20" s="81"/>
      <c r="DQ20" s="85" t="n">
        <v>18</v>
      </c>
      <c r="DR20" s="85" t="s">
        <v>11</v>
      </c>
      <c r="DS20" s="86" t="n">
        <v>2817.0883125</v>
      </c>
      <c r="DT20" s="58" t="n">
        <v>2639.51</v>
      </c>
      <c r="DU20" s="93" t="n">
        <f aca="false">DT20/DS20</f>
        <v>0.936963881568054</v>
      </c>
      <c r="DV20" s="81"/>
      <c r="DW20" s="85" t="n">
        <v>18</v>
      </c>
      <c r="DX20" s="85" t="s">
        <v>18</v>
      </c>
      <c r="DY20" s="86" t="n">
        <v>2896.25827826088</v>
      </c>
      <c r="DZ20" s="58" t="n">
        <v>4523.53</v>
      </c>
      <c r="EA20" s="93" t="n">
        <f aca="false">DZ20/DY20</f>
        <v>1.56185311025378</v>
      </c>
      <c r="EB20" s="81"/>
      <c r="EC20" s="85" t="n">
        <v>18</v>
      </c>
      <c r="ED20" s="85" t="s">
        <v>7</v>
      </c>
      <c r="EE20" s="86" t="n">
        <v>3820.83230769231</v>
      </c>
      <c r="EF20" s="58" t="n">
        <v>2616</v>
      </c>
      <c r="EG20" s="93" t="n">
        <f aca="false">EF20/EE20</f>
        <v>0.684667577462985</v>
      </c>
      <c r="EH20" s="100"/>
      <c r="EI20" s="85" t="n">
        <v>18</v>
      </c>
      <c r="EJ20" s="85" t="s">
        <v>13</v>
      </c>
      <c r="EK20" s="86" t="n">
        <v>4193.88859615385</v>
      </c>
      <c r="EL20" s="58" t="n">
        <v>5551.52</v>
      </c>
      <c r="EM20" s="93" t="n">
        <f aca="false">EL20/EK20</f>
        <v>1.32371661114013</v>
      </c>
      <c r="EN20" s="81"/>
      <c r="EO20" s="85" t="n">
        <v>18</v>
      </c>
      <c r="EP20" s="85" t="s">
        <v>20</v>
      </c>
      <c r="EQ20" s="86" t="n">
        <v>3824.392</v>
      </c>
      <c r="ER20" s="58" t="n">
        <v>3488.54</v>
      </c>
      <c r="ES20" s="93" t="n">
        <f aca="false">ER20/EQ20</f>
        <v>0.912181596447226</v>
      </c>
      <c r="ET20" s="81"/>
      <c r="EU20" s="85" t="n">
        <v>18</v>
      </c>
      <c r="EV20" s="85" t="s">
        <v>20</v>
      </c>
      <c r="EW20" s="86" t="n">
        <v>3947.55533333333</v>
      </c>
      <c r="EX20" s="58" t="n">
        <v>2507.52</v>
      </c>
      <c r="EY20" s="93" t="n">
        <f aca="false">EX20/EW20</f>
        <v>0.635208322180158</v>
      </c>
      <c r="FA20" s="85" t="n">
        <v>18</v>
      </c>
      <c r="FB20" s="85" t="s">
        <v>11</v>
      </c>
      <c r="FC20" s="86" t="n">
        <v>4211.02930769231</v>
      </c>
      <c r="FD20" s="58" t="n">
        <v>1976.5</v>
      </c>
      <c r="FE20" s="93" t="n">
        <f aca="false">FD20/FC20</f>
        <v>0.469362679663501</v>
      </c>
      <c r="FG20" s="85" t="n">
        <v>18</v>
      </c>
      <c r="FH20" s="85" t="s">
        <v>17</v>
      </c>
      <c r="FI20" s="86" t="n">
        <v>5046.12053846154</v>
      </c>
      <c r="FJ20" s="58" t="n">
        <v>2456.5</v>
      </c>
      <c r="FK20" s="93" t="n">
        <f aca="false">FJ20/FI20</f>
        <v>0.486809615679323</v>
      </c>
      <c r="FL20" s="100"/>
      <c r="FM20" s="85" t="n">
        <v>18</v>
      </c>
      <c r="FN20" s="85" t="s">
        <v>7</v>
      </c>
      <c r="FO20" s="86" t="n">
        <v>3456.04072</v>
      </c>
      <c r="FP20" s="58" t="n">
        <v>2614.03</v>
      </c>
      <c r="FQ20" s="93" t="n">
        <f aca="false">FP20/FO20</f>
        <v>0.756365509489715</v>
      </c>
      <c r="FS20" s="85" t="n">
        <v>18</v>
      </c>
      <c r="FT20" s="85" t="s">
        <v>11</v>
      </c>
      <c r="FU20" s="86" t="n">
        <v>3432.83980769231</v>
      </c>
      <c r="FV20" s="58" t="n">
        <v>2244.27</v>
      </c>
      <c r="FW20" s="93" t="n">
        <f aca="false">FV20/FU20</f>
        <v>0.65376484943196</v>
      </c>
      <c r="FY20" s="85" t="n">
        <v>18</v>
      </c>
      <c r="FZ20" s="85" t="s">
        <v>18</v>
      </c>
      <c r="GA20" s="86" t="n">
        <v>2733.30451923077</v>
      </c>
      <c r="GB20" s="58" t="n">
        <v>1835</v>
      </c>
      <c r="GC20" s="93" t="n">
        <f aca="false">GB20/GA20</f>
        <v>0.671348540599648</v>
      </c>
      <c r="GE20" s="7" t="n">
        <v>18</v>
      </c>
      <c r="GF20" s="7" t="s">
        <v>9</v>
      </c>
      <c r="GG20" s="3" t="n">
        <v>3151.42417307692</v>
      </c>
      <c r="GH20" s="10" t="n">
        <v>1838</v>
      </c>
      <c r="GI20" s="93" t="n">
        <f aca="false">GH20/GG20</f>
        <v>0.58322837519059</v>
      </c>
      <c r="GK20" s="7" t="n">
        <v>18</v>
      </c>
      <c r="GL20" s="7" t="s">
        <v>13</v>
      </c>
      <c r="GM20" s="3" t="n">
        <v>4334.40196296296</v>
      </c>
      <c r="GN20" s="10" t="n">
        <v>3029.9</v>
      </c>
      <c r="GO20" s="93" t="n">
        <f aca="false">GN20/GM20</f>
        <v>0.699035305421647</v>
      </c>
      <c r="GQ20" s="7" t="n">
        <v>18</v>
      </c>
      <c r="GR20" s="7" t="s">
        <v>20</v>
      </c>
      <c r="GS20" s="3" t="n">
        <v>2882.27175961539</v>
      </c>
      <c r="GT20" s="10" t="n">
        <v>1135.01</v>
      </c>
      <c r="GU20" s="93" t="n">
        <f aca="false">GT20/GS20</f>
        <v>0.393790070701541</v>
      </c>
      <c r="GW20" s="7" t="n">
        <v>18</v>
      </c>
      <c r="GX20" s="7" t="s">
        <v>9</v>
      </c>
      <c r="GY20" s="3" t="n">
        <v>3129.20941666667</v>
      </c>
      <c r="GZ20" s="10" t="n">
        <v>2127.5</v>
      </c>
      <c r="HA20" s="93" t="n">
        <f aca="false">GZ20/GY20</f>
        <v>0.679884186935075</v>
      </c>
      <c r="HC20" s="7" t="n">
        <v>18</v>
      </c>
      <c r="HD20" s="7" t="s">
        <v>17</v>
      </c>
      <c r="HE20" s="3" t="n">
        <v>4064.60462</v>
      </c>
      <c r="HF20" s="8" t="n">
        <v>6474</v>
      </c>
      <c r="HG20" s="93" t="n">
        <f aca="false">HF20/HE20</f>
        <v>1.5927748465729</v>
      </c>
      <c r="HI20" s="7" t="n">
        <v>18</v>
      </c>
      <c r="HJ20" s="7" t="s">
        <v>7</v>
      </c>
      <c r="HK20" s="3" t="n">
        <v>3123.952</v>
      </c>
      <c r="HL20" s="8" t="n">
        <v>1707.5</v>
      </c>
      <c r="HM20" s="93" t="n">
        <f aca="false">HL20/HK20</f>
        <v>0.546583302176218</v>
      </c>
      <c r="HO20" s="7" t="n">
        <v>18</v>
      </c>
      <c r="HP20" s="7" t="s">
        <v>7</v>
      </c>
      <c r="HQ20" s="3" t="n">
        <v>3000.2225</v>
      </c>
      <c r="HR20" s="8" t="n">
        <v>1266</v>
      </c>
      <c r="HS20" s="93" t="n">
        <f aca="false">HR20/HQ20</f>
        <v>0.421968703987788</v>
      </c>
      <c r="HU20" s="7" t="n">
        <v>18</v>
      </c>
      <c r="HV20" s="7" t="s">
        <v>13</v>
      </c>
      <c r="HW20" s="3" t="n">
        <v>4705.97004166667</v>
      </c>
      <c r="HX20" s="8" t="n">
        <v>4164.5</v>
      </c>
      <c r="HY20" s="93" t="n">
        <f aca="false">HX20/HW20</f>
        <v>0.884939760161563</v>
      </c>
      <c r="HZ20" s="100"/>
      <c r="IA20" s="7" t="n">
        <v>18</v>
      </c>
      <c r="IB20" s="7" t="s">
        <v>18</v>
      </c>
      <c r="IC20" s="3" t="n">
        <v>2465.12093333333</v>
      </c>
      <c r="ID20" s="8" t="n">
        <v>1406</v>
      </c>
      <c r="IE20" s="93" t="n">
        <f aca="false">ID20/IC20</f>
        <v>0.570357413702543</v>
      </c>
      <c r="IG20" s="7" t="n">
        <v>18</v>
      </c>
      <c r="IH20" s="7" t="s">
        <v>9</v>
      </c>
      <c r="II20" s="3" t="n">
        <v>2625.013875</v>
      </c>
      <c r="IJ20" s="8" t="n">
        <v>2269</v>
      </c>
      <c r="IK20" s="93" t="n">
        <f aca="false">IJ20/II20</f>
        <v>0.864376383534353</v>
      </c>
    </row>
    <row r="21" customFormat="false" ht="15.75" hidden="false" customHeight="true" outlineLevel="0" collapsed="false">
      <c r="A21" s="85" t="n">
        <v>19</v>
      </c>
      <c r="B21" s="85" t="s">
        <v>17</v>
      </c>
      <c r="C21" s="90" t="n">
        <v>3500</v>
      </c>
      <c r="D21" s="58" t="n">
        <v>3671</v>
      </c>
      <c r="E21" s="91" t="n">
        <f aca="false">D21/C21</f>
        <v>1.04885714285714</v>
      </c>
      <c r="F21" s="81"/>
      <c r="G21" s="85" t="n">
        <v>19</v>
      </c>
      <c r="H21" s="85" t="s">
        <v>17</v>
      </c>
      <c r="I21" s="92" t="n">
        <v>4734.9025</v>
      </c>
      <c r="J21" s="86" t="n">
        <v>3675.5</v>
      </c>
      <c r="K21" s="93" t="n">
        <f aca="false">J21/I21</f>
        <v>0.776256744463059</v>
      </c>
      <c r="L21" s="81"/>
      <c r="M21" s="85" t="n">
        <v>19</v>
      </c>
      <c r="N21" s="85" t="s">
        <v>7</v>
      </c>
      <c r="O21" s="86" t="n">
        <v>3505.10506666667</v>
      </c>
      <c r="P21" s="86" t="n">
        <v>2052.5</v>
      </c>
      <c r="Q21" s="93" t="n">
        <f aca="false">P21/O21</f>
        <v>0.585574458100884</v>
      </c>
      <c r="R21" s="81"/>
      <c r="S21" s="85" t="n">
        <v>19</v>
      </c>
      <c r="T21" s="85" t="s">
        <v>11</v>
      </c>
      <c r="U21" s="58" t="n">
        <v>4033.78076923077</v>
      </c>
      <c r="V21" s="58" t="n">
        <v>2666</v>
      </c>
      <c r="W21" s="93" t="n">
        <f aca="false">V21/U21</f>
        <v>0.660918416869839</v>
      </c>
      <c r="X21" s="81"/>
      <c r="Y21" s="101" t="n">
        <v>19</v>
      </c>
      <c r="Z21" s="85" t="s">
        <v>18</v>
      </c>
      <c r="AA21" s="95" t="n">
        <v>2557.5375</v>
      </c>
      <c r="AB21" s="58" t="n">
        <v>2145</v>
      </c>
      <c r="AC21" s="93" t="n">
        <f aca="false">AB21/AA21</f>
        <v>0.838697379803815</v>
      </c>
      <c r="AD21" s="81"/>
      <c r="AE21" s="101" t="n">
        <v>19</v>
      </c>
      <c r="AF21" s="85" t="s">
        <v>7</v>
      </c>
      <c r="AG21" s="95" t="n">
        <v>3100.40545238095</v>
      </c>
      <c r="AH21" s="58" t="n">
        <v>3813</v>
      </c>
      <c r="AI21" s="93" t="n">
        <f aca="false">AH21/AG21</f>
        <v>1.22983914799654</v>
      </c>
      <c r="AJ21" s="81"/>
      <c r="AK21" s="101" t="n">
        <v>19</v>
      </c>
      <c r="AL21" s="85" t="s">
        <v>13</v>
      </c>
      <c r="AM21" s="58" t="n">
        <v>4370.5494</v>
      </c>
      <c r="AN21" s="58" t="n">
        <v>5272</v>
      </c>
      <c r="AO21" s="93" t="n">
        <f aca="false">AN21/AM21</f>
        <v>1.20625567119777</v>
      </c>
      <c r="AP21" s="81"/>
      <c r="AQ21" s="85" t="n">
        <v>19</v>
      </c>
      <c r="AR21" s="85" t="s">
        <v>20</v>
      </c>
      <c r="AS21" s="58" t="n">
        <v>3489.23480769231</v>
      </c>
      <c r="AT21" s="58" t="n">
        <v>2972</v>
      </c>
      <c r="AU21" s="93" t="n">
        <f aca="false">AT21/AS21</f>
        <v>0.851762682593896</v>
      </c>
      <c r="AV21" s="81"/>
      <c r="AW21" s="85" t="n">
        <v>19</v>
      </c>
      <c r="AX21" s="85" t="s">
        <v>9</v>
      </c>
      <c r="AY21" s="58" t="n">
        <v>3535.0242</v>
      </c>
      <c r="AZ21" s="58" t="n">
        <v>3047.01</v>
      </c>
      <c r="BA21" s="93" t="n">
        <f aca="false">AZ21/AY21</f>
        <v>0.861948837577972</v>
      </c>
      <c r="BB21" s="81"/>
      <c r="BC21" s="85" t="n">
        <v>19</v>
      </c>
      <c r="BD21" s="85" t="s">
        <v>17</v>
      </c>
      <c r="BE21" s="58" t="n">
        <v>5140.16838461539</v>
      </c>
      <c r="BF21" s="58" t="n">
        <v>5898</v>
      </c>
      <c r="BG21" s="93" t="n">
        <f aca="false">BF21/BE21</f>
        <v>1.14743322760648</v>
      </c>
      <c r="BH21" s="81"/>
      <c r="BI21" s="85" t="n">
        <v>19</v>
      </c>
      <c r="BJ21" s="85" t="s">
        <v>20</v>
      </c>
      <c r="BK21" s="58" t="n">
        <v>3435.89447727273</v>
      </c>
      <c r="BL21" s="58" t="n">
        <v>2868.5</v>
      </c>
      <c r="BM21" s="93" t="n">
        <f aca="false">BL21/BK21</f>
        <v>0.834862659192286</v>
      </c>
      <c r="BN21" s="81"/>
      <c r="BO21" s="85" t="n">
        <v>19</v>
      </c>
      <c r="BP21" s="85" t="s">
        <v>11</v>
      </c>
      <c r="BQ21" s="58" t="n">
        <v>4029.96582692308</v>
      </c>
      <c r="BR21" s="58" t="n">
        <v>3505.01</v>
      </c>
      <c r="BS21" s="93" t="n">
        <f aca="false">BR21/BQ21</f>
        <v>0.869736903619382</v>
      </c>
      <c r="BT21" s="81"/>
      <c r="BU21" s="85" t="n">
        <v>19</v>
      </c>
      <c r="BV21" s="85" t="s">
        <v>18</v>
      </c>
      <c r="BW21" s="58" t="n">
        <v>3222.12748846154</v>
      </c>
      <c r="BX21" s="58" t="n">
        <v>3044.52</v>
      </c>
      <c r="BY21" s="93" t="n">
        <f aca="false">BX21/BW21</f>
        <v>0.944878814045206</v>
      </c>
      <c r="BZ21" s="81"/>
      <c r="CA21" s="85" t="n">
        <v>19</v>
      </c>
      <c r="CB21" s="85" t="s">
        <v>20</v>
      </c>
      <c r="CC21" s="58" t="n">
        <v>3607.60614423077</v>
      </c>
      <c r="CD21" s="58" t="n">
        <v>4869.08</v>
      </c>
      <c r="CE21" s="93" t="n">
        <f aca="false">CD21/CC21</f>
        <v>1.34967061406816</v>
      </c>
      <c r="CF21" s="81"/>
      <c r="CG21" s="85" t="n">
        <v>19</v>
      </c>
      <c r="CH21" s="85" t="s">
        <v>11</v>
      </c>
      <c r="CI21" s="86" t="n">
        <v>4618.74731971154</v>
      </c>
      <c r="CJ21" s="58" t="n">
        <v>3223</v>
      </c>
      <c r="CK21" s="93" t="n">
        <f aca="false">CJ21/CI21</f>
        <v>0.697808253386178</v>
      </c>
      <c r="CL21" s="81"/>
      <c r="CM21" s="85" t="n">
        <v>19</v>
      </c>
      <c r="CN21" s="85" t="s">
        <v>17</v>
      </c>
      <c r="CO21" s="86" t="n">
        <v>6423.77193333333</v>
      </c>
      <c r="CP21" s="60" t="n">
        <v>2559.55</v>
      </c>
      <c r="CQ21" s="93" t="n">
        <f aca="false">CP21/CO21</f>
        <v>0.39844970004591</v>
      </c>
      <c r="CR21" s="81"/>
      <c r="CS21" s="85" t="n">
        <v>19</v>
      </c>
      <c r="CT21" s="85" t="s">
        <v>7</v>
      </c>
      <c r="CU21" s="86" t="n">
        <v>3423.9315</v>
      </c>
      <c r="CV21" s="58" t="n">
        <v>2132.57</v>
      </c>
      <c r="CW21" s="93" t="n">
        <f aca="false">CV21/CU21</f>
        <v>0.622842483852262</v>
      </c>
      <c r="CX21" s="81"/>
      <c r="CY21" s="85" t="n">
        <v>19</v>
      </c>
      <c r="CZ21" s="85" t="s">
        <v>11</v>
      </c>
      <c r="DA21" s="86" t="n">
        <v>3831.45896875</v>
      </c>
      <c r="DB21" s="58" t="n">
        <v>3186.5</v>
      </c>
      <c r="DC21" s="93" t="n">
        <f aca="false">DB21/DA21</f>
        <v>0.831667525605679</v>
      </c>
      <c r="DD21" s="81"/>
      <c r="DE21" s="85" t="n">
        <v>19</v>
      </c>
      <c r="DF21" s="85" t="s">
        <v>18</v>
      </c>
      <c r="DG21" s="86"/>
      <c r="DH21" s="58" t="n">
        <v>0</v>
      </c>
      <c r="DI21" s="93"/>
      <c r="DJ21" s="81"/>
      <c r="DK21" s="85" t="n">
        <v>19</v>
      </c>
      <c r="DL21" s="85" t="s">
        <v>9</v>
      </c>
      <c r="DM21" s="86" t="n">
        <v>3168.16775</v>
      </c>
      <c r="DN21" s="58" t="n">
        <v>1952.02</v>
      </c>
      <c r="DO21" s="93" t="n">
        <f aca="false">DN21/DM21</f>
        <v>0.616135304072835</v>
      </c>
      <c r="DP21" s="81"/>
      <c r="DQ21" s="85" t="n">
        <v>19</v>
      </c>
      <c r="DR21" s="85" t="s">
        <v>13</v>
      </c>
      <c r="DS21" s="86" t="n">
        <v>3631.1611875</v>
      </c>
      <c r="DT21" s="58" t="n">
        <v>2003.5</v>
      </c>
      <c r="DU21" s="93" t="n">
        <f aca="false">DT21/DS21</f>
        <v>0.551751876754163</v>
      </c>
      <c r="DV21" s="81"/>
      <c r="DW21" s="85" t="n">
        <v>19</v>
      </c>
      <c r="DX21" s="85" t="s">
        <v>20</v>
      </c>
      <c r="DY21" s="102" t="n">
        <v>3657.8939775</v>
      </c>
      <c r="DZ21" s="58" t="n">
        <v>6178.52</v>
      </c>
      <c r="EA21" s="93" t="n">
        <f aca="false">DZ21/DY21</f>
        <v>1.68909214919967</v>
      </c>
      <c r="EB21" s="81"/>
      <c r="EC21" s="85" t="n">
        <v>19</v>
      </c>
      <c r="ED21" s="85" t="s">
        <v>9</v>
      </c>
      <c r="EE21" s="102" t="n">
        <v>3738.57553846154</v>
      </c>
      <c r="EF21" s="58" t="n">
        <v>2690.81</v>
      </c>
      <c r="EG21" s="93" t="n">
        <f aca="false">EF21/EE21</f>
        <v>0.719742044080055</v>
      </c>
      <c r="EH21" s="100"/>
      <c r="EI21" s="85" t="n">
        <v>19</v>
      </c>
      <c r="EJ21" s="85" t="s">
        <v>17</v>
      </c>
      <c r="EK21" s="102" t="n">
        <v>3751.09713461538</v>
      </c>
      <c r="EL21" s="58" t="n">
        <v>5499.75</v>
      </c>
      <c r="EM21" s="93" t="n">
        <f aca="false">EL21/EK21</f>
        <v>1.46617104346564</v>
      </c>
      <c r="EN21" s="81"/>
      <c r="EO21" s="85" t="n">
        <v>19</v>
      </c>
      <c r="EP21" s="85" t="s">
        <v>7</v>
      </c>
      <c r="EQ21" s="102" t="n">
        <v>3598.85944</v>
      </c>
      <c r="ER21" s="58" t="n">
        <v>4198.01</v>
      </c>
      <c r="ES21" s="93" t="n">
        <f aca="false">ER21/EQ21</f>
        <v>1.16648345676985</v>
      </c>
      <c r="ET21" s="81"/>
      <c r="EU21" s="85" t="n">
        <v>19</v>
      </c>
      <c r="EV21" s="85" t="s">
        <v>7</v>
      </c>
      <c r="EW21" s="102" t="n">
        <v>3815.68264</v>
      </c>
      <c r="EX21" s="58" t="n">
        <v>2404.02</v>
      </c>
      <c r="EY21" s="93" t="n">
        <f aca="false">EX21/EW21</f>
        <v>0.630036674119208</v>
      </c>
      <c r="FA21" s="85" t="n">
        <v>19</v>
      </c>
      <c r="FB21" s="85" t="s">
        <v>13</v>
      </c>
      <c r="FC21" s="102" t="n">
        <v>5462.33303846154</v>
      </c>
      <c r="FD21" s="58" t="n">
        <v>3048.54</v>
      </c>
      <c r="FE21" s="93" t="n">
        <f aca="false">FD21/FC21</f>
        <v>0.558102184274472</v>
      </c>
      <c r="FG21" s="85" t="n">
        <v>19</v>
      </c>
      <c r="FH21" s="85" t="s">
        <v>18</v>
      </c>
      <c r="FI21" s="102" t="n">
        <v>3488.60176923077</v>
      </c>
      <c r="FJ21" s="58" t="n">
        <v>2093.52</v>
      </c>
      <c r="FK21" s="93" t="n">
        <f aca="false">FJ21/FI21</f>
        <v>0.600102888918048</v>
      </c>
      <c r="FL21" s="100"/>
      <c r="FM21" s="85" t="n">
        <v>19</v>
      </c>
      <c r="FN21" s="85" t="s">
        <v>9</v>
      </c>
      <c r="FO21" s="102" t="n">
        <v>3327.21696153846</v>
      </c>
      <c r="FP21" s="58" t="n">
        <v>2380.75</v>
      </c>
      <c r="FQ21" s="93" t="n">
        <f aca="false">FP21/FO21</f>
        <v>0.715537948838531</v>
      </c>
      <c r="FS21" s="85" t="n">
        <v>19</v>
      </c>
      <c r="FT21" s="85" t="s">
        <v>13</v>
      </c>
      <c r="FU21" s="102" t="n">
        <v>4957.44530769231</v>
      </c>
      <c r="FV21" s="58" t="n">
        <v>2244.5</v>
      </c>
      <c r="FW21" s="93" t="n">
        <f aca="false">FV21/FU21</f>
        <v>0.452753355950752</v>
      </c>
      <c r="FY21" s="85" t="n">
        <v>19</v>
      </c>
      <c r="FZ21" s="85" t="s">
        <v>20</v>
      </c>
      <c r="GA21" s="102" t="n">
        <v>2712.61778846154</v>
      </c>
      <c r="GB21" s="58" t="n">
        <v>2066</v>
      </c>
      <c r="GC21" s="93" t="n">
        <f aca="false">GB21/GA21</f>
        <v>0.761625913089559</v>
      </c>
      <c r="GE21" s="7" t="n">
        <v>19</v>
      </c>
      <c r="GF21" s="7" t="s">
        <v>11</v>
      </c>
      <c r="GG21" s="32" t="n">
        <v>3011.91634615385</v>
      </c>
      <c r="GH21" s="10" t="n">
        <v>1633.01</v>
      </c>
      <c r="GI21" s="93" t="n">
        <f aca="false">GH21/GG21</f>
        <v>0.542183053020486</v>
      </c>
      <c r="GK21" s="7" t="n">
        <v>19</v>
      </c>
      <c r="GL21" s="7" t="s">
        <v>17</v>
      </c>
      <c r="GM21" s="3" t="n">
        <v>3846.46377777778</v>
      </c>
      <c r="GN21" s="10" t="n">
        <v>4194.4</v>
      </c>
      <c r="GO21" s="93" t="n">
        <f aca="false">GN21/GM21</f>
        <v>1.09045612862192</v>
      </c>
      <c r="GQ21" s="7" t="n">
        <v>19</v>
      </c>
      <c r="GR21" s="7" t="s">
        <v>7</v>
      </c>
      <c r="GS21" s="3" t="n">
        <v>3563.13087403846</v>
      </c>
      <c r="GT21" s="10" t="n">
        <v>2343.01</v>
      </c>
      <c r="GU21" s="93" t="n">
        <f aca="false">GT21/GS21</f>
        <v>0.657570570048814</v>
      </c>
      <c r="GW21" s="7" t="n">
        <v>19</v>
      </c>
      <c r="GX21" s="7" t="s">
        <v>11</v>
      </c>
      <c r="GY21" s="3" t="n">
        <v>2824.96158333333</v>
      </c>
      <c r="GZ21" s="10" t="n">
        <v>1266</v>
      </c>
      <c r="HA21" s="93" t="n">
        <f aca="false">GZ21/GY21</f>
        <v>0.448147687200113</v>
      </c>
      <c r="HC21" s="7" t="n">
        <v>19</v>
      </c>
      <c r="HD21" s="7" t="s">
        <v>18</v>
      </c>
      <c r="HE21" s="3" t="n">
        <v>2356.85408333333</v>
      </c>
      <c r="HF21" s="8" t="n">
        <v>2201.51</v>
      </c>
      <c r="HG21" s="93" t="n">
        <f aca="false">HF21/HE21</f>
        <v>0.934088374655072</v>
      </c>
      <c r="HI21" s="7" t="n">
        <v>19</v>
      </c>
      <c r="HJ21" s="7" t="s">
        <v>9</v>
      </c>
      <c r="HK21" s="3" t="n">
        <v>3353.44953846154</v>
      </c>
      <c r="HL21" s="8" t="n">
        <v>1749.5</v>
      </c>
      <c r="HM21" s="93" t="n">
        <f aca="false">HL21/HK21</f>
        <v>0.521701603061133</v>
      </c>
      <c r="HO21" s="7" t="n">
        <v>19</v>
      </c>
      <c r="HP21" s="7" t="s">
        <v>9</v>
      </c>
      <c r="HQ21" s="3" t="n">
        <v>3049.44030769231</v>
      </c>
      <c r="HR21" s="8" t="n">
        <v>2001.5</v>
      </c>
      <c r="HS21" s="93" t="n">
        <f aca="false">HR21/HQ21</f>
        <v>0.656349952137497</v>
      </c>
      <c r="HU21" s="7" t="n">
        <v>19</v>
      </c>
      <c r="HV21" s="7" t="s">
        <v>17</v>
      </c>
      <c r="HW21" s="3" t="n">
        <v>4690.85558333333</v>
      </c>
      <c r="HX21" s="8" t="n">
        <v>4225</v>
      </c>
      <c r="HY21" s="93" t="n">
        <f aca="false">HX21/HW21</f>
        <v>0.900688568416277</v>
      </c>
      <c r="HZ21" s="100"/>
      <c r="IA21" s="7" t="n">
        <v>19</v>
      </c>
      <c r="IB21" s="7" t="s">
        <v>20</v>
      </c>
      <c r="IC21" s="3" t="n">
        <v>2649.56393333333</v>
      </c>
      <c r="ID21" s="8" t="n">
        <v>1741</v>
      </c>
      <c r="IE21" s="93" t="n">
        <f aca="false">ID21/IC21</f>
        <v>0.657089258385889</v>
      </c>
      <c r="IG21" s="7" t="n">
        <v>19</v>
      </c>
      <c r="IH21" s="7" t="s">
        <v>11</v>
      </c>
      <c r="II21" s="3" t="n">
        <v>2871.523875</v>
      </c>
      <c r="IJ21" s="8" t="n">
        <v>1533</v>
      </c>
      <c r="IK21" s="93" t="n">
        <f aca="false">IJ21/II21</f>
        <v>0.533862877946644</v>
      </c>
    </row>
    <row r="22" customFormat="false" ht="15.75" hidden="false" customHeight="true" outlineLevel="0" collapsed="false">
      <c r="A22" s="85" t="n">
        <v>20</v>
      </c>
      <c r="B22" s="85" t="s">
        <v>18</v>
      </c>
      <c r="C22" s="90" t="n">
        <v>1800</v>
      </c>
      <c r="D22" s="58" t="n">
        <v>4152.5</v>
      </c>
      <c r="E22" s="91" t="n">
        <f aca="false">D22/C22</f>
        <v>2.30694444444444</v>
      </c>
      <c r="F22" s="81"/>
      <c r="G22" s="85" t="n">
        <v>20</v>
      </c>
      <c r="H22" s="85" t="s">
        <v>18</v>
      </c>
      <c r="I22" s="92" t="n">
        <v>3140.65</v>
      </c>
      <c r="J22" s="86" t="n">
        <v>2219</v>
      </c>
      <c r="K22" s="93" t="n">
        <f aca="false">J22/I22</f>
        <v>0.706541639469537</v>
      </c>
      <c r="L22" s="81"/>
      <c r="M22" s="85" t="n">
        <v>20</v>
      </c>
      <c r="N22" s="85" t="s">
        <v>9</v>
      </c>
      <c r="O22" s="86" t="n">
        <v>2738.74755555556</v>
      </c>
      <c r="P22" s="86" t="n">
        <v>2868</v>
      </c>
      <c r="Q22" s="93" t="n">
        <f aca="false">P22/O22</f>
        <v>1.04719399719125</v>
      </c>
      <c r="R22" s="81"/>
      <c r="S22" s="85" t="n">
        <v>20</v>
      </c>
      <c r="T22" s="85" t="s">
        <v>13</v>
      </c>
      <c r="U22" s="58" t="n">
        <v>4690.08846153846</v>
      </c>
      <c r="V22" s="58" t="n">
        <v>3580.5</v>
      </c>
      <c r="W22" s="93" t="n">
        <f aca="false">V22/U22</f>
        <v>0.76341843642444</v>
      </c>
      <c r="X22" s="81"/>
      <c r="Y22" s="101" t="n">
        <v>20</v>
      </c>
      <c r="Z22" s="85" t="s">
        <v>20</v>
      </c>
      <c r="AA22" s="95" t="n">
        <v>3393.50875</v>
      </c>
      <c r="AB22" s="58" t="n">
        <v>2556</v>
      </c>
      <c r="AC22" s="93" t="n">
        <f aca="false">AB22/AA22</f>
        <v>0.753202713857744</v>
      </c>
      <c r="AD22" s="81"/>
      <c r="AE22" s="101" t="n">
        <v>20</v>
      </c>
      <c r="AF22" s="85" t="s">
        <v>9</v>
      </c>
      <c r="AG22" s="95" t="n">
        <v>2743.68354782609</v>
      </c>
      <c r="AH22" s="58" t="n">
        <v>5307.02</v>
      </c>
      <c r="AI22" s="93" t="n">
        <f aca="false">AH22/AG22</f>
        <v>1.93426825925494</v>
      </c>
      <c r="AJ22" s="81"/>
      <c r="AK22" s="101" t="n">
        <v>20</v>
      </c>
      <c r="AL22" s="85" t="s">
        <v>17</v>
      </c>
      <c r="AM22" s="58" t="n">
        <v>4138.3610625</v>
      </c>
      <c r="AN22" s="58" t="n">
        <v>4979.01</v>
      </c>
      <c r="AO22" s="93" t="n">
        <f aca="false">AN22/AM22</f>
        <v>1.20313571600061</v>
      </c>
      <c r="AP22" s="81"/>
      <c r="AQ22" s="85" t="n">
        <v>20</v>
      </c>
      <c r="AR22" s="85" t="s">
        <v>7</v>
      </c>
      <c r="AS22" s="58" t="n">
        <v>3715.95565384615</v>
      </c>
      <c r="AT22" s="58" t="n">
        <v>2657</v>
      </c>
      <c r="AU22" s="93" t="n">
        <f aca="false">AT22/AS22</f>
        <v>0.71502467938494</v>
      </c>
      <c r="AV22" s="81"/>
      <c r="AW22" s="85" t="n">
        <v>20</v>
      </c>
      <c r="AX22" s="85" t="s">
        <v>11</v>
      </c>
      <c r="AY22" s="58" t="n">
        <v>3996.56007692308</v>
      </c>
      <c r="AZ22" s="58" t="n">
        <v>4769</v>
      </c>
      <c r="BA22" s="93" t="n">
        <f aca="false">AZ22/AY22</f>
        <v>1.19327619457972</v>
      </c>
      <c r="BB22" s="81"/>
      <c r="BC22" s="85" t="n">
        <v>20</v>
      </c>
      <c r="BD22" s="85" t="s">
        <v>18</v>
      </c>
      <c r="BE22" s="58" t="n">
        <v>2913.27507692308</v>
      </c>
      <c r="BF22" s="58" t="n">
        <v>6636.5</v>
      </c>
      <c r="BG22" s="93" t="n">
        <f aca="false">BF22/BE22</f>
        <v>2.27802038076311</v>
      </c>
      <c r="BH22" s="81"/>
      <c r="BI22" s="85" t="n">
        <v>20</v>
      </c>
      <c r="BJ22" s="85" t="s">
        <v>7</v>
      </c>
      <c r="BK22" s="58" t="n">
        <v>3839.49681818182</v>
      </c>
      <c r="BL22" s="58" t="n">
        <v>2735.51</v>
      </c>
      <c r="BM22" s="93" t="n">
        <f aca="false">BL22/BK22</f>
        <v>0.712465755159915</v>
      </c>
      <c r="BN22" s="81"/>
      <c r="BO22" s="85" t="n">
        <v>20</v>
      </c>
      <c r="BP22" s="85" t="s">
        <v>13</v>
      </c>
      <c r="BQ22" s="58" t="n">
        <v>5199.17766666667</v>
      </c>
      <c r="BR22" s="58" t="n">
        <v>6416.01</v>
      </c>
      <c r="BS22" s="93" t="n">
        <f aca="false">BR22/BQ22</f>
        <v>1.23404322978512</v>
      </c>
      <c r="BT22" s="81"/>
      <c r="BU22" s="85" t="n">
        <v>20</v>
      </c>
      <c r="BV22" s="85" t="s">
        <v>20</v>
      </c>
      <c r="BW22" s="58" t="n">
        <v>3554.17122980769</v>
      </c>
      <c r="BX22" s="58" t="n">
        <v>2547.53</v>
      </c>
      <c r="BY22" s="93" t="n">
        <f aca="false">BX22/BW22</f>
        <v>0.716771881623115</v>
      </c>
      <c r="BZ22" s="81"/>
      <c r="CA22" s="85" t="n">
        <v>20</v>
      </c>
      <c r="CB22" s="85" t="s">
        <v>7</v>
      </c>
      <c r="CC22" s="58" t="n">
        <v>3949.32755769231</v>
      </c>
      <c r="CD22" s="58" t="n">
        <v>3148.57</v>
      </c>
      <c r="CE22" s="93" t="n">
        <f aca="false">CD22/CC22</f>
        <v>0.797242050451694</v>
      </c>
      <c r="CF22" s="81"/>
      <c r="CG22" s="85" t="n">
        <v>20</v>
      </c>
      <c r="CH22" s="85" t="s">
        <v>13</v>
      </c>
      <c r="CI22" s="86" t="n">
        <v>6207.68088028846</v>
      </c>
      <c r="CJ22" s="58" t="n">
        <v>4206.56</v>
      </c>
      <c r="CK22" s="93" t="n">
        <f aca="false">CJ22/CI22</f>
        <v>0.677637926485121</v>
      </c>
      <c r="CL22" s="81"/>
      <c r="CM22" s="85" t="n">
        <v>20</v>
      </c>
      <c r="CN22" s="85" t="s">
        <v>18</v>
      </c>
      <c r="CO22" s="86" t="n">
        <v>3518.0440625</v>
      </c>
      <c r="CP22" s="60" t="n">
        <v>2431.9</v>
      </c>
      <c r="CQ22" s="93" t="n">
        <f aca="false">CP22/CO22</f>
        <v>0.691264792821224</v>
      </c>
      <c r="CR22" s="81"/>
      <c r="CS22" s="85" t="n">
        <v>20</v>
      </c>
      <c r="CT22" s="85" t="s">
        <v>9</v>
      </c>
      <c r="CU22" s="86" t="n">
        <v>3452.2635</v>
      </c>
      <c r="CV22" s="58" t="n">
        <v>2538.53</v>
      </c>
      <c r="CW22" s="93" t="n">
        <f aca="false">CV22/CU22</f>
        <v>0.735323361035448</v>
      </c>
      <c r="CX22" s="81"/>
      <c r="CY22" s="85" t="n">
        <v>20</v>
      </c>
      <c r="CZ22" s="85" t="s">
        <v>13</v>
      </c>
      <c r="DA22" s="86" t="n">
        <v>5263.61373958333</v>
      </c>
      <c r="DB22" s="58" t="n">
        <v>2792.03</v>
      </c>
      <c r="DC22" s="93" t="n">
        <f aca="false">DB22/DA22</f>
        <v>0.53043975833626</v>
      </c>
      <c r="DD22" s="81"/>
      <c r="DE22" s="85" t="n">
        <v>20</v>
      </c>
      <c r="DF22" s="85" t="s">
        <v>20</v>
      </c>
      <c r="DG22" s="86" t="n">
        <v>3652.4061875</v>
      </c>
      <c r="DH22" s="58" t="n">
        <v>2925.06</v>
      </c>
      <c r="DI22" s="93" t="n">
        <f aca="false">DH22/DG22</f>
        <v>0.800858351957329</v>
      </c>
      <c r="DJ22" s="81"/>
      <c r="DK22" s="85" t="n">
        <v>20</v>
      </c>
      <c r="DL22" s="85" t="s">
        <v>11</v>
      </c>
      <c r="DM22" s="86" t="n">
        <v>3230.885088</v>
      </c>
      <c r="DN22" s="58" t="n">
        <v>2626.01</v>
      </c>
      <c r="DO22" s="93" t="n">
        <f aca="false">DN22/DM22</f>
        <v>0.812783472167859</v>
      </c>
      <c r="DP22" s="81"/>
      <c r="DQ22" s="85" t="n">
        <v>20</v>
      </c>
      <c r="DR22" s="85" t="s">
        <v>17</v>
      </c>
      <c r="DS22" s="86" t="n">
        <v>3162.9469375</v>
      </c>
      <c r="DT22" s="58" t="n">
        <v>3688.5</v>
      </c>
      <c r="DU22" s="93" t="n">
        <f aca="false">DT22/DS22</f>
        <v>1.16615930424536</v>
      </c>
      <c r="DV22" s="81"/>
      <c r="DW22" s="85" t="n">
        <v>20</v>
      </c>
      <c r="DX22" s="85" t="s">
        <v>7</v>
      </c>
      <c r="DY22" s="86" t="n">
        <v>3406.579505</v>
      </c>
      <c r="DZ22" s="58" t="n">
        <v>7137.28</v>
      </c>
      <c r="EA22" s="93" t="n">
        <f aca="false">DZ22/DY22</f>
        <v>2.09514558210788</v>
      </c>
      <c r="EB22" s="81"/>
      <c r="EC22" s="85" t="n">
        <v>20</v>
      </c>
      <c r="ED22" s="85" t="s">
        <v>11</v>
      </c>
      <c r="EE22" s="86" t="n">
        <v>3996.95769230769</v>
      </c>
      <c r="EF22" s="58" t="n">
        <v>2366</v>
      </c>
      <c r="EG22" s="93" t="n">
        <f aca="false">EF22/EE22</f>
        <v>0.591950223679741</v>
      </c>
      <c r="EH22" s="100"/>
      <c r="EI22" s="85" t="n">
        <v>20</v>
      </c>
      <c r="EJ22" s="85" t="s">
        <v>18</v>
      </c>
      <c r="EK22" s="86" t="n">
        <v>3161.80644230769</v>
      </c>
      <c r="EL22" s="58" t="n">
        <v>4567.5</v>
      </c>
      <c r="EM22" s="93" t="n">
        <f aca="false">EL22/EK22</f>
        <v>1.44458558211626</v>
      </c>
      <c r="EN22" s="81"/>
      <c r="EO22" s="85" t="n">
        <v>20</v>
      </c>
      <c r="EP22" s="85" t="s">
        <v>9</v>
      </c>
      <c r="EQ22" s="86" t="n">
        <v>3504.97196296296</v>
      </c>
      <c r="ER22" s="58" t="n">
        <v>3899.51</v>
      </c>
      <c r="ES22" s="93" t="n">
        <f aca="false">ER22/EQ22</f>
        <v>1.11256524765565</v>
      </c>
      <c r="ET22" s="81"/>
      <c r="EU22" s="85" t="n">
        <v>20</v>
      </c>
      <c r="EV22" s="85" t="s">
        <v>9</v>
      </c>
      <c r="EW22" s="86" t="n">
        <v>3699.33934615385</v>
      </c>
      <c r="EX22" s="58" t="n">
        <v>2565.5</v>
      </c>
      <c r="EY22" s="93" t="n">
        <f aca="false">EX22/EW22</f>
        <v>0.693502206729781</v>
      </c>
      <c r="FA22" s="85" t="n">
        <v>20</v>
      </c>
      <c r="FB22" s="85" t="s">
        <v>17</v>
      </c>
      <c r="FC22" s="86" t="n">
        <v>5046.12053846154</v>
      </c>
      <c r="FD22" s="58" t="n">
        <v>1359</v>
      </c>
      <c r="FE22" s="93" t="n">
        <f aca="false">FD22/FC22</f>
        <v>0.269315802038754</v>
      </c>
      <c r="FG22" s="85" t="n">
        <v>20</v>
      </c>
      <c r="FH22" s="85" t="s">
        <v>20</v>
      </c>
      <c r="FI22" s="86" t="n">
        <v>3878.677</v>
      </c>
      <c r="FJ22" s="58" t="n">
        <v>2438</v>
      </c>
      <c r="FK22" s="93" t="n">
        <f aca="false">FJ22/FI22</f>
        <v>0.62856484311532</v>
      </c>
      <c r="FL22" s="100"/>
      <c r="FM22" s="85" t="n">
        <v>20</v>
      </c>
      <c r="FN22" s="85" t="s">
        <v>11</v>
      </c>
      <c r="FO22" s="86" t="n">
        <v>3504.46842307692</v>
      </c>
      <c r="FP22" s="58" t="n">
        <v>1809.59</v>
      </c>
      <c r="FQ22" s="93" t="n">
        <f aca="false">FP22/FO22</f>
        <v>0.516366473181454</v>
      </c>
      <c r="FS22" s="85" t="n">
        <v>20</v>
      </c>
      <c r="FT22" s="85" t="s">
        <v>17</v>
      </c>
      <c r="FU22" s="86" t="n">
        <v>4348.39307692308</v>
      </c>
      <c r="FV22" s="58" t="n">
        <v>2258.2</v>
      </c>
      <c r="FW22" s="93" t="n">
        <f aca="false">FV22/FU22</f>
        <v>0.519318276901936</v>
      </c>
      <c r="FY22" s="85" t="n">
        <v>20</v>
      </c>
      <c r="FZ22" s="85" t="s">
        <v>7</v>
      </c>
      <c r="GA22" s="86" t="n">
        <v>3303.29538461538</v>
      </c>
      <c r="GB22" s="58" t="n">
        <v>1960</v>
      </c>
      <c r="GC22" s="93" t="n">
        <f aca="false">GB22/GA22</f>
        <v>0.593346876918248</v>
      </c>
      <c r="GE22" s="7" t="n">
        <v>20</v>
      </c>
      <c r="GF22" s="7" t="s">
        <v>13</v>
      </c>
      <c r="GG22" s="3" t="n">
        <v>4334.40196296296</v>
      </c>
      <c r="GH22" s="10" t="n">
        <v>2976.67</v>
      </c>
      <c r="GI22" s="93" t="n">
        <f aca="false">GH22/GG22</f>
        <v>0.686754487801398</v>
      </c>
      <c r="GK22" s="7" t="n">
        <v>20</v>
      </c>
      <c r="GL22" s="7" t="s">
        <v>18</v>
      </c>
      <c r="GM22" s="21" t="n">
        <v>2544.11846153846</v>
      </c>
      <c r="GN22" s="10" t="n">
        <v>2376.5</v>
      </c>
      <c r="GO22" s="93" t="n">
        <f aca="false">GN22/GM22</f>
        <v>0.934115307886607</v>
      </c>
      <c r="GQ22" s="7" t="n">
        <v>20</v>
      </c>
      <c r="GR22" s="7" t="s">
        <v>9</v>
      </c>
      <c r="GS22" s="21" t="n">
        <v>3624.13779903846</v>
      </c>
      <c r="GT22" s="10" t="n">
        <v>3377.51</v>
      </c>
      <c r="GU22" s="93" t="n">
        <f aca="false">GT22/GS22</f>
        <v>0.931948559156913</v>
      </c>
      <c r="GW22" s="7" t="n">
        <v>20</v>
      </c>
      <c r="GX22" s="7" t="s">
        <v>13</v>
      </c>
      <c r="GY22" s="21" t="n">
        <v>3969.18954166667</v>
      </c>
      <c r="GZ22" s="10" t="n">
        <v>3522</v>
      </c>
      <c r="HA22" s="93" t="n">
        <f aca="false">GZ22/GY22</f>
        <v>0.887334797955027</v>
      </c>
      <c r="HC22" s="7" t="n">
        <v>20</v>
      </c>
      <c r="HD22" s="7" t="s">
        <v>20</v>
      </c>
      <c r="HE22" s="3" t="n">
        <v>2287.03039583333</v>
      </c>
      <c r="HF22" s="8" t="n">
        <v>7027.02</v>
      </c>
      <c r="HG22" s="93" t="n">
        <f aca="false">HF22/HE22</f>
        <v>3.07255208011328</v>
      </c>
      <c r="HI22" s="7" t="n">
        <v>20</v>
      </c>
      <c r="HJ22" s="7" t="s">
        <v>11</v>
      </c>
      <c r="HK22" s="3" t="n">
        <v>3092.86366666667</v>
      </c>
      <c r="HL22" s="8" t="n">
        <v>2585.4</v>
      </c>
      <c r="HM22" s="93" t="n">
        <f aca="false">HL22/HK22</f>
        <v>0.835924333770074</v>
      </c>
      <c r="HO22" s="7" t="n">
        <v>20</v>
      </c>
      <c r="HP22" s="7" t="s">
        <v>11</v>
      </c>
      <c r="HQ22" s="3" t="n">
        <v>3011.866</v>
      </c>
      <c r="HR22" s="8" t="n">
        <v>2674</v>
      </c>
      <c r="HS22" s="93" t="n">
        <f aca="false">HR22/HQ22</f>
        <v>0.887821702559145</v>
      </c>
      <c r="HU22" s="7" t="n">
        <v>20</v>
      </c>
      <c r="HV22" s="7" t="s">
        <v>18</v>
      </c>
      <c r="HW22" s="3" t="n">
        <v>2460.242125</v>
      </c>
      <c r="HX22" s="8" t="n">
        <v>2595</v>
      </c>
      <c r="HY22" s="93" t="n">
        <f aca="false">HX22/HW22</f>
        <v>1.05477423284101</v>
      </c>
      <c r="HZ22" s="100"/>
      <c r="IA22" s="7" t="n">
        <v>20</v>
      </c>
      <c r="IB22" s="7" t="s">
        <v>7</v>
      </c>
      <c r="IC22" s="3" t="n">
        <v>2953.77090909091</v>
      </c>
      <c r="ID22" s="8" t="n">
        <v>1648</v>
      </c>
      <c r="IE22" s="93" t="n">
        <f aca="false">ID22/IC22</f>
        <v>0.557930879110462</v>
      </c>
      <c r="IG22" s="7" t="n">
        <v>20</v>
      </c>
      <c r="IH22" s="7" t="s">
        <v>13</v>
      </c>
      <c r="II22" s="3" t="n">
        <v>4812.18420833333</v>
      </c>
      <c r="IJ22" s="8" t="n">
        <v>4087.5</v>
      </c>
      <c r="IK22" s="93" t="n">
        <f aca="false">IJ22/II22</f>
        <v>0.849406386588779</v>
      </c>
    </row>
    <row r="23" customFormat="false" ht="15.75" hidden="false" customHeight="true" outlineLevel="0" collapsed="false">
      <c r="A23" s="85" t="n">
        <v>21</v>
      </c>
      <c r="B23" s="85" t="s">
        <v>20</v>
      </c>
      <c r="C23" s="90" t="n">
        <v>2000</v>
      </c>
      <c r="D23" s="58" t="n">
        <v>4456.5</v>
      </c>
      <c r="E23" s="91" t="n">
        <f aca="false">D23/C23</f>
        <v>2.22825</v>
      </c>
      <c r="F23" s="81"/>
      <c r="G23" s="85" t="n">
        <v>21</v>
      </c>
      <c r="H23" s="85" t="s">
        <v>20</v>
      </c>
      <c r="I23" s="92" t="n">
        <v>3785.785</v>
      </c>
      <c r="J23" s="86" t="n">
        <v>2553.5</v>
      </c>
      <c r="K23" s="93" t="n">
        <f aca="false">J23/I23</f>
        <v>0.674496834870443</v>
      </c>
      <c r="L23" s="81"/>
      <c r="M23" s="85" t="n">
        <v>21</v>
      </c>
      <c r="N23" s="85" t="s">
        <v>11</v>
      </c>
      <c r="O23" s="86" t="n">
        <v>3468.6145</v>
      </c>
      <c r="P23" s="86" t="n">
        <v>4995.5</v>
      </c>
      <c r="Q23" s="93" t="n">
        <f aca="false">P23/O23</f>
        <v>1.4402004027833</v>
      </c>
      <c r="R23" s="81"/>
      <c r="S23" s="85" t="n">
        <v>21</v>
      </c>
      <c r="T23" s="85" t="s">
        <v>17</v>
      </c>
      <c r="U23" s="58" t="n">
        <v>4046.23923076923</v>
      </c>
      <c r="V23" s="58" t="n">
        <v>3120.5</v>
      </c>
      <c r="W23" s="93" t="n">
        <f aca="false">V23/U23</f>
        <v>0.771209961158614</v>
      </c>
      <c r="X23" s="81"/>
      <c r="Y23" s="101" t="n">
        <v>21</v>
      </c>
      <c r="Z23" s="85" t="s">
        <v>7</v>
      </c>
      <c r="AA23" s="95" t="n">
        <v>3016.24352941176</v>
      </c>
      <c r="AB23" s="58" t="n">
        <v>2371</v>
      </c>
      <c r="AC23" s="93" t="n">
        <f aca="false">AB23/AA23</f>
        <v>0.786077111108599</v>
      </c>
      <c r="AD23" s="81"/>
      <c r="AE23" s="101" t="n">
        <v>21</v>
      </c>
      <c r="AF23" s="85" t="s">
        <v>11</v>
      </c>
      <c r="AG23" s="95" t="n">
        <v>3548.44762608696</v>
      </c>
      <c r="AH23" s="58" t="n">
        <v>5198.5</v>
      </c>
      <c r="AI23" s="93" t="n">
        <f aca="false">AH23/AG23</f>
        <v>1.46500682771317</v>
      </c>
      <c r="AJ23" s="81"/>
      <c r="AK23" s="101" t="n">
        <v>21</v>
      </c>
      <c r="AL23" s="85" t="s">
        <v>18</v>
      </c>
      <c r="AM23" s="58" t="n">
        <v>2705.10176086957</v>
      </c>
      <c r="AN23" s="58" t="n">
        <v>2345.5</v>
      </c>
      <c r="AO23" s="93" t="n">
        <f aca="false">AN23/AM23</f>
        <v>0.867065348124289</v>
      </c>
      <c r="AP23" s="81"/>
      <c r="AQ23" s="85" t="n">
        <v>21</v>
      </c>
      <c r="AR23" s="85" t="s">
        <v>9</v>
      </c>
      <c r="AS23" s="58" t="n">
        <v>3620.97675</v>
      </c>
      <c r="AT23" s="58" t="n">
        <v>2459.01</v>
      </c>
      <c r="AU23" s="93" t="n">
        <f aca="false">AT23/AS23</f>
        <v>0.679101294975175</v>
      </c>
      <c r="AV23" s="81"/>
      <c r="AW23" s="85" t="n">
        <v>21</v>
      </c>
      <c r="AX23" s="85" t="s">
        <v>13</v>
      </c>
      <c r="AY23" s="58" t="n">
        <v>5060.51798571429</v>
      </c>
      <c r="AZ23" s="58" t="n">
        <v>5458</v>
      </c>
      <c r="BA23" s="93" t="n">
        <f aca="false">AZ23/AY23</f>
        <v>1.07854571713959</v>
      </c>
      <c r="BB23" s="81"/>
      <c r="BC23" s="85" t="n">
        <v>21</v>
      </c>
      <c r="BD23" s="85" t="s">
        <v>20</v>
      </c>
      <c r="BE23" s="58" t="n">
        <v>3379.77075</v>
      </c>
      <c r="BF23" s="58" t="n">
        <v>2481</v>
      </c>
      <c r="BG23" s="93" t="n">
        <f aca="false">BF23/BE23</f>
        <v>0.73407345749708</v>
      </c>
      <c r="BH23" s="81"/>
      <c r="BI23" s="85" t="n">
        <v>21</v>
      </c>
      <c r="BJ23" s="85" t="s">
        <v>9</v>
      </c>
      <c r="BK23" s="58" t="n">
        <v>3758.82436363636</v>
      </c>
      <c r="BL23" s="58" t="n">
        <v>3217.03</v>
      </c>
      <c r="BM23" s="93" t="n">
        <f aca="false">BL23/BK23</f>
        <v>0.855860686421587</v>
      </c>
      <c r="BN23" s="81"/>
      <c r="BO23" s="85" t="n">
        <v>21</v>
      </c>
      <c r="BP23" s="85" t="s">
        <v>17</v>
      </c>
      <c r="BQ23" s="58" t="n">
        <v>5304.46266</v>
      </c>
      <c r="BR23" s="58" t="n">
        <v>4838.09</v>
      </c>
      <c r="BS23" s="93" t="n">
        <f aca="false">BR23/BQ23</f>
        <v>0.912079188808919</v>
      </c>
      <c r="BT23" s="81"/>
      <c r="BU23" s="85" t="n">
        <v>21</v>
      </c>
      <c r="BV23" s="85" t="s">
        <v>7</v>
      </c>
      <c r="BW23" s="58" t="n">
        <v>3944.74966442308</v>
      </c>
      <c r="BX23" s="58" t="n">
        <v>3458.5</v>
      </c>
      <c r="BY23" s="93" t="n">
        <f aca="false">BX23/BW23</f>
        <v>0.876734975400728</v>
      </c>
      <c r="BZ23" s="81"/>
      <c r="CA23" s="85" t="n">
        <v>21</v>
      </c>
      <c r="CB23" s="85" t="s">
        <v>9</v>
      </c>
      <c r="CC23" s="58" t="n">
        <v>3966.21415384615</v>
      </c>
      <c r="CD23" s="58" t="n">
        <v>4010.03</v>
      </c>
      <c r="CE23" s="93" t="n">
        <f aca="false">CD23/CC23</f>
        <v>1.01104727189563</v>
      </c>
      <c r="CF23" s="81"/>
      <c r="CG23" s="85" t="n">
        <v>21</v>
      </c>
      <c r="CH23" s="85" t="s">
        <v>17</v>
      </c>
      <c r="CI23" s="86" t="n">
        <v>6371.97246875</v>
      </c>
      <c r="CJ23" s="58" t="n">
        <v>4285.06</v>
      </c>
      <c r="CK23" s="93" t="n">
        <f aca="false">CJ23/CI23</f>
        <v>0.672485642556552</v>
      </c>
      <c r="CL23" s="81"/>
      <c r="CM23" s="85" t="n">
        <v>21</v>
      </c>
      <c r="CN23" s="85" t="s">
        <v>20</v>
      </c>
      <c r="CO23" s="86" t="n">
        <v>4420.4125625</v>
      </c>
      <c r="CP23" s="60" t="n">
        <v>2303.08</v>
      </c>
      <c r="CQ23" s="93" t="n">
        <f aca="false">CP23/CO23</f>
        <v>0.521010192473409</v>
      </c>
      <c r="CR23" s="81"/>
      <c r="CS23" s="85" t="n">
        <v>21</v>
      </c>
      <c r="CT23" s="85" t="s">
        <v>11</v>
      </c>
      <c r="CU23" s="86" t="n">
        <v>3827.424</v>
      </c>
      <c r="CV23" s="58" t="n">
        <v>2749.59</v>
      </c>
      <c r="CW23" s="93" t="n">
        <f aca="false">CV23/CU23</f>
        <v>0.718391795630691</v>
      </c>
      <c r="CX23" s="81"/>
      <c r="CY23" s="85" t="n">
        <v>21</v>
      </c>
      <c r="CZ23" s="85" t="s">
        <v>17</v>
      </c>
      <c r="DA23" s="86" t="n">
        <v>4936.90694791667</v>
      </c>
      <c r="DB23" s="58" t="n">
        <v>2969</v>
      </c>
      <c r="DC23" s="93" t="n">
        <f aca="false">DB23/DA23</f>
        <v>0.601388689582835</v>
      </c>
      <c r="DD23" s="81"/>
      <c r="DE23" s="85" t="n">
        <v>21</v>
      </c>
      <c r="DF23" s="85" t="s">
        <v>7</v>
      </c>
      <c r="DG23" s="86" t="n">
        <v>3405.940125</v>
      </c>
      <c r="DH23" s="58" t="n">
        <v>3664</v>
      </c>
      <c r="DI23" s="93" t="n">
        <f aca="false">DH23/DG23</f>
        <v>1.07576759001305</v>
      </c>
      <c r="DJ23" s="81"/>
      <c r="DK23" s="85" t="n">
        <v>21</v>
      </c>
      <c r="DL23" s="85" t="s">
        <v>13</v>
      </c>
      <c r="DM23" s="86" t="n">
        <v>4178.504736</v>
      </c>
      <c r="DN23" s="58" t="n">
        <v>3730.5</v>
      </c>
      <c r="DO23" s="93" t="n">
        <f aca="false">DN23/DM23</f>
        <v>0.892783480142979</v>
      </c>
      <c r="DP23" s="81"/>
      <c r="DQ23" s="85" t="n">
        <v>21</v>
      </c>
      <c r="DR23" s="85" t="s">
        <v>18</v>
      </c>
      <c r="DS23" s="86" t="n">
        <v>2653.7599375</v>
      </c>
      <c r="DT23" s="58" t="n">
        <v>5089.51</v>
      </c>
      <c r="DU23" s="93" t="n">
        <f aca="false">DT23/DS23</f>
        <v>1.91784868257323</v>
      </c>
      <c r="DV23" s="81"/>
      <c r="DW23" s="85" t="n">
        <v>21</v>
      </c>
      <c r="DX23" s="85" t="s">
        <v>9</v>
      </c>
      <c r="DY23" s="86" t="n">
        <v>3326.5761375</v>
      </c>
      <c r="DZ23" s="58" t="n">
        <v>3774.76</v>
      </c>
      <c r="EA23" s="93" t="n">
        <f aca="false">DZ23/DY23</f>
        <v>1.13472827435022</v>
      </c>
      <c r="EB23" s="81"/>
      <c r="EC23" s="85" t="n">
        <v>21</v>
      </c>
      <c r="ED23" s="85" t="s">
        <v>13</v>
      </c>
      <c r="EE23" s="86" t="n">
        <v>4853.73777777778</v>
      </c>
      <c r="EF23" s="58" t="n">
        <v>2478.75</v>
      </c>
      <c r="EG23" s="93" t="n">
        <f aca="false">EF23/EE23</f>
        <v>0.510688898635736</v>
      </c>
      <c r="EH23" s="100"/>
      <c r="EI23" s="85" t="n">
        <v>21</v>
      </c>
      <c r="EJ23" s="85" t="s">
        <v>20</v>
      </c>
      <c r="EK23" s="86" t="n">
        <v>3526.95252</v>
      </c>
      <c r="EL23" s="58" t="n">
        <v>3183.75</v>
      </c>
      <c r="EM23" s="93" t="n">
        <f aca="false">EL23/EK23</f>
        <v>0.902691482787526</v>
      </c>
      <c r="EN23" s="81"/>
      <c r="EO23" s="85" t="n">
        <v>21</v>
      </c>
      <c r="EP23" s="85" t="s">
        <v>11</v>
      </c>
      <c r="EQ23" s="86" t="n">
        <v>3756.49266666667</v>
      </c>
      <c r="ER23" s="58" t="n">
        <v>4059.45</v>
      </c>
      <c r="ES23" s="93" t="n">
        <f aca="false">ER23/EQ23</f>
        <v>1.08064898835598</v>
      </c>
      <c r="ET23" s="81"/>
      <c r="EU23" s="85" t="n">
        <v>21</v>
      </c>
      <c r="EV23" s="85" t="s">
        <v>11</v>
      </c>
      <c r="EW23" s="86" t="n">
        <v>4094.86380769231</v>
      </c>
      <c r="EX23" s="58" t="n">
        <v>3666.75</v>
      </c>
      <c r="EY23" s="93" t="n">
        <f aca="false">EX23/EW23</f>
        <v>0.895451026505915</v>
      </c>
      <c r="FA23" s="85" t="n">
        <v>21</v>
      </c>
      <c r="FB23" s="85" t="s">
        <v>18</v>
      </c>
      <c r="FC23" s="86" t="n">
        <v>3488.60176923077</v>
      </c>
      <c r="FD23" s="58" t="n">
        <v>2463.06</v>
      </c>
      <c r="FE23" s="93" t="n">
        <f aca="false">FD23/FC23</f>
        <v>0.706030714575685</v>
      </c>
      <c r="FG23" s="85" t="n">
        <v>21</v>
      </c>
      <c r="FH23" s="85" t="s">
        <v>7</v>
      </c>
      <c r="FI23" s="86" t="n">
        <v>3929.07108</v>
      </c>
      <c r="FJ23" s="58" t="n">
        <v>2086.76</v>
      </c>
      <c r="FK23" s="93" t="n">
        <f aca="false">FJ23/FI23</f>
        <v>0.531107724322463</v>
      </c>
      <c r="FL23" s="100"/>
      <c r="FM23" s="85" t="n">
        <v>21</v>
      </c>
      <c r="FN23" s="85" t="s">
        <v>13</v>
      </c>
      <c r="FO23" s="86" t="n">
        <v>4887.0415</v>
      </c>
      <c r="FP23" s="58" t="n">
        <v>2224</v>
      </c>
      <c r="FQ23" s="93" t="n">
        <f aca="false">FP23/FO23</f>
        <v>0.455081054662622</v>
      </c>
      <c r="FS23" s="85" t="n">
        <v>21</v>
      </c>
      <c r="FT23" s="85" t="s">
        <v>18</v>
      </c>
      <c r="FU23" s="86" t="n">
        <v>2816.69469230769</v>
      </c>
      <c r="FV23" s="58" t="n">
        <v>1729</v>
      </c>
      <c r="FW23" s="93" t="n">
        <f aca="false">FV23/FU23</f>
        <v>0.613840046179605</v>
      </c>
      <c r="FY23" s="85" t="n">
        <v>21</v>
      </c>
      <c r="FZ23" s="85" t="s">
        <v>9</v>
      </c>
      <c r="GA23" s="86" t="n">
        <v>3318.94157692308</v>
      </c>
      <c r="GB23" s="58" t="n">
        <v>4493</v>
      </c>
      <c r="GC23" s="93" t="n">
        <f aca="false">GB23/GA23</f>
        <v>1.35374482974942</v>
      </c>
      <c r="GE23" s="7" t="n">
        <v>21</v>
      </c>
      <c r="GF23" s="7" t="s">
        <v>17</v>
      </c>
      <c r="GG23" s="3" t="n">
        <v>3846.46377777778</v>
      </c>
      <c r="GH23" s="10" t="n">
        <v>2882.9</v>
      </c>
      <c r="GI23" s="93" t="n">
        <f aca="false">GH23/GG23</f>
        <v>0.749493604139837</v>
      </c>
      <c r="GK23" s="7" t="n">
        <v>21</v>
      </c>
      <c r="GL23" s="7" t="s">
        <v>20</v>
      </c>
      <c r="GM23" s="3" t="n">
        <v>2506.32326923077</v>
      </c>
      <c r="GN23" s="10" t="n">
        <v>2089.5</v>
      </c>
      <c r="GO23" s="93" t="n">
        <f aca="false">GN23/GM23</f>
        <v>0.83369133808557</v>
      </c>
      <c r="GQ23" s="7" t="n">
        <v>21</v>
      </c>
      <c r="GR23" s="7" t="s">
        <v>11</v>
      </c>
      <c r="GS23" s="3" t="n">
        <v>3463.70379807693</v>
      </c>
      <c r="GT23" s="10" t="n">
        <v>2239</v>
      </c>
      <c r="GU23" s="93" t="n">
        <f aca="false">GT23/GS23</f>
        <v>0.64641786091614</v>
      </c>
      <c r="GW23" s="7" t="n">
        <v>21</v>
      </c>
      <c r="GX23" s="7" t="s">
        <v>17</v>
      </c>
      <c r="GY23" s="3" t="n">
        <v>4064.60462</v>
      </c>
      <c r="GZ23" s="10" t="n">
        <v>2802.5</v>
      </c>
      <c r="HA23" s="93" t="n">
        <f aca="false">GZ23/GY23</f>
        <v>0.689488956984948</v>
      </c>
      <c r="HC23" s="7" t="n">
        <v>21</v>
      </c>
      <c r="HD23" s="7" t="s">
        <v>7</v>
      </c>
      <c r="HE23" s="32" t="n">
        <v>2757.4024375</v>
      </c>
      <c r="HF23" s="8" t="n">
        <v>1784</v>
      </c>
      <c r="HG23" s="93" t="n">
        <f aca="false">HF23/HE23</f>
        <v>0.646985719508344</v>
      </c>
      <c r="HI23" s="7" t="n">
        <v>21</v>
      </c>
      <c r="HJ23" s="7" t="s">
        <v>13</v>
      </c>
      <c r="HK23" s="32" t="n">
        <v>4778.57114814815</v>
      </c>
      <c r="HL23" s="8" t="n">
        <v>4992.01</v>
      </c>
      <c r="HM23" s="93" t="n">
        <f aca="false">HL23/HK23</f>
        <v>1.04466583111032</v>
      </c>
      <c r="HO23" s="7" t="n">
        <v>21</v>
      </c>
      <c r="HP23" s="7" t="s">
        <v>13</v>
      </c>
      <c r="HQ23" s="32" t="n">
        <v>4793.87107692308</v>
      </c>
      <c r="HR23" s="8" t="n">
        <v>3262.5</v>
      </c>
      <c r="HS23" s="93" t="n">
        <f aca="false">HR23/HQ23</f>
        <v>0.680556474642205</v>
      </c>
      <c r="HU23" s="7" t="n">
        <v>21</v>
      </c>
      <c r="HV23" s="7" t="s">
        <v>20</v>
      </c>
      <c r="HW23" s="32" t="n">
        <v>2676.452625</v>
      </c>
      <c r="HX23" s="8" t="n">
        <v>3196.5</v>
      </c>
      <c r="HY23" s="93" t="n">
        <f aca="false">HX23/HW23</f>
        <v>1.19430471891876</v>
      </c>
      <c r="HZ23" s="100"/>
      <c r="IA23" s="7" t="n">
        <v>21</v>
      </c>
      <c r="IB23" s="7" t="s">
        <v>9</v>
      </c>
      <c r="IC23" s="32" t="n">
        <v>2785.5702</v>
      </c>
      <c r="ID23" s="8" t="n">
        <v>1950.5</v>
      </c>
      <c r="IE23" s="93" t="n">
        <f aca="false">ID23/IC23</f>
        <v>0.700215704490233</v>
      </c>
      <c r="IG23" s="7" t="n">
        <v>21</v>
      </c>
      <c r="IH23" s="7" t="s">
        <v>17</v>
      </c>
      <c r="II23" s="32" t="n">
        <v>4517.60925</v>
      </c>
      <c r="IJ23" s="8" t="n">
        <v>5419.5</v>
      </c>
      <c r="IK23" s="93" t="n">
        <f aca="false">IJ23/II23</f>
        <v>1.19963894619704</v>
      </c>
    </row>
    <row r="24" customFormat="false" ht="15.75" hidden="false" customHeight="true" outlineLevel="0" collapsed="false">
      <c r="A24" s="85" t="n">
        <v>22</v>
      </c>
      <c r="B24" s="85" t="s">
        <v>7</v>
      </c>
      <c r="C24" s="90" t="n">
        <v>2300</v>
      </c>
      <c r="D24" s="58" t="n">
        <v>4146.5</v>
      </c>
      <c r="E24" s="91" t="n">
        <f aca="false">D24/C24</f>
        <v>1.80282608695652</v>
      </c>
      <c r="F24" s="81"/>
      <c r="G24" s="85" t="n">
        <v>22</v>
      </c>
      <c r="H24" s="85" t="s">
        <v>7</v>
      </c>
      <c r="I24" s="92" t="n">
        <v>3528.2075</v>
      </c>
      <c r="J24" s="86" t="n">
        <v>3062</v>
      </c>
      <c r="K24" s="93" t="n">
        <f aca="false">J24/I24</f>
        <v>0.867862788682355</v>
      </c>
      <c r="L24" s="81"/>
      <c r="M24" s="85" t="n">
        <v>22</v>
      </c>
      <c r="N24" s="85" t="s">
        <v>13</v>
      </c>
      <c r="O24" s="86" t="n">
        <v>4968.2295</v>
      </c>
      <c r="P24" s="86" t="n">
        <v>4507</v>
      </c>
      <c r="Q24" s="93" t="n">
        <f aca="false">P24/O24</f>
        <v>0.907164212120233</v>
      </c>
      <c r="R24" s="81"/>
      <c r="S24" s="85" t="n">
        <v>22</v>
      </c>
      <c r="T24" s="85" t="s">
        <v>18</v>
      </c>
      <c r="U24" s="58" t="n">
        <v>2494.38333333333</v>
      </c>
      <c r="V24" s="58" t="n">
        <v>1309.5</v>
      </c>
      <c r="W24" s="93" t="n">
        <f aca="false">V24/U24</f>
        <v>0.524979453839627</v>
      </c>
      <c r="X24" s="81"/>
      <c r="Y24" s="101" t="n">
        <v>22</v>
      </c>
      <c r="Z24" s="85" t="s">
        <v>9</v>
      </c>
      <c r="AA24" s="95" t="n">
        <v>2559.51111111111</v>
      </c>
      <c r="AB24" s="58" t="n">
        <v>3537.5</v>
      </c>
      <c r="AC24" s="93" t="n">
        <f aca="false">AB24/AA24</f>
        <v>1.38209988018545</v>
      </c>
      <c r="AD24" s="81"/>
      <c r="AE24" s="101" t="n">
        <v>22</v>
      </c>
      <c r="AF24" s="85" t="s">
        <v>13</v>
      </c>
      <c r="AG24" s="95" t="n">
        <v>4238.41114090909</v>
      </c>
      <c r="AH24" s="58" t="n">
        <v>5675.02</v>
      </c>
      <c r="AI24" s="93" t="n">
        <f aca="false">AH24/AG24</f>
        <v>1.33894985911696</v>
      </c>
      <c r="AJ24" s="81"/>
      <c r="AK24" s="101" t="n">
        <v>22</v>
      </c>
      <c r="AL24" s="85" t="s">
        <v>20</v>
      </c>
      <c r="AM24" s="58" t="n">
        <v>3417.11331818182</v>
      </c>
      <c r="AN24" s="58" t="n">
        <v>3308.01</v>
      </c>
      <c r="AO24" s="93" t="n">
        <f aca="false">AN24/AM24</f>
        <v>0.968071495434084</v>
      </c>
      <c r="AP24" s="81"/>
      <c r="AQ24" s="85" t="n">
        <v>22</v>
      </c>
      <c r="AR24" s="85" t="s">
        <v>11</v>
      </c>
      <c r="AS24" s="58" t="n">
        <v>3514.63915384615</v>
      </c>
      <c r="AT24" s="58" t="n">
        <v>4058.5</v>
      </c>
      <c r="AU24" s="93" t="n">
        <f aca="false">AT24/AS24</f>
        <v>1.15474158863754</v>
      </c>
      <c r="AV24" s="81"/>
      <c r="AW24" s="85" t="n">
        <v>22</v>
      </c>
      <c r="AX24" s="85" t="s">
        <v>17</v>
      </c>
      <c r="AY24" s="58" t="n">
        <v>4746.31186153846</v>
      </c>
      <c r="AZ24" s="58" t="n">
        <v>5944</v>
      </c>
      <c r="BA24" s="93" t="n">
        <f aca="false">AZ24/AY24</f>
        <v>1.25234080132133</v>
      </c>
      <c r="BB24" s="81"/>
      <c r="BC24" s="85" t="n">
        <v>22</v>
      </c>
      <c r="BD24" s="85" t="s">
        <v>7</v>
      </c>
      <c r="BE24" s="58" t="n">
        <v>3500.343</v>
      </c>
      <c r="BF24" s="58" t="n">
        <v>3232</v>
      </c>
      <c r="BG24" s="93" t="n">
        <f aca="false">BF24/BE24</f>
        <v>0.92333808429631</v>
      </c>
      <c r="BH24" s="81"/>
      <c r="BI24" s="85" t="n">
        <v>22</v>
      </c>
      <c r="BJ24" s="85" t="s">
        <v>11</v>
      </c>
      <c r="BK24" s="58" t="n">
        <v>4128.831</v>
      </c>
      <c r="BL24" s="58" t="n">
        <v>3927</v>
      </c>
      <c r="BM24" s="93" t="n">
        <f aca="false">BL24/BK24</f>
        <v>0.951116672007161</v>
      </c>
      <c r="BN24" s="81"/>
      <c r="BO24" s="85" t="n">
        <v>22</v>
      </c>
      <c r="BP24" s="85" t="s">
        <v>18</v>
      </c>
      <c r="BQ24" s="58" t="n">
        <v>3068.69284615385</v>
      </c>
      <c r="BR24" s="58" t="n">
        <v>3812.01</v>
      </c>
      <c r="BS24" s="93" t="n">
        <f aca="false">BR24/BQ24</f>
        <v>1.24222598712601</v>
      </c>
      <c r="BT24" s="81"/>
      <c r="BU24" s="85" t="n">
        <v>22</v>
      </c>
      <c r="BV24" s="85" t="s">
        <v>9</v>
      </c>
      <c r="BW24" s="58" t="n">
        <v>3978.47259519231</v>
      </c>
      <c r="BX24" s="58" t="n">
        <v>5258.01</v>
      </c>
      <c r="BY24" s="93" t="n">
        <f aca="false">BX24/BW24</f>
        <v>1.3216152365493</v>
      </c>
      <c r="BZ24" s="81"/>
      <c r="CA24" s="85" t="n">
        <v>22</v>
      </c>
      <c r="CB24" s="85" t="s">
        <v>11</v>
      </c>
      <c r="CC24" s="58" t="n">
        <v>4398.80697115385</v>
      </c>
      <c r="CD24" s="58" t="n">
        <v>2485.05</v>
      </c>
      <c r="CE24" s="93" t="n">
        <f aca="false">CD24/CC24</f>
        <v>0.564937269649763</v>
      </c>
      <c r="CF24" s="81"/>
      <c r="CG24" s="85" t="n">
        <v>22</v>
      </c>
      <c r="CH24" s="85" t="s">
        <v>18</v>
      </c>
      <c r="CI24" s="86" t="n">
        <v>3421.84686778846</v>
      </c>
      <c r="CJ24" s="58" t="n">
        <v>4340.04</v>
      </c>
      <c r="CK24" s="93" t="n">
        <f aca="false">CJ24/CI24</f>
        <v>1.26833261910547</v>
      </c>
      <c r="CL24" s="81"/>
      <c r="CM24" s="85" t="n">
        <v>22</v>
      </c>
      <c r="CN24" s="85" t="s">
        <v>7</v>
      </c>
      <c r="CO24" s="86" t="n">
        <v>4042.78086666667</v>
      </c>
      <c r="CP24" s="60" t="n">
        <v>2339.07</v>
      </c>
      <c r="CQ24" s="93" t="n">
        <f aca="false">CP24/CO24</f>
        <v>0.578579467238994</v>
      </c>
      <c r="CR24" s="81"/>
      <c r="CS24" s="85" t="n">
        <v>22</v>
      </c>
      <c r="CT24" s="85" t="s">
        <v>13</v>
      </c>
      <c r="CU24" s="86" t="n">
        <v>5622.48052631579</v>
      </c>
      <c r="CV24" s="58" t="n">
        <v>4177.03</v>
      </c>
      <c r="CW24" s="93" t="n">
        <f aca="false">CV24/CU24</f>
        <v>0.742915867907338</v>
      </c>
      <c r="CX24" s="81"/>
      <c r="CY24" s="85" t="n">
        <v>22</v>
      </c>
      <c r="CZ24" s="85" t="s">
        <v>18</v>
      </c>
      <c r="DA24" s="86" t="n">
        <v>2939.27120833333</v>
      </c>
      <c r="DB24" s="58" t="n">
        <v>2250.08</v>
      </c>
      <c r="DC24" s="93" t="n">
        <f aca="false">DB24/DA24</f>
        <v>0.765523097569439</v>
      </c>
      <c r="DD24" s="81"/>
      <c r="DE24" s="85" t="n">
        <v>22</v>
      </c>
      <c r="DF24" s="85" t="s">
        <v>9</v>
      </c>
      <c r="DG24" s="86" t="n">
        <v>3410.6576875</v>
      </c>
      <c r="DH24" s="58" t="n">
        <v>2935.13</v>
      </c>
      <c r="DI24" s="93" t="n">
        <f aca="false">DH24/DG24</f>
        <v>0.860575955997343</v>
      </c>
      <c r="DJ24" s="81"/>
      <c r="DK24" s="85" t="n">
        <v>22</v>
      </c>
      <c r="DL24" s="85" t="s">
        <v>17</v>
      </c>
      <c r="DM24" s="86" t="n">
        <v>3817.06353333333</v>
      </c>
      <c r="DN24" s="58" t="n">
        <v>3346</v>
      </c>
      <c r="DO24" s="93" t="n">
        <f aca="false">DN24/DM24</f>
        <v>0.876590072651486</v>
      </c>
      <c r="DP24" s="81"/>
      <c r="DQ24" s="85" t="n">
        <v>22</v>
      </c>
      <c r="DR24" s="85" t="s">
        <v>20</v>
      </c>
      <c r="DS24" s="86" t="n">
        <v>3195.7760625</v>
      </c>
      <c r="DT24" s="58" t="n">
        <v>3999.38</v>
      </c>
      <c r="DU24" s="93" t="n">
        <f aca="false">DT24/DS24</f>
        <v>1.25145815031588</v>
      </c>
      <c r="DV24" s="81"/>
      <c r="DW24" s="85" t="n">
        <v>22</v>
      </c>
      <c r="DX24" s="85" t="s">
        <v>11</v>
      </c>
      <c r="DY24" s="99" t="n">
        <v>3392.4293424</v>
      </c>
      <c r="DZ24" s="58" t="n">
        <v>3855.02</v>
      </c>
      <c r="EA24" s="93" t="n">
        <f aca="false">DZ24/DY24</f>
        <v>1.13635970300644</v>
      </c>
      <c r="EB24" s="81"/>
      <c r="EC24" s="85" t="n">
        <v>22</v>
      </c>
      <c r="ED24" s="85" t="s">
        <v>17</v>
      </c>
      <c r="EE24" s="99" t="n">
        <v>4361.21492307692</v>
      </c>
      <c r="EF24" s="58" t="n">
        <v>2270.5</v>
      </c>
      <c r="EG24" s="93" t="n">
        <f aca="false">EF24/EE24</f>
        <v>0.520611811168921</v>
      </c>
      <c r="EH24" s="100"/>
      <c r="EI24" s="85" t="n">
        <v>22</v>
      </c>
      <c r="EJ24" s="85" t="s">
        <v>7</v>
      </c>
      <c r="EK24" s="99" t="n">
        <v>3307.11473076923</v>
      </c>
      <c r="EL24" s="58" t="n">
        <v>3561</v>
      </c>
      <c r="EM24" s="93" t="n">
        <f aca="false">EL24/EK24</f>
        <v>1.07676941681782</v>
      </c>
      <c r="EN24" s="81"/>
      <c r="EO24" s="85" t="n">
        <v>22</v>
      </c>
      <c r="EP24" s="85" t="s">
        <v>13</v>
      </c>
      <c r="EQ24" s="99" t="n">
        <v>4710.96407692308</v>
      </c>
      <c r="ER24" s="58" t="n">
        <v>5634.5</v>
      </c>
      <c r="ES24" s="93" t="n">
        <f aca="false">ER24/EQ24</f>
        <v>1.19603968699335</v>
      </c>
      <c r="ET24" s="81"/>
      <c r="EU24" s="85" t="n">
        <v>22</v>
      </c>
      <c r="EV24" s="85" t="s">
        <v>13</v>
      </c>
      <c r="EW24" s="99" t="n">
        <v>5238.86836</v>
      </c>
      <c r="EX24" s="58" t="n">
        <v>5398.77</v>
      </c>
      <c r="EY24" s="93" t="n">
        <f aca="false">EX24/EW24</f>
        <v>1.03052217177681</v>
      </c>
      <c r="FA24" s="85" t="n">
        <v>22</v>
      </c>
      <c r="FB24" s="85" t="s">
        <v>20</v>
      </c>
      <c r="FC24" s="99" t="n">
        <v>3878.677</v>
      </c>
      <c r="FD24" s="58" t="n">
        <v>2204.5</v>
      </c>
      <c r="FE24" s="93" t="n">
        <f aca="false">FD24/FC24</f>
        <v>0.568363903465022</v>
      </c>
      <c r="FG24" s="85" t="n">
        <v>22</v>
      </c>
      <c r="FH24" s="85" t="s">
        <v>9</v>
      </c>
      <c r="FI24" s="99" t="n">
        <v>3926.07684615385</v>
      </c>
      <c r="FJ24" s="58" t="n">
        <v>2587.26</v>
      </c>
      <c r="FK24" s="93" t="n">
        <f aca="false">FJ24/FI24</f>
        <v>0.658993723603395</v>
      </c>
      <c r="FL24" s="100"/>
      <c r="FM24" s="85" t="n">
        <v>22</v>
      </c>
      <c r="FN24" s="85" t="s">
        <v>17</v>
      </c>
      <c r="FO24" s="99" t="n">
        <v>4213.64815384615</v>
      </c>
      <c r="FP24" s="58" t="n">
        <v>2497.59</v>
      </c>
      <c r="FQ24" s="93" t="n">
        <f aca="false">FP24/FO24</f>
        <v>0.592738147279867</v>
      </c>
      <c r="FS24" s="85" t="n">
        <v>22</v>
      </c>
      <c r="FT24" s="85" t="s">
        <v>20</v>
      </c>
      <c r="FU24" s="99" t="n">
        <v>2925.96392</v>
      </c>
      <c r="FV24" s="58" t="n">
        <v>2054.54</v>
      </c>
      <c r="FW24" s="93" t="n">
        <f aca="false">FV24/FU24</f>
        <v>0.702175438991743</v>
      </c>
      <c r="FY24" s="85" t="n">
        <v>22</v>
      </c>
      <c r="FZ24" s="85" t="s">
        <v>11</v>
      </c>
      <c r="GA24" s="99" t="n">
        <v>3374.18556</v>
      </c>
      <c r="GB24" s="58" t="n">
        <v>2014</v>
      </c>
      <c r="GC24" s="93" t="n">
        <f aca="false">GB24/GA24</f>
        <v>0.596884778322624</v>
      </c>
      <c r="GE24" s="7" t="n">
        <v>22</v>
      </c>
      <c r="GF24" s="7" t="s">
        <v>18</v>
      </c>
      <c r="GG24" s="21" t="n">
        <v>2544.11846153846</v>
      </c>
      <c r="GH24" s="10" t="n">
        <v>943.5</v>
      </c>
      <c r="GI24" s="93" t="n">
        <f aca="false">GH24/GG24</f>
        <v>0.370855372602993</v>
      </c>
      <c r="GK24" s="7" t="n">
        <v>22</v>
      </c>
      <c r="GL24" s="7" t="s">
        <v>7</v>
      </c>
      <c r="GM24" s="3" t="n">
        <v>3098.37467307692</v>
      </c>
      <c r="GN24" s="10" t="n">
        <v>2055.5</v>
      </c>
      <c r="GO24" s="93" t="n">
        <f aca="false">GN24/GM24</f>
        <v>0.663412342561764</v>
      </c>
      <c r="GQ24" s="7" t="n">
        <v>22</v>
      </c>
      <c r="GR24" s="7" t="s">
        <v>13</v>
      </c>
      <c r="GS24" s="3" t="n">
        <v>4984.5622574074</v>
      </c>
      <c r="GT24" s="10" t="n">
        <v>2282.5</v>
      </c>
      <c r="GU24" s="93" t="n">
        <f aca="false">GT24/GS24</f>
        <v>0.457913831171042</v>
      </c>
      <c r="GW24" s="7" t="n">
        <v>22</v>
      </c>
      <c r="GX24" s="7" t="s">
        <v>18</v>
      </c>
      <c r="GY24" s="3" t="n">
        <v>2356.85408333333</v>
      </c>
      <c r="GZ24" s="10" t="n">
        <v>2690.5</v>
      </c>
      <c r="HA24" s="93" t="n">
        <f aca="false">GZ24/GY24</f>
        <v>1.1415640955569</v>
      </c>
      <c r="HC24" s="7" t="n">
        <v>22</v>
      </c>
      <c r="HD24" s="7" t="s">
        <v>9</v>
      </c>
      <c r="HE24" s="3" t="n">
        <v>3129.20941666667</v>
      </c>
      <c r="HF24" s="8" t="n">
        <v>4027.53</v>
      </c>
      <c r="HG24" s="93" t="n">
        <f aca="false">HF24/HE24</f>
        <v>1.28707589161298</v>
      </c>
      <c r="HI24" s="7" t="n">
        <v>22</v>
      </c>
      <c r="HJ24" s="7" t="s">
        <v>17</v>
      </c>
      <c r="HK24" s="3" t="n">
        <v>4579.57201923077</v>
      </c>
      <c r="HL24" s="8" t="n">
        <v>2943.5</v>
      </c>
      <c r="HM24" s="93" t="n">
        <f aca="false">HL24/HK24</f>
        <v>0.642745651261626</v>
      </c>
      <c r="HO24" s="7" t="n">
        <v>22</v>
      </c>
      <c r="HP24" s="7" t="s">
        <v>17</v>
      </c>
      <c r="HQ24" s="3" t="n">
        <v>4694.97776</v>
      </c>
      <c r="HR24" s="8" t="n">
        <v>3460</v>
      </c>
      <c r="HS24" s="93" t="n">
        <f aca="false">HR24/HQ24</f>
        <v>0.736957697537634</v>
      </c>
      <c r="HU24" s="7" t="n">
        <v>22</v>
      </c>
      <c r="HV24" s="7" t="s">
        <v>7</v>
      </c>
      <c r="HW24" s="3" t="n">
        <v>2951.8025</v>
      </c>
      <c r="HX24" s="8" t="n">
        <v>2064.5</v>
      </c>
      <c r="HY24" s="93" t="n">
        <f aca="false">HX24/HW24</f>
        <v>0.699403161288738</v>
      </c>
      <c r="HZ24" s="100"/>
      <c r="IA24" s="7" t="n">
        <v>22</v>
      </c>
      <c r="IB24" s="7" t="s">
        <v>11</v>
      </c>
      <c r="IC24" s="3" t="n">
        <v>2874.87833043478</v>
      </c>
      <c r="ID24" s="8" t="n">
        <v>2996</v>
      </c>
      <c r="IE24" s="93" t="n">
        <f aca="false">ID24/IC24</f>
        <v>1.04213105935057</v>
      </c>
      <c r="IG24" s="7" t="n">
        <v>22</v>
      </c>
      <c r="IH24" s="7" t="s">
        <v>18</v>
      </c>
      <c r="II24" s="3" t="n">
        <v>2441.72591666667</v>
      </c>
      <c r="IJ24" s="8" t="n">
        <v>1102</v>
      </c>
      <c r="IK24" s="93" t="n">
        <f aca="false">IJ24/II24</f>
        <v>0.45132010619128</v>
      </c>
    </row>
    <row r="25" customFormat="false" ht="15.75" hidden="false" customHeight="true" outlineLevel="0" collapsed="false">
      <c r="A25" s="85" t="n">
        <v>23</v>
      </c>
      <c r="B25" s="85" t="s">
        <v>9</v>
      </c>
      <c r="C25" s="90" t="n">
        <v>2900</v>
      </c>
      <c r="D25" s="58" t="n">
        <v>2418.5</v>
      </c>
      <c r="E25" s="91" t="n">
        <f aca="false">D25/C25</f>
        <v>0.833965517241379</v>
      </c>
      <c r="F25" s="81"/>
      <c r="G25" s="85" t="n">
        <v>23</v>
      </c>
      <c r="H25" s="85" t="s">
        <v>9</v>
      </c>
      <c r="I25" s="92" t="n">
        <v>2599.55</v>
      </c>
      <c r="J25" s="86" t="n">
        <v>2894.5</v>
      </c>
      <c r="K25" s="93" t="n">
        <f aca="false">J25/I25</f>
        <v>1.11346194533669</v>
      </c>
      <c r="L25" s="81"/>
      <c r="M25" s="85" t="n">
        <v>23</v>
      </c>
      <c r="N25" s="85" t="s">
        <v>17</v>
      </c>
      <c r="O25" s="86" t="n">
        <v>4495.4793</v>
      </c>
      <c r="P25" s="86" t="n">
        <v>3237.5</v>
      </c>
      <c r="Q25" s="93" t="n">
        <f aca="false">P25/O25</f>
        <v>0.720167925142042</v>
      </c>
      <c r="R25" s="81"/>
      <c r="S25" s="85" t="n">
        <v>23</v>
      </c>
      <c r="T25" s="85" t="s">
        <v>20</v>
      </c>
      <c r="U25" s="58" t="n">
        <v>3175.47</v>
      </c>
      <c r="V25" s="58" t="n">
        <v>2044.5</v>
      </c>
      <c r="W25" s="93" t="n">
        <f aca="false">V25/U25</f>
        <v>0.643841699024082</v>
      </c>
      <c r="X25" s="81"/>
      <c r="Y25" s="101" t="n">
        <v>23</v>
      </c>
      <c r="Z25" s="85" t="s">
        <v>11</v>
      </c>
      <c r="AA25" s="95" t="n">
        <v>3615.61944444444</v>
      </c>
      <c r="AB25" s="58" t="n">
        <v>3413.5</v>
      </c>
      <c r="AC25" s="93" t="n">
        <f aca="false">AB25/AA25</f>
        <v>0.944098252719875</v>
      </c>
      <c r="AD25" s="81"/>
      <c r="AE25" s="103" t="n">
        <v>23</v>
      </c>
      <c r="AF25" s="105" t="s">
        <v>17</v>
      </c>
      <c r="AG25" s="104" t="n">
        <v>3814.78206190476</v>
      </c>
      <c r="AH25" s="65" t="n">
        <v>6820</v>
      </c>
      <c r="AI25" s="93" t="n">
        <f aca="false">AH25/AG25</f>
        <v>1.78778233967964</v>
      </c>
      <c r="AJ25" s="81"/>
      <c r="AK25" s="103" t="n">
        <v>23</v>
      </c>
      <c r="AL25" s="85" t="s">
        <v>7</v>
      </c>
      <c r="AM25" s="58" t="n">
        <v>3259.27532608696</v>
      </c>
      <c r="AN25" s="58" t="n">
        <v>3837.04</v>
      </c>
      <c r="AO25" s="93" t="n">
        <f aca="false">AN25/AM25</f>
        <v>1.17726783291018</v>
      </c>
      <c r="AP25" s="81"/>
      <c r="AQ25" s="85" t="n">
        <v>23</v>
      </c>
      <c r="AR25" s="85" t="s">
        <v>13</v>
      </c>
      <c r="AS25" s="58" t="n">
        <v>4983.30807692308</v>
      </c>
      <c r="AT25" s="58" t="n">
        <v>5241</v>
      </c>
      <c r="AU25" s="93" t="n">
        <f aca="false">AT25/AS25</f>
        <v>1.05171101587523</v>
      </c>
      <c r="AV25" s="81"/>
      <c r="AW25" s="85" t="n">
        <v>23</v>
      </c>
      <c r="AX25" s="85" t="s">
        <v>18</v>
      </c>
      <c r="AY25" s="58" t="n">
        <v>2984.17084615385</v>
      </c>
      <c r="AZ25" s="58" t="n">
        <v>2368.5</v>
      </c>
      <c r="BA25" s="93" t="n">
        <f aca="false">AZ25/AY25</f>
        <v>0.793687802108462</v>
      </c>
      <c r="BB25" s="81"/>
      <c r="BC25" s="85" t="n">
        <v>23</v>
      </c>
      <c r="BD25" s="85" t="s">
        <v>9</v>
      </c>
      <c r="BE25" s="58" t="n">
        <v>3575.83073076923</v>
      </c>
      <c r="BF25" s="58" t="n">
        <v>2389.51</v>
      </c>
      <c r="BG25" s="93" t="n">
        <f aca="false">BF25/BE25</f>
        <v>0.668239125369889</v>
      </c>
      <c r="BH25" s="81"/>
      <c r="BI25" s="85" t="n">
        <v>23</v>
      </c>
      <c r="BJ25" s="85" t="s">
        <v>13</v>
      </c>
      <c r="BK25" s="58" t="n">
        <v>5319.04179545455</v>
      </c>
      <c r="BL25" s="58" t="n">
        <v>2734.5</v>
      </c>
      <c r="BM25" s="93" t="n">
        <f aca="false">BL25/BK25</f>
        <v>0.514096355162465</v>
      </c>
      <c r="BN25" s="81"/>
      <c r="BO25" s="85" t="n">
        <v>23</v>
      </c>
      <c r="BP25" s="85" t="s">
        <v>20</v>
      </c>
      <c r="BQ25" s="58" t="n">
        <v>3384.92498076923</v>
      </c>
      <c r="BR25" s="58" t="n">
        <v>4180</v>
      </c>
      <c r="BS25" s="93" t="n">
        <f aca="false">BR25/BQ25</f>
        <v>1.23488704291759</v>
      </c>
      <c r="BT25" s="81"/>
      <c r="BU25" s="85" t="n">
        <v>23</v>
      </c>
      <c r="BV25" s="85" t="s">
        <v>11</v>
      </c>
      <c r="BW25" s="58" t="n">
        <v>4231.46411826923</v>
      </c>
      <c r="BX25" s="58" t="n">
        <v>6791.08</v>
      </c>
      <c r="BY25" s="93" t="n">
        <f aca="false">BX25/BW25</f>
        <v>1.60490076488648</v>
      </c>
      <c r="BZ25" s="81"/>
      <c r="CA25" s="85" t="n">
        <v>23</v>
      </c>
      <c r="CB25" s="85" t="s">
        <v>13</v>
      </c>
      <c r="CC25" s="58" t="n">
        <v>5912.07702884615</v>
      </c>
      <c r="CD25" s="58" t="n">
        <v>5373.52</v>
      </c>
      <c r="CE25" s="93" t="n">
        <f aca="false">CD25/CC25</f>
        <v>0.90890561367546</v>
      </c>
      <c r="CF25" s="81"/>
      <c r="CG25" s="85" t="n">
        <v>23</v>
      </c>
      <c r="CH25" s="85" t="s">
        <v>20</v>
      </c>
      <c r="CI25" s="86" t="n">
        <v>3787.98645144231</v>
      </c>
      <c r="CJ25" s="58" t="n">
        <v>4233.52</v>
      </c>
      <c r="CK25" s="93" t="n">
        <f aca="false">CJ25/CI25</f>
        <v>1.11761751375538</v>
      </c>
      <c r="CL25" s="81"/>
      <c r="CM25" s="85" t="n">
        <v>23</v>
      </c>
      <c r="CN25" s="85" t="s">
        <v>9</v>
      </c>
      <c r="CO25" s="86" t="n">
        <v>4144.624</v>
      </c>
      <c r="CP25" s="60" t="n">
        <v>2740.55</v>
      </c>
      <c r="CQ25" s="93" t="n">
        <f aca="false">CP25/CO25</f>
        <v>0.661230065742996</v>
      </c>
      <c r="CR25" s="81"/>
      <c r="CS25" s="85" t="n">
        <v>23</v>
      </c>
      <c r="CT25" s="85" t="s">
        <v>17</v>
      </c>
      <c r="CU25" s="86" t="n">
        <v>5211.90105263158</v>
      </c>
      <c r="CV25" s="58" t="n">
        <v>5134.57</v>
      </c>
      <c r="CW25" s="93" t="n">
        <f aca="false">CV25/CU25</f>
        <v>0.985162601543916</v>
      </c>
      <c r="CX25" s="81"/>
      <c r="CY25" s="85" t="n">
        <v>23</v>
      </c>
      <c r="CZ25" s="85" t="s">
        <v>20</v>
      </c>
      <c r="DA25" s="86" t="n">
        <v>3688.52485416667</v>
      </c>
      <c r="DB25" s="63" t="n">
        <v>2718.09</v>
      </c>
      <c r="DC25" s="93" t="n">
        <f aca="false">DB25/DA25</f>
        <v>0.736904347256753</v>
      </c>
      <c r="DD25" s="81"/>
      <c r="DE25" s="85" t="n">
        <v>23</v>
      </c>
      <c r="DF25" s="85" t="s">
        <v>11</v>
      </c>
      <c r="DG25" s="86" t="n">
        <v>3693.521125</v>
      </c>
      <c r="DH25" s="63" t="n">
        <v>2231.05</v>
      </c>
      <c r="DI25" s="93" t="n">
        <f aca="false">DH25/DG25</f>
        <v>0.604044196444118</v>
      </c>
      <c r="DJ25" s="81"/>
      <c r="DK25" s="85" t="n">
        <v>23</v>
      </c>
      <c r="DL25" s="85" t="s">
        <v>18</v>
      </c>
      <c r="DM25" s="86" t="n">
        <v>2758.34121739131</v>
      </c>
      <c r="DN25" s="63" t="n">
        <v>2559.01</v>
      </c>
      <c r="DO25" s="93" t="n">
        <f aca="false">DN25/DM25</f>
        <v>0.92773511263417</v>
      </c>
      <c r="DP25" s="81"/>
      <c r="DQ25" s="85" t="n">
        <v>23</v>
      </c>
      <c r="DR25" s="85" t="s">
        <v>7</v>
      </c>
      <c r="DS25" s="86" t="n">
        <v>3018.05525</v>
      </c>
      <c r="DT25" s="58" t="n">
        <v>1713.06</v>
      </c>
      <c r="DU25" s="93" t="n">
        <f aca="false">DT25/DS25</f>
        <v>0.567603923089215</v>
      </c>
      <c r="DV25" s="81"/>
      <c r="DW25" s="85" t="n">
        <v>23</v>
      </c>
      <c r="DX25" s="85" t="s">
        <v>13</v>
      </c>
      <c r="DY25" s="86" t="n">
        <v>4387.4299728</v>
      </c>
      <c r="DZ25" s="58" t="n">
        <v>6697.26</v>
      </c>
      <c r="EA25" s="93" t="n">
        <f aca="false">DZ25/DY25</f>
        <v>1.526465388968</v>
      </c>
      <c r="EB25" s="81"/>
      <c r="EC25" s="85" t="n">
        <v>23</v>
      </c>
      <c r="ED25" s="85" t="s">
        <v>18</v>
      </c>
      <c r="EE25" s="86" t="n">
        <v>3478.47696</v>
      </c>
      <c r="EF25" s="58" t="n">
        <v>2607.75</v>
      </c>
      <c r="EG25" s="93" t="n">
        <f aca="false">EF25/EE25</f>
        <v>0.749681550284007</v>
      </c>
      <c r="EH25" s="100"/>
      <c r="EI25" s="85" t="n">
        <v>23</v>
      </c>
      <c r="EJ25" s="85" t="s">
        <v>9</v>
      </c>
      <c r="EK25" s="86" t="n">
        <v>3270.15311538462</v>
      </c>
      <c r="EL25" s="58" t="n">
        <v>3948.5</v>
      </c>
      <c r="EM25" s="93" t="n">
        <f aca="false">EL25/EK25</f>
        <v>1.20743581743132</v>
      </c>
      <c r="EN25" s="81"/>
      <c r="EO25" s="85" t="n">
        <v>23</v>
      </c>
      <c r="EP25" s="85" t="s">
        <v>17</v>
      </c>
      <c r="EQ25" s="86" t="n">
        <v>4203.32253846154</v>
      </c>
      <c r="ER25" s="58" t="n">
        <v>4964.25</v>
      </c>
      <c r="ES25" s="93" t="n">
        <f aca="false">ER25/EQ25</f>
        <v>1.18102999581302</v>
      </c>
      <c r="ET25" s="81"/>
      <c r="EU25" s="85" t="n">
        <v>23</v>
      </c>
      <c r="EV25" s="85" t="s">
        <v>17</v>
      </c>
      <c r="EW25" s="86" t="n">
        <v>4690.301</v>
      </c>
      <c r="EX25" s="58" t="n">
        <v>4646.25</v>
      </c>
      <c r="EY25" s="93" t="n">
        <f aca="false">EX25/EW25</f>
        <v>0.990608065452516</v>
      </c>
      <c r="FA25" s="85" t="n">
        <v>23</v>
      </c>
      <c r="FB25" s="85" t="s">
        <v>7</v>
      </c>
      <c r="FC25" s="86" t="n">
        <v>3929.07108</v>
      </c>
      <c r="FD25" s="58" t="n">
        <v>2588.51</v>
      </c>
      <c r="FE25" s="93" t="n">
        <f aca="false">FD25/FC25</f>
        <v>0.658809664497085</v>
      </c>
      <c r="FG25" s="85" t="n">
        <v>23</v>
      </c>
      <c r="FH25" s="85" t="s">
        <v>11</v>
      </c>
      <c r="FI25" s="86" t="n">
        <v>4211.02930769231</v>
      </c>
      <c r="FJ25" s="58" t="n">
        <v>3058.25</v>
      </c>
      <c r="FK25" s="93" t="n">
        <f aca="false">FJ25/FI25</f>
        <v>0.726247617040679</v>
      </c>
      <c r="FL25" s="100"/>
      <c r="FM25" s="85" t="n">
        <v>23</v>
      </c>
      <c r="FN25" s="85" t="s">
        <v>18</v>
      </c>
      <c r="FO25" s="86" t="n">
        <v>3046.40219230769</v>
      </c>
      <c r="FP25" s="58" t="n">
        <v>1438</v>
      </c>
      <c r="FQ25" s="93" t="n">
        <f aca="false">FP25/FO25</f>
        <v>0.4720322233325</v>
      </c>
      <c r="FS25" s="85" t="n">
        <v>23</v>
      </c>
      <c r="FT25" s="85" t="s">
        <v>7</v>
      </c>
      <c r="FU25" s="86" t="n">
        <v>3453.12792</v>
      </c>
      <c r="FV25" s="58" t="n">
        <v>2148.03</v>
      </c>
      <c r="FW25" s="93" t="n">
        <f aca="false">FV25/FU25</f>
        <v>0.622053410636464</v>
      </c>
      <c r="FY25" s="85" t="n">
        <v>23</v>
      </c>
      <c r="FZ25" s="85" t="s">
        <v>13</v>
      </c>
      <c r="GA25" s="86" t="n">
        <v>4768.50242307692</v>
      </c>
      <c r="GB25" s="58" t="n">
        <v>3132.9</v>
      </c>
      <c r="GC25" s="93" t="n">
        <f aca="false">GB25/GA25</f>
        <v>0.656998722458123</v>
      </c>
      <c r="GE25" s="7" t="n">
        <v>23</v>
      </c>
      <c r="GF25" s="7" t="s">
        <v>20</v>
      </c>
      <c r="GG25" s="3" t="n">
        <v>2506.32326923077</v>
      </c>
      <c r="GH25" s="10" t="n">
        <v>1312.52</v>
      </c>
      <c r="GI25" s="93" t="n">
        <f aca="false">GH25/GG25</f>
        <v>0.523683443438177</v>
      </c>
      <c r="GK25" s="7" t="n">
        <v>23</v>
      </c>
      <c r="GL25" s="7" t="s">
        <v>9</v>
      </c>
      <c r="GM25" s="3" t="n">
        <v>3151.42417307692</v>
      </c>
      <c r="GN25" s="10" t="n">
        <v>1910.5</v>
      </c>
      <c r="GO25" s="93" t="n">
        <f aca="false">GN25/GM25</f>
        <v>0.606233847008499</v>
      </c>
      <c r="GQ25" s="7" t="n">
        <v>23</v>
      </c>
      <c r="GR25" s="7" t="s">
        <v>17</v>
      </c>
      <c r="GS25" s="3" t="n">
        <v>4423.43334444445</v>
      </c>
      <c r="GT25" s="10" t="n">
        <v>2556.5</v>
      </c>
      <c r="GU25" s="93" t="n">
        <f aca="false">GT25/GS25</f>
        <v>0.577944732276977</v>
      </c>
      <c r="GW25" s="7" t="n">
        <v>23</v>
      </c>
      <c r="GX25" s="7" t="s">
        <v>20</v>
      </c>
      <c r="GY25" s="3" t="n">
        <v>2287.03039583333</v>
      </c>
      <c r="GZ25" s="10" t="n">
        <v>1277.02</v>
      </c>
      <c r="HA25" s="93" t="n">
        <f aca="false">GZ25/GY25</f>
        <v>0.558374738843245</v>
      </c>
      <c r="HC25" s="7" t="n">
        <v>23</v>
      </c>
      <c r="HD25" s="7" t="s">
        <v>11</v>
      </c>
      <c r="HE25" s="3" t="n">
        <v>2824.96158333333</v>
      </c>
      <c r="HF25" s="8" t="n">
        <v>3482</v>
      </c>
      <c r="HG25" s="93" t="n">
        <f aca="false">HF25/HE25</f>
        <v>1.23258313335766</v>
      </c>
      <c r="HI25" s="7" t="n">
        <v>23</v>
      </c>
      <c r="HJ25" s="7" t="s">
        <v>18</v>
      </c>
      <c r="HK25" s="3" t="n">
        <v>2688.75926923077</v>
      </c>
      <c r="HL25" s="8" t="n">
        <v>1943</v>
      </c>
      <c r="HM25" s="93" t="n">
        <f aca="false">HL25/HK25</f>
        <v>0.722638141032193</v>
      </c>
      <c r="HO25" s="7" t="n">
        <v>23</v>
      </c>
      <c r="HP25" s="7" t="s">
        <v>18</v>
      </c>
      <c r="HQ25" s="3" t="n">
        <v>2600.96311538462</v>
      </c>
      <c r="HR25" s="8" t="n">
        <v>1080</v>
      </c>
      <c r="HS25" s="93" t="n">
        <f aca="false">HR25/HQ25</f>
        <v>0.415230801856372</v>
      </c>
      <c r="HU25" s="7" t="n">
        <v>23</v>
      </c>
      <c r="HV25" s="7" t="s">
        <v>9</v>
      </c>
      <c r="HW25" s="3" t="n">
        <v>2871.19891666667</v>
      </c>
      <c r="HX25" s="8" t="n">
        <v>3013.5</v>
      </c>
      <c r="HY25" s="93" t="n">
        <f aca="false">HX25/HW25</f>
        <v>1.04956155510763</v>
      </c>
      <c r="HZ25" s="100"/>
      <c r="IA25" s="7" t="n">
        <v>23</v>
      </c>
      <c r="IB25" s="7" t="s">
        <v>13</v>
      </c>
      <c r="IC25" s="3" t="n">
        <v>4633.34946666667</v>
      </c>
      <c r="ID25" s="8" t="n">
        <v>3912</v>
      </c>
      <c r="IE25" s="93" t="n">
        <f aca="false">ID25/IC25</f>
        <v>0.844313606850463</v>
      </c>
      <c r="IG25" s="7" t="n">
        <v>23</v>
      </c>
      <c r="IH25" s="7" t="s">
        <v>20</v>
      </c>
      <c r="II25" s="3" t="n">
        <v>2595.82125</v>
      </c>
      <c r="IJ25" s="8" t="n">
        <v>1894</v>
      </c>
      <c r="IK25" s="93" t="n">
        <f aca="false">IJ25/II25</f>
        <v>0.729634214990728</v>
      </c>
    </row>
    <row r="26" customFormat="false" ht="15.75" hidden="false" customHeight="true" outlineLevel="0" collapsed="false">
      <c r="A26" s="85" t="n">
        <v>24</v>
      </c>
      <c r="B26" s="85" t="s">
        <v>11</v>
      </c>
      <c r="C26" s="90" t="n">
        <v>3200</v>
      </c>
      <c r="D26" s="58" t="n">
        <v>3142</v>
      </c>
      <c r="E26" s="91" t="n">
        <f aca="false">D26/C26</f>
        <v>0.981875</v>
      </c>
      <c r="F26" s="81"/>
      <c r="G26" s="85" t="n">
        <v>24</v>
      </c>
      <c r="H26" s="85" t="s">
        <v>11</v>
      </c>
      <c r="I26" s="92" t="n">
        <v>3555.4125</v>
      </c>
      <c r="J26" s="86" t="n">
        <v>2850</v>
      </c>
      <c r="K26" s="93" t="n">
        <f aca="false">J26/I26</f>
        <v>0.801594751663837</v>
      </c>
      <c r="L26" s="81"/>
      <c r="M26" s="85" t="n">
        <v>24</v>
      </c>
      <c r="N26" s="85" t="s">
        <v>18</v>
      </c>
      <c r="O26" s="86" t="n">
        <v>2733.978</v>
      </c>
      <c r="P26" s="86" t="n">
        <v>1653</v>
      </c>
      <c r="Q26" s="93" t="n">
        <f aca="false">P26/O26</f>
        <v>0.604613497255647</v>
      </c>
      <c r="R26" s="81"/>
      <c r="S26" s="85" t="n">
        <v>24</v>
      </c>
      <c r="T26" s="85" t="s">
        <v>7</v>
      </c>
      <c r="U26" s="58" t="n">
        <v>3056.81846153846</v>
      </c>
      <c r="V26" s="58" t="n">
        <v>2214</v>
      </c>
      <c r="W26" s="93" t="n">
        <f aca="false">V26/U26</f>
        <v>0.724282461604122</v>
      </c>
      <c r="X26" s="81"/>
      <c r="Y26" s="101" t="n">
        <v>24</v>
      </c>
      <c r="Z26" s="85" t="s">
        <v>13</v>
      </c>
      <c r="AA26" s="95" t="n">
        <v>4056.95277777778</v>
      </c>
      <c r="AB26" s="58" t="n">
        <v>4097.51</v>
      </c>
      <c r="AC26" s="93" t="n">
        <f aca="false">AB26/AA26</f>
        <v>1.00999696679842</v>
      </c>
      <c r="AD26" s="81"/>
      <c r="AE26" s="96" t="n">
        <v>24</v>
      </c>
      <c r="AF26" s="97" t="s">
        <v>18</v>
      </c>
      <c r="AG26" s="98" t="n">
        <v>2577.63165</v>
      </c>
      <c r="AH26" s="66" t="n">
        <v>4827</v>
      </c>
      <c r="AI26" s="93" t="n">
        <f aca="false">AH26/AG26</f>
        <v>1.87264925925316</v>
      </c>
      <c r="AJ26" s="81"/>
      <c r="AK26" s="96" t="n">
        <v>24</v>
      </c>
      <c r="AL26" s="85" t="s">
        <v>9</v>
      </c>
      <c r="AM26" s="58" t="n">
        <v>2961.45192</v>
      </c>
      <c r="AN26" s="58" t="n">
        <v>3837.04</v>
      </c>
      <c r="AO26" s="93" t="n">
        <f aca="false">AN26/AM26</f>
        <v>1.2956617576962</v>
      </c>
      <c r="AP26" s="81"/>
      <c r="AQ26" s="85" t="n">
        <v>24</v>
      </c>
      <c r="AR26" s="85" t="s">
        <v>17</v>
      </c>
      <c r="AS26" s="58" t="n">
        <v>4829.43946153846</v>
      </c>
      <c r="AT26" s="58" t="n">
        <v>3710.5</v>
      </c>
      <c r="AU26" s="93" t="n">
        <f aca="false">AT26/AS26</f>
        <v>0.768308626611915</v>
      </c>
      <c r="AV26" s="81"/>
      <c r="AW26" s="85" t="n">
        <v>24</v>
      </c>
      <c r="AX26" s="85" t="s">
        <v>20</v>
      </c>
      <c r="AY26" s="58" t="n">
        <v>3688.79469230769</v>
      </c>
      <c r="AZ26" s="58" t="n">
        <v>2282</v>
      </c>
      <c r="BA26" s="93" t="n">
        <f aca="false">AZ26/AY26</f>
        <v>0.618630254689613</v>
      </c>
      <c r="BB26" s="81"/>
      <c r="BC26" s="85" t="n">
        <v>24</v>
      </c>
      <c r="BD26" s="85" t="s">
        <v>11</v>
      </c>
      <c r="BE26" s="58" t="n">
        <v>4199.43784615385</v>
      </c>
      <c r="BF26" s="58" t="n">
        <v>3746.5</v>
      </c>
      <c r="BG26" s="93" t="n">
        <f aca="false">BF26/BE26</f>
        <v>0.892143219462414</v>
      </c>
      <c r="BH26" s="81"/>
      <c r="BI26" s="85" t="n">
        <v>24</v>
      </c>
      <c r="BJ26" s="85" t="s">
        <v>17</v>
      </c>
      <c r="BK26" s="58" t="n">
        <v>0</v>
      </c>
      <c r="BL26" s="58" t="n">
        <v>0</v>
      </c>
      <c r="BM26" s="93"/>
      <c r="BN26" s="81"/>
      <c r="BO26" s="85" t="n">
        <v>24</v>
      </c>
      <c r="BP26" s="85" t="s">
        <v>7</v>
      </c>
      <c r="BQ26" s="58" t="n">
        <v>3756.90444230769</v>
      </c>
      <c r="BR26" s="58" t="n">
        <v>4146.5</v>
      </c>
      <c r="BS26" s="93" t="n">
        <f aca="false">BR26/BQ26</f>
        <v>1.10370121563513</v>
      </c>
      <c r="BT26" s="81"/>
      <c r="BU26" s="85" t="n">
        <v>24</v>
      </c>
      <c r="BV26" s="85" t="s">
        <v>13</v>
      </c>
      <c r="BW26" s="58" t="n">
        <v>5459.13655</v>
      </c>
      <c r="BX26" s="58" t="n">
        <v>8037.5</v>
      </c>
      <c r="BY26" s="93" t="n">
        <f aca="false">BX26/BW26</f>
        <v>1.47230242848569</v>
      </c>
      <c r="BZ26" s="81"/>
      <c r="CA26" s="85" t="n">
        <v>24</v>
      </c>
      <c r="CB26" s="85" t="s">
        <v>17</v>
      </c>
      <c r="CC26" s="58" t="n">
        <v>6068.54520833333</v>
      </c>
      <c r="CD26" s="58" t="n">
        <v>4384</v>
      </c>
      <c r="CE26" s="93" t="n">
        <f aca="false">CD26/CC26</f>
        <v>0.722413667443704</v>
      </c>
      <c r="CF26" s="81"/>
      <c r="CG26" s="85" t="n">
        <v>24</v>
      </c>
      <c r="CH26" s="85" t="s">
        <v>7</v>
      </c>
      <c r="CI26" s="86" t="n">
        <v>4146.79393557692</v>
      </c>
      <c r="CJ26" s="58" t="n">
        <v>2946.53</v>
      </c>
      <c r="CK26" s="93" t="n">
        <f aca="false">CJ26/CI26</f>
        <v>0.710556165986595</v>
      </c>
      <c r="CL26" s="81"/>
      <c r="CM26" s="85" t="n">
        <v>24</v>
      </c>
      <c r="CN26" s="85" t="s">
        <v>11</v>
      </c>
      <c r="CO26" s="86" t="n">
        <v>4759.3194</v>
      </c>
      <c r="CP26" s="60" t="n">
        <v>1891.01</v>
      </c>
      <c r="CQ26" s="93" t="n">
        <f aca="false">CP26/CO26</f>
        <v>0.397327819603786</v>
      </c>
      <c r="CR26" s="81"/>
      <c r="CS26" s="85" t="n">
        <v>24</v>
      </c>
      <c r="CT26" s="85" t="s">
        <v>18</v>
      </c>
      <c r="CU26" s="86" t="n">
        <v>3035.46</v>
      </c>
      <c r="CV26" s="58" t="n">
        <v>1687.05</v>
      </c>
      <c r="CW26" s="93" t="n">
        <f aca="false">CV26/CU26</f>
        <v>0.555780672451622</v>
      </c>
      <c r="CX26" s="81"/>
      <c r="CY26" s="85" t="n">
        <v>24</v>
      </c>
      <c r="CZ26" s="85" t="s">
        <v>7</v>
      </c>
      <c r="DA26" s="86" t="n">
        <v>3391.54861458333</v>
      </c>
      <c r="DB26" s="58" t="n">
        <v>3490.5</v>
      </c>
      <c r="DC26" s="93" t="n">
        <f aca="false">DB26/DA26</f>
        <v>1.02917587116139</v>
      </c>
      <c r="DD26" s="81"/>
      <c r="DE26" s="85" t="n">
        <v>24</v>
      </c>
      <c r="DF26" s="85" t="s">
        <v>13</v>
      </c>
      <c r="DG26" s="86" t="n">
        <v>4876.4235625</v>
      </c>
      <c r="DH26" s="58" t="n">
        <v>3168.51</v>
      </c>
      <c r="DI26" s="93" t="n">
        <f aca="false">DH26/DG26</f>
        <v>0.649761030679541</v>
      </c>
      <c r="DJ26" s="81"/>
      <c r="DK26" s="85" t="n">
        <v>24</v>
      </c>
      <c r="DL26" s="85" t="s">
        <v>20</v>
      </c>
      <c r="DM26" s="86" t="n">
        <v>3483.70855</v>
      </c>
      <c r="DN26" s="58" t="n">
        <v>2304.51</v>
      </c>
      <c r="DO26" s="93" t="n">
        <f aca="false">DN26/DM26</f>
        <v>0.661510561783362</v>
      </c>
      <c r="DP26" s="81"/>
      <c r="DQ26" s="85" t="n">
        <v>24</v>
      </c>
      <c r="DR26" s="85" t="s">
        <v>9</v>
      </c>
      <c r="DS26" s="86" t="n">
        <v>2876.6968125</v>
      </c>
      <c r="DT26" s="58" t="n">
        <v>2836.53</v>
      </c>
      <c r="DU26" s="93" t="n">
        <f aca="false">DT26/DS26</f>
        <v>0.986037175580873</v>
      </c>
      <c r="DV26" s="81"/>
      <c r="DW26" s="85" t="n">
        <v>24</v>
      </c>
      <c r="DX26" s="85" t="s">
        <v>17</v>
      </c>
      <c r="DY26" s="86" t="n">
        <v>4007.91671</v>
      </c>
      <c r="DZ26" s="58" t="n">
        <v>5108.8</v>
      </c>
      <c r="EA26" s="93" t="n">
        <f aca="false">DZ26/DY26</f>
        <v>1.27467718759056</v>
      </c>
      <c r="EB26" s="81"/>
      <c r="EC26" s="85" t="n">
        <v>24</v>
      </c>
      <c r="ED26" s="85" t="s">
        <v>20</v>
      </c>
      <c r="EE26" s="86"/>
      <c r="EF26" s="58" t="n">
        <v>0</v>
      </c>
      <c r="EG26" s="93"/>
      <c r="EH26" s="100"/>
      <c r="EI26" s="85" t="n">
        <v>24</v>
      </c>
      <c r="EJ26" s="85" t="s">
        <v>11</v>
      </c>
      <c r="EK26" s="86" t="n">
        <v>3395.17378846154</v>
      </c>
      <c r="EL26" s="58" t="n">
        <v>6062.25</v>
      </c>
      <c r="EM26" s="93" t="n">
        <f aca="false">EL26/EK26</f>
        <v>1.78554924658128</v>
      </c>
      <c r="EN26" s="81"/>
      <c r="EO26" s="85" t="n">
        <v>24</v>
      </c>
      <c r="EP26" s="85" t="s">
        <v>18</v>
      </c>
      <c r="EQ26" s="86" t="n">
        <v>3410.95964</v>
      </c>
      <c r="ER26" s="58" t="n">
        <v>2615.5</v>
      </c>
      <c r="ES26" s="93" t="n">
        <f aca="false">ER26/EQ26</f>
        <v>0.766793007260561</v>
      </c>
      <c r="ET26" s="81"/>
      <c r="EU26" s="85" t="n">
        <v>24</v>
      </c>
      <c r="EV26" s="85" t="s">
        <v>18</v>
      </c>
      <c r="EW26" s="86" t="n">
        <v>3506.36634615385</v>
      </c>
      <c r="EX26" s="58" t="n">
        <v>2315.75</v>
      </c>
      <c r="EY26" s="93" t="n">
        <f aca="false">EX26/EW26</f>
        <v>0.660441543006525</v>
      </c>
      <c r="FA26" s="85" t="n">
        <v>24</v>
      </c>
      <c r="FB26" s="85" t="s">
        <v>9</v>
      </c>
      <c r="FC26" s="86" t="n">
        <v>3926.07684615385</v>
      </c>
      <c r="FD26" s="58" t="n">
        <v>1523.75</v>
      </c>
      <c r="FE26" s="93" t="n">
        <f aca="false">FD26/FC26</f>
        <v>0.388110080293698</v>
      </c>
      <c r="FG26" s="85" t="n">
        <v>24</v>
      </c>
      <c r="FH26" s="85" t="s">
        <v>13</v>
      </c>
      <c r="FI26" s="86" t="n">
        <v>5462.33303846154</v>
      </c>
      <c r="FJ26" s="58" t="n">
        <v>5817.01</v>
      </c>
      <c r="FK26" s="93" t="n">
        <f aca="false">FJ26/FI26</f>
        <v>1.0649314055077</v>
      </c>
      <c r="FL26" s="100"/>
      <c r="FM26" s="85" t="n">
        <v>24</v>
      </c>
      <c r="FN26" s="85" t="s">
        <v>20</v>
      </c>
      <c r="FO26" s="86" t="n">
        <v>3196.46204166667</v>
      </c>
      <c r="FP26" s="58" t="n">
        <v>1397.52</v>
      </c>
      <c r="FQ26" s="93" t="n">
        <f aca="false">FP26/FO26</f>
        <v>0.437208382825443</v>
      </c>
      <c r="FS26" s="85" t="n">
        <v>24</v>
      </c>
      <c r="FT26" s="85" t="s">
        <v>9</v>
      </c>
      <c r="FU26" s="86" t="n">
        <v>3309.52769230769</v>
      </c>
      <c r="FV26" s="58" t="n">
        <v>3636.1</v>
      </c>
      <c r="FW26" s="93" t="n">
        <f aca="false">FV26/FU26</f>
        <v>1.09867640885778</v>
      </c>
      <c r="FY26" s="85" t="n">
        <v>24</v>
      </c>
      <c r="FZ26" s="85" t="s">
        <v>17</v>
      </c>
      <c r="GA26" s="86" t="n">
        <v>4265.00853846154</v>
      </c>
      <c r="GB26" s="58" t="n">
        <v>1980</v>
      </c>
      <c r="GC26" s="93" t="n">
        <f aca="false">GB26/GA26</f>
        <v>0.464242915845186</v>
      </c>
      <c r="GE26" s="7" t="n">
        <v>24</v>
      </c>
      <c r="GF26" s="7" t="s">
        <v>7</v>
      </c>
      <c r="GG26" s="3" t="n">
        <v>3098.37467307692</v>
      </c>
      <c r="GH26" s="10" t="n">
        <v>2002.04</v>
      </c>
      <c r="GI26" s="93" t="n">
        <f aca="false">GH26/GG26</f>
        <v>0.646158134907494</v>
      </c>
      <c r="GK26" s="7" t="n">
        <v>24</v>
      </c>
      <c r="GL26" s="7" t="s">
        <v>11</v>
      </c>
      <c r="GM26" s="32" t="n">
        <v>3011.91634615385</v>
      </c>
      <c r="GN26" s="10" t="n">
        <v>2070.75</v>
      </c>
      <c r="GO26" s="93" t="n">
        <f aca="false">GN26/GM26</f>
        <v>0.687519094826223</v>
      </c>
      <c r="GQ26" s="7" t="n">
        <v>24</v>
      </c>
      <c r="GR26" s="7" t="s">
        <v>18</v>
      </c>
      <c r="GS26" s="32" t="n">
        <v>2925.73623076923</v>
      </c>
      <c r="GT26" s="10" t="n">
        <v>1871</v>
      </c>
      <c r="GU26" s="93" t="n">
        <f aca="false">GT26/GS26</f>
        <v>0.639497156415936</v>
      </c>
      <c r="GW26" s="7" t="n">
        <v>24</v>
      </c>
      <c r="GX26" s="7" t="s">
        <v>7</v>
      </c>
      <c r="GY26" s="32" t="n">
        <v>0</v>
      </c>
      <c r="GZ26" s="10" t="n">
        <v>0</v>
      </c>
      <c r="HA26" s="93"/>
      <c r="HC26" s="7" t="n">
        <v>24</v>
      </c>
      <c r="HD26" s="7" t="s">
        <v>13</v>
      </c>
      <c r="HE26" s="21" t="n">
        <v>3969.18954166667</v>
      </c>
      <c r="HF26" s="8" t="n">
        <v>6372</v>
      </c>
      <c r="HG26" s="93" t="n">
        <f aca="false">HF26/HE26</f>
        <v>1.60536551180279</v>
      </c>
      <c r="HI26" s="7" t="n">
        <v>24</v>
      </c>
      <c r="HJ26" s="7" t="s">
        <v>20</v>
      </c>
      <c r="HK26" s="21" t="n">
        <v>2784.41273076923</v>
      </c>
      <c r="HL26" s="8" t="n">
        <v>2723.5</v>
      </c>
      <c r="HM26" s="93" t="n">
        <f aca="false">HL26/HK26</f>
        <v>0.978123670353855</v>
      </c>
      <c r="HO26" s="7" t="n">
        <v>24</v>
      </c>
      <c r="HP26" s="7" t="s">
        <v>20</v>
      </c>
      <c r="HQ26" s="21" t="n">
        <v>2691.10346153846</v>
      </c>
      <c r="HR26" s="8" t="n">
        <v>2301</v>
      </c>
      <c r="HS26" s="93" t="n">
        <f aca="false">HR26/HQ26</f>
        <v>0.855039589850832</v>
      </c>
      <c r="HU26" s="7" t="n">
        <v>24</v>
      </c>
      <c r="HV26" s="7" t="s">
        <v>11</v>
      </c>
      <c r="HW26" s="21" t="n">
        <v>2948.29516666667</v>
      </c>
      <c r="HX26" s="8" t="n">
        <v>2211</v>
      </c>
      <c r="HY26" s="93" t="n">
        <f aca="false">HX26/HW26</f>
        <v>0.749924914234333</v>
      </c>
      <c r="HZ26" s="100"/>
      <c r="IA26" s="7" t="n">
        <v>24</v>
      </c>
      <c r="IB26" s="7" t="s">
        <v>17</v>
      </c>
      <c r="IC26" s="21" t="n">
        <v>4467.71406666667</v>
      </c>
      <c r="ID26" s="8" t="n">
        <v>3848</v>
      </c>
      <c r="IE26" s="93" t="n">
        <f aca="false">ID26/IC26</f>
        <v>0.861290571102051</v>
      </c>
      <c r="IG26" s="7" t="n">
        <v>24</v>
      </c>
      <c r="IH26" s="7" t="s">
        <v>7</v>
      </c>
      <c r="II26" s="21" t="n">
        <v>3050.3745</v>
      </c>
      <c r="IJ26" s="8" t="n">
        <v>1118</v>
      </c>
      <c r="IK26" s="93" t="n">
        <f aca="false">IJ26/II26</f>
        <v>0.366512374136356</v>
      </c>
    </row>
    <row r="27" customFormat="false" ht="15.75" hidden="false" customHeight="true" outlineLevel="0" collapsed="false">
      <c r="A27" s="85" t="n">
        <v>25</v>
      </c>
      <c r="B27" s="85" t="s">
        <v>13</v>
      </c>
      <c r="C27" s="90" t="n">
        <v>5300</v>
      </c>
      <c r="D27" s="58" t="n">
        <v>4052.5</v>
      </c>
      <c r="E27" s="91" t="n">
        <f aca="false">D27/C27</f>
        <v>0.764622641509434</v>
      </c>
      <c r="F27" s="81"/>
      <c r="G27" s="85" t="n">
        <v>25</v>
      </c>
      <c r="H27" s="85" t="s">
        <v>13</v>
      </c>
      <c r="I27" s="92" t="n">
        <v>4996.1625</v>
      </c>
      <c r="J27" s="86" t="n">
        <v>3524.5</v>
      </c>
      <c r="K27" s="93" t="n">
        <f aca="false">J27/I27</f>
        <v>0.705441426294681</v>
      </c>
      <c r="L27" s="81"/>
      <c r="M27" s="85" t="n">
        <v>25</v>
      </c>
      <c r="N27" s="85" t="s">
        <v>20</v>
      </c>
      <c r="O27" s="86" t="n">
        <v>3465.2332</v>
      </c>
      <c r="P27" s="86" t="n">
        <v>2390</v>
      </c>
      <c r="Q27" s="93" t="n">
        <f aca="false">P27/O27</f>
        <v>0.689708271293257</v>
      </c>
      <c r="R27" s="81"/>
      <c r="S27" s="85" t="n">
        <v>25</v>
      </c>
      <c r="T27" s="85" t="s">
        <v>9</v>
      </c>
      <c r="U27" s="58" t="n">
        <v>2628.82307692308</v>
      </c>
      <c r="V27" s="58" t="n">
        <v>2214</v>
      </c>
      <c r="W27" s="93" t="n">
        <f aca="false">V27/U27</f>
        <v>0.842201979827181</v>
      </c>
      <c r="X27" s="81"/>
      <c r="Y27" s="101" t="n">
        <v>25</v>
      </c>
      <c r="Z27" s="85" t="s">
        <v>17</v>
      </c>
      <c r="AA27" s="95" t="n">
        <v>3689.71235294118</v>
      </c>
      <c r="AB27" s="58" t="n">
        <v>4193.5</v>
      </c>
      <c r="AC27" s="93" t="n">
        <f aca="false">AB27/AA27</f>
        <v>1.13653846123187</v>
      </c>
      <c r="AD27" s="81"/>
      <c r="AE27" s="101" t="n">
        <v>25</v>
      </c>
      <c r="AF27" s="85" t="s">
        <v>20</v>
      </c>
      <c r="AG27" s="95" t="n">
        <v>3323.86871</v>
      </c>
      <c r="AH27" s="58" t="n">
        <v>6342.01</v>
      </c>
      <c r="AI27" s="93" t="n">
        <f aca="false">AH27/AG27</f>
        <v>1.90802060891268</v>
      </c>
      <c r="AJ27" s="81"/>
      <c r="AK27" s="101" t="n">
        <v>25</v>
      </c>
      <c r="AL27" s="85" t="s">
        <v>11</v>
      </c>
      <c r="AM27" s="58" t="n">
        <v>3615.0324</v>
      </c>
      <c r="AN27" s="58" t="n">
        <v>3264.02</v>
      </c>
      <c r="AO27" s="93" t="n">
        <f aca="false">AN27/AM27</f>
        <v>0.902902004419103</v>
      </c>
      <c r="AP27" s="81"/>
      <c r="AQ27" s="85" t="n">
        <v>25</v>
      </c>
      <c r="AR27" s="85" t="s">
        <v>18</v>
      </c>
      <c r="AS27" s="58" t="n">
        <v>3049.52388461539</v>
      </c>
      <c r="AT27" s="58" t="n">
        <v>2475.5</v>
      </c>
      <c r="AU27" s="93" t="n">
        <f aca="false">AT27/AS27</f>
        <v>0.811766063708733</v>
      </c>
      <c r="AV27" s="81"/>
      <c r="AW27" s="85" t="n">
        <v>25</v>
      </c>
      <c r="AX27" s="85" t="s">
        <v>7</v>
      </c>
      <c r="AY27" s="58" t="n">
        <v>3620.84856923077</v>
      </c>
      <c r="AZ27" s="58" t="n">
        <v>2955</v>
      </c>
      <c r="BA27" s="93" t="n">
        <f aca="false">AZ27/AY27</f>
        <v>0.816107037756559</v>
      </c>
      <c r="BB27" s="81"/>
      <c r="BC27" s="85" t="n">
        <v>25</v>
      </c>
      <c r="BD27" s="85" t="s">
        <v>13</v>
      </c>
      <c r="BE27" s="58" t="n">
        <v>5580.95515384616</v>
      </c>
      <c r="BF27" s="58" t="n">
        <v>5092.5</v>
      </c>
      <c r="BG27" s="93" t="n">
        <f aca="false">BF27/BE27</f>
        <v>0.912478215577572</v>
      </c>
      <c r="BH27" s="81"/>
      <c r="BI27" s="85" t="n">
        <v>25</v>
      </c>
      <c r="BJ27" s="85" t="s">
        <v>18</v>
      </c>
      <c r="BK27" s="58" t="n">
        <v>3108.05488636364</v>
      </c>
      <c r="BL27" s="58" t="n">
        <v>2313</v>
      </c>
      <c r="BM27" s="93" t="n">
        <f aca="false">BL27/BK27</f>
        <v>0.744195351937997</v>
      </c>
      <c r="BN27" s="81"/>
      <c r="BO27" s="85" t="n">
        <v>25</v>
      </c>
      <c r="BP27" s="85" t="s">
        <v>9</v>
      </c>
      <c r="BQ27" s="58" t="n">
        <v>3789.02151923077</v>
      </c>
      <c r="BR27" s="58" t="n">
        <v>4785.02</v>
      </c>
      <c r="BS27" s="93" t="n">
        <f aca="false">BR27/BQ27</f>
        <v>1.26286429773865</v>
      </c>
      <c r="BT27" s="81"/>
      <c r="BU27" s="85" t="n">
        <v>25</v>
      </c>
      <c r="BV27" s="85" t="s">
        <v>17</v>
      </c>
      <c r="BW27" s="58" t="n">
        <v>5569.685793</v>
      </c>
      <c r="BX27" s="58" t="n">
        <v>10609.51</v>
      </c>
      <c r="BY27" s="93" t="n">
        <f aca="false">BX27/BW27</f>
        <v>1.90486688016298</v>
      </c>
      <c r="BZ27" s="81"/>
      <c r="CA27" s="85" t="n">
        <v>25</v>
      </c>
      <c r="CB27" s="85" t="s">
        <v>18</v>
      </c>
      <c r="CC27" s="58" t="n">
        <v>3258.90177884615</v>
      </c>
      <c r="CD27" s="58" t="n">
        <v>3259.51</v>
      </c>
      <c r="CE27" s="93" t="n">
        <f aca="false">CD27/CC27</f>
        <v>1.00018663377884</v>
      </c>
      <c r="CF27" s="81"/>
      <c r="CG27" s="85" t="n">
        <v>25</v>
      </c>
      <c r="CH27" s="85" t="s">
        <v>9</v>
      </c>
      <c r="CI27" s="86" t="n">
        <v>4164.52486153846</v>
      </c>
      <c r="CJ27" s="58" t="n">
        <v>2552.55</v>
      </c>
      <c r="CK27" s="93" t="n">
        <f aca="false">CJ27/CI27</f>
        <v>0.612927064879386</v>
      </c>
      <c r="CL27" s="81"/>
      <c r="CM27" s="85" t="n">
        <v>25</v>
      </c>
      <c r="CN27" s="85" t="s">
        <v>13</v>
      </c>
      <c r="CO27" s="86" t="n">
        <v>6903.4878</v>
      </c>
      <c r="CP27" s="60" t="n">
        <v>3675.05</v>
      </c>
      <c r="CQ27" s="93" t="n">
        <f aca="false">CP27/CO27</f>
        <v>0.532346852267922</v>
      </c>
      <c r="CR27" s="81"/>
      <c r="CS27" s="85" t="n">
        <v>25</v>
      </c>
      <c r="CT27" s="85" t="s">
        <v>20</v>
      </c>
      <c r="CU27" s="86" t="n">
        <v>3778.056</v>
      </c>
      <c r="CV27" s="58" t="n">
        <v>3827.66</v>
      </c>
      <c r="CW27" s="93" t="n">
        <f aca="false">CV27/CU27</f>
        <v>1.01312950363891</v>
      </c>
      <c r="CX27" s="81"/>
      <c r="CY27" s="85" t="n">
        <v>25</v>
      </c>
      <c r="CZ27" s="85" t="s">
        <v>9</v>
      </c>
      <c r="DA27" s="86" t="n">
        <v>3390.73971875</v>
      </c>
      <c r="DB27" s="58" t="n">
        <v>3646.03</v>
      </c>
      <c r="DC27" s="93" t="n">
        <f aca="false">DB27/DA27</f>
        <v>1.07529043879078</v>
      </c>
      <c r="DD27" s="81"/>
      <c r="DE27" s="85" t="n">
        <v>25</v>
      </c>
      <c r="DF27" s="85" t="s">
        <v>17</v>
      </c>
      <c r="DG27" s="86" t="n">
        <v>4499.2023125</v>
      </c>
      <c r="DH27" s="58" t="n">
        <v>3691.09</v>
      </c>
      <c r="DI27" s="93" t="n">
        <f aca="false">DH27/DG27</f>
        <v>0.820387647326984</v>
      </c>
      <c r="DJ27" s="81"/>
      <c r="DK27" s="85" t="n">
        <v>25</v>
      </c>
      <c r="DL27" s="85" t="s">
        <v>7</v>
      </c>
      <c r="DM27" s="86" t="n">
        <v>3244.36143333333</v>
      </c>
      <c r="DN27" s="58" t="n">
        <v>2470.5</v>
      </c>
      <c r="DO27" s="93" t="n">
        <f aca="false">DN27/DM27</f>
        <v>0.761474962258367</v>
      </c>
      <c r="DP27" s="81"/>
      <c r="DQ27" s="85" t="n">
        <v>25</v>
      </c>
      <c r="DR27" s="85" t="s">
        <v>11</v>
      </c>
      <c r="DS27" s="86" t="n">
        <v>2817.0883125</v>
      </c>
      <c r="DT27" s="58" t="n">
        <v>2337.5</v>
      </c>
      <c r="DU27" s="93" t="n">
        <f aca="false">DT27/DS27</f>
        <v>0.829757444815639</v>
      </c>
      <c r="DV27" s="81"/>
      <c r="DW27" s="85" t="n">
        <v>25</v>
      </c>
      <c r="DX27" s="85" t="s">
        <v>18</v>
      </c>
      <c r="DY27" s="86" t="n">
        <v>2896.25827826088</v>
      </c>
      <c r="DZ27" s="58" t="n">
        <v>3022.25</v>
      </c>
      <c r="EA27" s="93" t="n">
        <f aca="false">DZ27/DY27</f>
        <v>1.04350154911418</v>
      </c>
      <c r="EB27" s="81"/>
      <c r="EC27" s="85" t="n">
        <v>25</v>
      </c>
      <c r="ED27" s="85" t="s">
        <v>7</v>
      </c>
      <c r="EE27" s="86" t="n">
        <v>3820.83230769231</v>
      </c>
      <c r="EF27" s="58" t="n">
        <v>1349.75</v>
      </c>
      <c r="EG27" s="93" t="n">
        <f aca="false">EF27/EE27</f>
        <v>0.353260727324413</v>
      </c>
      <c r="EH27" s="100"/>
      <c r="EI27" s="85" t="n">
        <v>25</v>
      </c>
      <c r="EJ27" s="85" t="s">
        <v>13</v>
      </c>
      <c r="EK27" s="86" t="n">
        <v>4193.88859615385</v>
      </c>
      <c r="EL27" s="58" t="n">
        <v>6062.25</v>
      </c>
      <c r="EM27" s="93" t="n">
        <f aca="false">EL27/EK27</f>
        <v>1.44549619309383</v>
      </c>
      <c r="EN27" s="81"/>
      <c r="EO27" s="85" t="n">
        <v>25</v>
      </c>
      <c r="EP27" s="85" t="s">
        <v>20</v>
      </c>
      <c r="EQ27" s="86" t="n">
        <v>3824.392</v>
      </c>
      <c r="ER27" s="58" t="n">
        <v>3972.76</v>
      </c>
      <c r="ES27" s="93" t="n">
        <f aca="false">ER27/EQ27</f>
        <v>1.03879518626752</v>
      </c>
      <c r="ET27" s="81"/>
      <c r="EU27" s="85" t="n">
        <v>25</v>
      </c>
      <c r="EV27" s="85" t="s">
        <v>20</v>
      </c>
      <c r="EW27" s="86" t="n">
        <v>3947.55533333333</v>
      </c>
      <c r="EX27" s="58" t="n">
        <v>2303.25</v>
      </c>
      <c r="EY27" s="93" t="n">
        <f aca="false">EX27/EW27</f>
        <v>0.583462372408375</v>
      </c>
      <c r="FA27" s="85" t="n">
        <v>25</v>
      </c>
      <c r="FB27" s="85" t="s">
        <v>11</v>
      </c>
      <c r="FC27" s="86" t="n">
        <v>4211.02930769231</v>
      </c>
      <c r="FD27" s="58" t="n">
        <v>3375.5</v>
      </c>
      <c r="FE27" s="93" t="n">
        <f aca="false">FD27/FC27</f>
        <v>0.801585492134656</v>
      </c>
      <c r="FG27" s="85" t="n">
        <v>25</v>
      </c>
      <c r="FH27" s="85" t="s">
        <v>17</v>
      </c>
      <c r="FI27" s="86" t="n">
        <v>5046.12053846154</v>
      </c>
      <c r="FJ27" s="58" t="n">
        <v>4526</v>
      </c>
      <c r="FK27" s="93" t="n">
        <f aca="false">FJ27/FI27</f>
        <v>0.896926651970126</v>
      </c>
      <c r="FL27" s="100"/>
      <c r="FM27" s="85" t="n">
        <v>25</v>
      </c>
      <c r="FN27" s="85" t="s">
        <v>7</v>
      </c>
      <c r="FO27" s="86" t="n">
        <v>3456.04072</v>
      </c>
      <c r="FP27" s="58" t="n">
        <v>2021.76</v>
      </c>
      <c r="FQ27" s="93" t="n">
        <f aca="false">FP27/FO27</f>
        <v>0.584993107372878</v>
      </c>
      <c r="FS27" s="85" t="n">
        <v>25</v>
      </c>
      <c r="FT27" s="85" t="s">
        <v>11</v>
      </c>
      <c r="FU27" s="86" t="n">
        <v>3432.83980769231</v>
      </c>
      <c r="FV27" s="58" t="n">
        <v>1866.5</v>
      </c>
      <c r="FW27" s="93" t="n">
        <f aca="false">FV27/FU27</f>
        <v>0.54371893375786</v>
      </c>
      <c r="FY27" s="85" t="n">
        <v>25</v>
      </c>
      <c r="FZ27" s="85" t="s">
        <v>18</v>
      </c>
      <c r="GA27" s="86" t="n">
        <v>2733.30451923077</v>
      </c>
      <c r="GB27" s="58" t="n">
        <v>1707.51</v>
      </c>
      <c r="GC27" s="93" t="n">
        <f aca="false">GB27/GA27</f>
        <v>0.624705365972373</v>
      </c>
      <c r="GE27" s="7" t="n">
        <v>25</v>
      </c>
      <c r="GF27" s="7" t="s">
        <v>9</v>
      </c>
      <c r="GG27" s="3" t="n">
        <v>3151.42417307692</v>
      </c>
      <c r="GH27" s="10" t="n">
        <v>2439</v>
      </c>
      <c r="GI27" s="93" t="n">
        <f aca="false">GH27/GG27</f>
        <v>0.773935803639743</v>
      </c>
      <c r="GK27" s="7" t="n">
        <v>25</v>
      </c>
      <c r="GL27" s="7" t="s">
        <v>13</v>
      </c>
      <c r="GM27" s="3" t="n">
        <v>4334.40196296296</v>
      </c>
      <c r="GN27" s="10" t="n">
        <v>4417.25</v>
      </c>
      <c r="GO27" s="93" t="n">
        <f aca="false">GN27/GM27</f>
        <v>1.01911406411887</v>
      </c>
      <c r="GQ27" s="7" t="n">
        <v>25</v>
      </c>
      <c r="GR27" s="7" t="s">
        <v>20</v>
      </c>
      <c r="GS27" s="3" t="n">
        <v>2882.27175961539</v>
      </c>
      <c r="GT27" s="10" t="n">
        <v>1636</v>
      </c>
      <c r="GU27" s="93" t="n">
        <f aca="false">GT27/GS27</f>
        <v>0.567607823426861</v>
      </c>
      <c r="GW27" s="7" t="n">
        <v>25</v>
      </c>
      <c r="GX27" s="7" t="s">
        <v>9</v>
      </c>
      <c r="GY27" s="3" t="n">
        <v>3129.20941666667</v>
      </c>
      <c r="GZ27" s="10" t="n">
        <v>941.02</v>
      </c>
      <c r="HA27" s="93" t="n">
        <f aca="false">GZ27/GY27</f>
        <v>0.30072132436646</v>
      </c>
      <c r="HC27" s="7" t="n">
        <v>25</v>
      </c>
      <c r="HD27" s="7" t="s">
        <v>17</v>
      </c>
      <c r="HE27" s="3" t="n">
        <v>4064.60462</v>
      </c>
      <c r="HF27" s="8" t="n">
        <v>5614.5</v>
      </c>
      <c r="HG27" s="93" t="n">
        <f aca="false">HF27/HE27</f>
        <v>1.38131516467154</v>
      </c>
      <c r="HI27" s="7" t="n">
        <v>25</v>
      </c>
      <c r="HJ27" s="7" t="s">
        <v>7</v>
      </c>
      <c r="HK27" s="3" t="n">
        <v>3123.952</v>
      </c>
      <c r="HL27" s="8" t="n">
        <v>2723.5</v>
      </c>
      <c r="HM27" s="93" t="n">
        <f aca="false">HL27/HK27</f>
        <v>0.871812370996738</v>
      </c>
      <c r="HO27" s="7" t="n">
        <v>25</v>
      </c>
      <c r="HP27" s="7" t="s">
        <v>7</v>
      </c>
      <c r="HQ27" s="3" t="n">
        <v>3000.2225</v>
      </c>
      <c r="HR27" s="8" t="n">
        <v>2330.5</v>
      </c>
      <c r="HS27" s="93" t="n">
        <f aca="false">HR27/HQ27</f>
        <v>0.77677572246725</v>
      </c>
      <c r="HU27" s="7" t="n">
        <v>25</v>
      </c>
      <c r="HV27" s="7" t="s">
        <v>13</v>
      </c>
      <c r="HW27" s="3" t="n">
        <v>4705.97004166667</v>
      </c>
      <c r="HX27" s="8" t="n">
        <v>2959.51</v>
      </c>
      <c r="HY27" s="93" t="n">
        <f aca="false">HX27/HW27</f>
        <v>0.628884156464341</v>
      </c>
      <c r="HZ27" s="100"/>
      <c r="IA27" s="7" t="n">
        <v>25</v>
      </c>
      <c r="IB27" s="7" t="s">
        <v>18</v>
      </c>
      <c r="IC27" s="3" t="n">
        <v>2465.12093333333</v>
      </c>
      <c r="ID27" s="36" t="n">
        <v>3036.5</v>
      </c>
      <c r="IE27" s="93" t="n">
        <f aca="false">ID27/IC27</f>
        <v>1.23178541017623</v>
      </c>
      <c r="IG27" s="7" t="n">
        <v>25</v>
      </c>
      <c r="IH27" s="7" t="s">
        <v>9</v>
      </c>
      <c r="II27" s="3" t="n">
        <v>2625.013875</v>
      </c>
      <c r="IJ27" s="36" t="n">
        <v>2487</v>
      </c>
      <c r="IK27" s="93" t="n">
        <f aca="false">IJ27/II27</f>
        <v>0.947423563618306</v>
      </c>
    </row>
    <row r="28" customFormat="false" ht="15.75" hidden="false" customHeight="true" outlineLevel="0" collapsed="false">
      <c r="A28" s="85" t="n">
        <v>26</v>
      </c>
      <c r="B28" s="85" t="s">
        <v>17</v>
      </c>
      <c r="C28" s="90" t="n">
        <v>3500</v>
      </c>
      <c r="D28" s="58" t="n">
        <v>4736</v>
      </c>
      <c r="E28" s="91" t="n">
        <f aca="false">D28/C28</f>
        <v>1.35314285714286</v>
      </c>
      <c r="F28" s="81"/>
      <c r="G28" s="85" t="n">
        <v>26</v>
      </c>
      <c r="H28" s="85" t="s">
        <v>17</v>
      </c>
      <c r="I28" s="92" t="n">
        <v>4734.9025</v>
      </c>
      <c r="J28" s="86" t="n">
        <v>2552.5</v>
      </c>
      <c r="K28" s="93" t="n">
        <f aca="false">J28/I28</f>
        <v>0.539081850154253</v>
      </c>
      <c r="L28" s="81"/>
      <c r="M28" s="85" t="n">
        <v>26</v>
      </c>
      <c r="N28" s="85" t="s">
        <v>7</v>
      </c>
      <c r="O28" s="86" t="n">
        <v>3505.10506666667</v>
      </c>
      <c r="P28" s="86" t="n">
        <v>2691</v>
      </c>
      <c r="Q28" s="93" t="n">
        <f aca="false">P28/O28</f>
        <v>0.767737328501574</v>
      </c>
      <c r="R28" s="81"/>
      <c r="S28" s="85" t="n">
        <v>26</v>
      </c>
      <c r="T28" s="85" t="s">
        <v>11</v>
      </c>
      <c r="U28" s="58" t="n">
        <v>4033.78076923077</v>
      </c>
      <c r="V28" s="58" t="n">
        <v>2192.5</v>
      </c>
      <c r="W28" s="93" t="n">
        <f aca="false">V28/U28</f>
        <v>0.543534744556309</v>
      </c>
      <c r="X28" s="81"/>
      <c r="Y28" s="101" t="n">
        <v>26</v>
      </c>
      <c r="Z28" s="85" t="s">
        <v>18</v>
      </c>
      <c r="AA28" s="95" t="n">
        <v>2557.5375</v>
      </c>
      <c r="AB28" s="58" t="n">
        <v>2713.5</v>
      </c>
      <c r="AC28" s="93" t="n">
        <f aca="false">AB28/AA28</f>
        <v>1.06098151053504</v>
      </c>
      <c r="AD28" s="81"/>
      <c r="AE28" s="101" t="n">
        <v>26</v>
      </c>
      <c r="AF28" s="85" t="s">
        <v>7</v>
      </c>
      <c r="AG28" s="95" t="n">
        <v>3100.40545238095</v>
      </c>
      <c r="AH28" s="58" t="n">
        <v>5435</v>
      </c>
      <c r="AI28" s="93" t="n">
        <f aca="false">AH28/AG28</f>
        <v>1.75299653012357</v>
      </c>
      <c r="AJ28" s="81"/>
      <c r="AK28" s="101" t="n">
        <v>26</v>
      </c>
      <c r="AL28" s="85" t="s">
        <v>13</v>
      </c>
      <c r="AM28" s="58" t="n">
        <v>4370.5494</v>
      </c>
      <c r="AN28" s="58" t="n">
        <v>4555.02</v>
      </c>
      <c r="AO28" s="93" t="n">
        <f aca="false">AN28/AM28</f>
        <v>1.04220764556511</v>
      </c>
      <c r="AP28" s="81"/>
      <c r="AQ28" s="85" t="n">
        <v>26</v>
      </c>
      <c r="AR28" s="85" t="s">
        <v>20</v>
      </c>
      <c r="AS28" s="58" t="n">
        <v>3489.23480769231</v>
      </c>
      <c r="AT28" s="58" t="n">
        <v>3361.5</v>
      </c>
      <c r="AU28" s="93" t="n">
        <f aca="false">AT28/AS28</f>
        <v>0.963391742106118</v>
      </c>
      <c r="AV28" s="81"/>
      <c r="AW28" s="85" t="n">
        <v>26</v>
      </c>
      <c r="AX28" s="85" t="s">
        <v>9</v>
      </c>
      <c r="AY28" s="58" t="n">
        <v>3535.0242</v>
      </c>
      <c r="AZ28" s="58" t="n">
        <v>2615</v>
      </c>
      <c r="BA28" s="93" t="n">
        <f aca="false">AZ28/AY28</f>
        <v>0.739740338977029</v>
      </c>
      <c r="BB28" s="81"/>
      <c r="BC28" s="85" t="n">
        <v>26</v>
      </c>
      <c r="BD28" s="85" t="s">
        <v>17</v>
      </c>
      <c r="BE28" s="58" t="n">
        <v>5140.16838461539</v>
      </c>
      <c r="BF28" s="58" t="n">
        <v>4474</v>
      </c>
      <c r="BG28" s="93" t="n">
        <f aca="false">BF28/BE28</f>
        <v>0.870399501578734</v>
      </c>
      <c r="BH28" s="81"/>
      <c r="BI28" s="85" t="n">
        <v>26</v>
      </c>
      <c r="BJ28" s="85" t="s">
        <v>20</v>
      </c>
      <c r="BK28" s="58" t="n">
        <v>3435.89447727273</v>
      </c>
      <c r="BL28" s="58" t="n">
        <v>3151.51</v>
      </c>
      <c r="BM28" s="93" t="n">
        <f aca="false">BL28/BK28</f>
        <v>0.917231312208848</v>
      </c>
      <c r="BN28" s="81"/>
      <c r="BO28" s="85" t="n">
        <v>26</v>
      </c>
      <c r="BP28" s="85" t="s">
        <v>11</v>
      </c>
      <c r="BQ28" s="58" t="n">
        <v>4029.96582692308</v>
      </c>
      <c r="BR28" s="58" t="n">
        <v>5060.5</v>
      </c>
      <c r="BS28" s="93" t="n">
        <f aca="false">BR28/BQ28</f>
        <v>1.25571784410483</v>
      </c>
      <c r="BT28" s="81"/>
      <c r="BU28" s="85" t="n">
        <v>26</v>
      </c>
      <c r="BV28" s="85" t="s">
        <v>18</v>
      </c>
      <c r="BW28" s="58" t="n">
        <v>3222.12748846154</v>
      </c>
      <c r="BX28" s="58" t="n">
        <v>5501.53</v>
      </c>
      <c r="BY28" s="93" t="n">
        <f aca="false">BX28/BW28</f>
        <v>1.70742157773118</v>
      </c>
      <c r="BZ28" s="81"/>
      <c r="CA28" s="85" t="n">
        <v>26</v>
      </c>
      <c r="CB28" s="85" t="s">
        <v>20</v>
      </c>
      <c r="CC28" s="58" t="n">
        <v>3607.60614423077</v>
      </c>
      <c r="CD28" s="58" t="n">
        <v>3560.5</v>
      </c>
      <c r="CE28" s="93" t="n">
        <f aca="false">CD28/CC28</f>
        <v>0.98694254795355</v>
      </c>
      <c r="CF28" s="81"/>
      <c r="CG28" s="85" t="n">
        <v>26</v>
      </c>
      <c r="CH28" s="85" t="s">
        <v>11</v>
      </c>
      <c r="CI28" s="86" t="n">
        <v>4618.74731971154</v>
      </c>
      <c r="CJ28" s="58" t="n">
        <v>3727.06</v>
      </c>
      <c r="CK28" s="93" t="n">
        <f aca="false">CJ28/CI28</f>
        <v>0.806941740262329</v>
      </c>
      <c r="CL28" s="81"/>
      <c r="CM28" s="85" t="n">
        <v>26</v>
      </c>
      <c r="CN28" s="85" t="s">
        <v>17</v>
      </c>
      <c r="CO28" s="86" t="n">
        <v>6423.77193333333</v>
      </c>
      <c r="CP28" s="60" t="n">
        <v>2337.51</v>
      </c>
      <c r="CQ28" s="93" t="n">
        <f aca="false">CP28/CO28</f>
        <v>0.363884338401014</v>
      </c>
      <c r="CR28" s="81"/>
      <c r="CS28" s="85" t="n">
        <v>26</v>
      </c>
      <c r="CT28" s="85" t="s">
        <v>7</v>
      </c>
      <c r="CU28" s="86" t="n">
        <v>3423.9315</v>
      </c>
      <c r="CV28" s="58" t="n">
        <v>3091.06</v>
      </c>
      <c r="CW28" s="93" t="n">
        <f aca="false">CV28/CU28</f>
        <v>0.90278091135877</v>
      </c>
      <c r="CX28" s="81"/>
      <c r="CY28" s="85" t="n">
        <v>26</v>
      </c>
      <c r="CZ28" s="85" t="s">
        <v>11</v>
      </c>
      <c r="DA28" s="86" t="n">
        <v>3831.45896875</v>
      </c>
      <c r="DB28" s="58" t="n">
        <v>2198.1</v>
      </c>
      <c r="DC28" s="93" t="n">
        <f aca="false">DB28/DA28</f>
        <v>0.573697909315501</v>
      </c>
      <c r="DD28" s="81"/>
      <c r="DE28" s="85" t="n">
        <v>26</v>
      </c>
      <c r="DF28" s="85" t="s">
        <v>18</v>
      </c>
      <c r="DG28" s="86" t="n">
        <v>2899.715</v>
      </c>
      <c r="DH28" s="58" t="n">
        <v>2664.13</v>
      </c>
      <c r="DI28" s="93" t="n">
        <f aca="false">DH28/DG28</f>
        <v>0.918755808760516</v>
      </c>
      <c r="DJ28" s="81"/>
      <c r="DK28" s="85" t="n">
        <v>26</v>
      </c>
      <c r="DL28" s="85" t="s">
        <v>9</v>
      </c>
      <c r="DM28" s="86" t="n">
        <v>3168.16775</v>
      </c>
      <c r="DN28" s="58" t="n">
        <v>2039.5</v>
      </c>
      <c r="DO28" s="93" t="n">
        <f aca="false">DN28/DM28</f>
        <v>0.643747478333494</v>
      </c>
      <c r="DP28" s="81"/>
      <c r="DQ28" s="85" t="n">
        <v>26</v>
      </c>
      <c r="DR28" s="85" t="s">
        <v>13</v>
      </c>
      <c r="DS28" s="86" t="n">
        <v>3631.1611875</v>
      </c>
      <c r="DT28" s="58" t="n">
        <v>3618.5</v>
      </c>
      <c r="DU28" s="93" t="n">
        <f aca="false">DT28/DS28</f>
        <v>0.996513184943818</v>
      </c>
      <c r="DV28" s="81"/>
      <c r="DW28" s="85" t="n">
        <v>26</v>
      </c>
      <c r="DX28" s="85" t="s">
        <v>20</v>
      </c>
      <c r="DY28" s="102" t="n">
        <v>3657.8939775</v>
      </c>
      <c r="DZ28" s="58" t="n">
        <v>2917.27</v>
      </c>
      <c r="EA28" s="93" t="n">
        <f aca="false">DZ28/DY28</f>
        <v>0.79752721591833</v>
      </c>
      <c r="EB28" s="81"/>
      <c r="EC28" s="85" t="n">
        <v>26</v>
      </c>
      <c r="ED28" s="85" t="s">
        <v>9</v>
      </c>
      <c r="EE28" s="102" t="n">
        <v>3738.57553846154</v>
      </c>
      <c r="EF28" s="58" t="n">
        <v>2033.5</v>
      </c>
      <c r="EG28" s="93" t="n">
        <f aca="false">EF28/EE28</f>
        <v>0.543923742901502</v>
      </c>
      <c r="EH28" s="100"/>
      <c r="EI28" s="85" t="n">
        <v>26</v>
      </c>
      <c r="EJ28" s="85" t="s">
        <v>17</v>
      </c>
      <c r="EK28" s="102" t="n">
        <v>3751.09713461538</v>
      </c>
      <c r="EL28" s="58" t="n">
        <v>5242.77</v>
      </c>
      <c r="EM28" s="93" t="n">
        <f aca="false">EL28/EK28</f>
        <v>1.39766308678583</v>
      </c>
      <c r="EN28" s="81"/>
      <c r="EO28" s="85" t="n">
        <v>26</v>
      </c>
      <c r="EP28" s="85" t="s">
        <v>7</v>
      </c>
      <c r="EQ28" s="102" t="n">
        <v>3598.85944</v>
      </c>
      <c r="ER28" s="58" t="n">
        <v>3786.25</v>
      </c>
      <c r="ES28" s="93" t="n">
        <f aca="false">ER28/EQ28</f>
        <v>1.05206943008588</v>
      </c>
      <c r="ET28" s="81"/>
      <c r="EU28" s="85" t="n">
        <v>26</v>
      </c>
      <c r="EV28" s="85" t="s">
        <v>7</v>
      </c>
      <c r="EW28" s="102" t="n">
        <v>3815.68264</v>
      </c>
      <c r="EX28" s="58" t="n">
        <v>3328.25</v>
      </c>
      <c r="EY28" s="93" t="n">
        <f aca="false">EX28/EW28</f>
        <v>0.872255455710541</v>
      </c>
      <c r="FA28" s="85" t="n">
        <v>26</v>
      </c>
      <c r="FB28" s="85" t="s">
        <v>13</v>
      </c>
      <c r="FC28" s="102" t="n">
        <v>5462.33303846154</v>
      </c>
      <c r="FD28" s="58" t="n">
        <v>4911</v>
      </c>
      <c r="FE28" s="93" t="n">
        <f aca="false">FD28/FC28</f>
        <v>0.899066381602975</v>
      </c>
      <c r="FG28" s="85" t="n">
        <v>26</v>
      </c>
      <c r="FH28" s="85" t="s">
        <v>18</v>
      </c>
      <c r="FI28" s="102" t="n">
        <v>3488.60176923077</v>
      </c>
      <c r="FJ28" s="58" t="n">
        <v>2601.76</v>
      </c>
      <c r="FK28" s="93" t="n">
        <f aca="false">FJ28/FI28</f>
        <v>0.745788763552018</v>
      </c>
      <c r="FL28" s="100"/>
      <c r="FM28" s="85" t="n">
        <v>26</v>
      </c>
      <c r="FN28" s="85" t="s">
        <v>9</v>
      </c>
      <c r="FO28" s="102" t="n">
        <v>3327.21696153846</v>
      </c>
      <c r="FP28" s="58" t="n">
        <v>1648.5</v>
      </c>
      <c r="FQ28" s="93" t="n">
        <f aca="false">FP28/FO28</f>
        <v>0.495459123662845</v>
      </c>
      <c r="FS28" s="85" t="n">
        <v>26</v>
      </c>
      <c r="FT28" s="85" t="s">
        <v>13</v>
      </c>
      <c r="FU28" s="102" t="n">
        <v>4957.44530769231</v>
      </c>
      <c r="FV28" s="58" t="n">
        <v>2461.5</v>
      </c>
      <c r="FW28" s="93" t="n">
        <f aca="false">FV28/FU28</f>
        <v>0.496525901391301</v>
      </c>
      <c r="FY28" s="85" t="n">
        <v>26</v>
      </c>
      <c r="FZ28" s="85" t="s">
        <v>20</v>
      </c>
      <c r="GA28" s="102" t="n">
        <v>2712.61778846154</v>
      </c>
      <c r="GB28" s="58" t="n">
        <v>2295</v>
      </c>
      <c r="GC28" s="93" t="n">
        <f aca="false">GB28/GA28</f>
        <v>0.846046210329398</v>
      </c>
      <c r="GE28" s="7" t="n">
        <v>26</v>
      </c>
      <c r="GF28" s="7" t="s">
        <v>11</v>
      </c>
      <c r="GG28" s="32" t="n">
        <v>3011.91634615385</v>
      </c>
      <c r="GH28" s="10" t="n">
        <v>2878.92</v>
      </c>
      <c r="GI28" s="93" t="n">
        <f aca="false">GH28/GG28</f>
        <v>0.955843280201429</v>
      </c>
      <c r="GK28" s="7" t="n">
        <v>26</v>
      </c>
      <c r="GL28" s="7" t="s">
        <v>17</v>
      </c>
      <c r="GM28" s="3" t="n">
        <v>3846.46377777778</v>
      </c>
      <c r="GN28" s="10" t="n">
        <v>2996.41</v>
      </c>
      <c r="GO28" s="93" t="n">
        <f aca="false">GN28/GM28</f>
        <v>0.779003826140569</v>
      </c>
      <c r="GQ28" s="7" t="n">
        <v>26</v>
      </c>
      <c r="GR28" s="7" t="s">
        <v>7</v>
      </c>
      <c r="GS28" s="3" t="n">
        <v>3563.13087403846</v>
      </c>
      <c r="GT28" s="10" t="n">
        <v>2386</v>
      </c>
      <c r="GU28" s="93" t="n">
        <f aca="false">GT28/GS28</f>
        <v>0.669635801868737</v>
      </c>
      <c r="GW28" s="7" t="n">
        <v>26</v>
      </c>
      <c r="GX28" s="7" t="s">
        <v>11</v>
      </c>
      <c r="GY28" s="3" t="n">
        <v>2824.96158333333</v>
      </c>
      <c r="GZ28" s="10" t="n">
        <v>1994.01</v>
      </c>
      <c r="HA28" s="93" t="n">
        <f aca="false">GZ28/GY28</f>
        <v>0.705853846567059</v>
      </c>
      <c r="HC28" s="7" t="n">
        <v>26</v>
      </c>
      <c r="HD28" s="7" t="s">
        <v>18</v>
      </c>
      <c r="HE28" s="3" t="n">
        <v>2356.85408333333</v>
      </c>
      <c r="HF28" s="8" t="n">
        <v>1805</v>
      </c>
      <c r="HG28" s="93" t="n">
        <f aca="false">HF28/HE28</f>
        <v>0.765851400289985</v>
      </c>
      <c r="HI28" s="7" t="n">
        <v>26</v>
      </c>
      <c r="HJ28" s="7" t="s">
        <v>9</v>
      </c>
      <c r="HK28" s="3" t="n">
        <v>3353.44953846154</v>
      </c>
      <c r="HL28" s="8" t="n">
        <v>2439.5</v>
      </c>
      <c r="HM28" s="93" t="n">
        <f aca="false">HL28/HK28</f>
        <v>0.727459880347318</v>
      </c>
      <c r="HO28" s="7" t="n">
        <v>26</v>
      </c>
      <c r="HP28" s="7" t="s">
        <v>9</v>
      </c>
      <c r="HQ28" s="3" t="n">
        <v>3049.44030769231</v>
      </c>
      <c r="HR28" s="8" t="n">
        <v>1821.5</v>
      </c>
      <c r="HS28" s="93" t="n">
        <f aca="false">HR28/HQ28</f>
        <v>0.597322726864077</v>
      </c>
      <c r="HU28" s="7" t="n">
        <v>26</v>
      </c>
      <c r="HV28" s="7" t="s">
        <v>17</v>
      </c>
      <c r="HW28" s="3" t="n">
        <v>4690.85558333333</v>
      </c>
      <c r="HX28" s="8" t="n">
        <v>3206</v>
      </c>
      <c r="HY28" s="93" t="n">
        <f aca="false">HX28/HW28</f>
        <v>0.683457408365109</v>
      </c>
      <c r="HZ28" s="100"/>
      <c r="IA28" s="7" t="n">
        <v>26</v>
      </c>
      <c r="IB28" s="7" t="s">
        <v>20</v>
      </c>
      <c r="IC28" s="3" t="n">
        <v>2649.56393333333</v>
      </c>
      <c r="ID28" s="8" t="n">
        <v>1590.5</v>
      </c>
      <c r="IE28" s="93" t="n">
        <f aca="false">ID28/IC28</f>
        <v>0.600287458623065</v>
      </c>
      <c r="IG28" s="7" t="n">
        <v>26</v>
      </c>
      <c r="IH28" s="7" t="s">
        <v>11</v>
      </c>
      <c r="II28" s="3" t="n">
        <v>2871.523875</v>
      </c>
      <c r="IJ28" s="8" t="n">
        <v>2805</v>
      </c>
      <c r="IK28" s="93" t="n">
        <f aca="false">IJ28/II28</f>
        <v>0.976833250254623</v>
      </c>
    </row>
    <row r="29" customFormat="false" ht="15.75" hidden="false" customHeight="true" outlineLevel="0" collapsed="false">
      <c r="A29" s="85" t="n">
        <v>27</v>
      </c>
      <c r="B29" s="85" t="s">
        <v>18</v>
      </c>
      <c r="C29" s="90" t="n">
        <v>1800</v>
      </c>
      <c r="D29" s="58" t="n">
        <v>2425.5</v>
      </c>
      <c r="E29" s="91" t="n">
        <f aca="false">D29/C29</f>
        <v>1.3475</v>
      </c>
      <c r="F29" s="81"/>
      <c r="G29" s="85" t="n">
        <v>27</v>
      </c>
      <c r="H29" s="85" t="s">
        <v>18</v>
      </c>
      <c r="I29" s="92" t="n">
        <v>3140.65</v>
      </c>
      <c r="J29" s="86" t="n">
        <v>2552.5</v>
      </c>
      <c r="K29" s="93" t="n">
        <f aca="false">J29/I29</f>
        <v>0.812729848916625</v>
      </c>
      <c r="L29" s="81"/>
      <c r="M29" s="85" t="n">
        <v>27</v>
      </c>
      <c r="N29" s="85" t="s">
        <v>9</v>
      </c>
      <c r="O29" s="86" t="n">
        <v>2738.74755555556</v>
      </c>
      <c r="P29" s="86" t="n">
        <v>2403.5</v>
      </c>
      <c r="Q29" s="93" t="n">
        <f aca="false">P29/O29</f>
        <v>0.877590924773074</v>
      </c>
      <c r="R29" s="81"/>
      <c r="S29" s="85" t="n">
        <v>27</v>
      </c>
      <c r="T29" s="85" t="s">
        <v>13</v>
      </c>
      <c r="U29" s="58" t="n">
        <v>4690.08846153846</v>
      </c>
      <c r="V29" s="58" t="n">
        <v>4254.5</v>
      </c>
      <c r="W29" s="93" t="n">
        <f aca="false">V29/U29</f>
        <v>0.907125747177149</v>
      </c>
      <c r="X29" s="81"/>
      <c r="Y29" s="101" t="n">
        <v>27</v>
      </c>
      <c r="Z29" s="85" t="s">
        <v>20</v>
      </c>
      <c r="AA29" s="95" t="n">
        <v>3393.50875</v>
      </c>
      <c r="AB29" s="58" t="n">
        <v>3506</v>
      </c>
      <c r="AC29" s="93" t="n">
        <f aca="false">AB29/AA29</f>
        <v>1.0331489494465</v>
      </c>
      <c r="AD29" s="81"/>
      <c r="AE29" s="101" t="n">
        <v>27</v>
      </c>
      <c r="AF29" s="85" t="s">
        <v>9</v>
      </c>
      <c r="AG29" s="95" t="n">
        <v>2743.68354782609</v>
      </c>
      <c r="AH29" s="58" t="n">
        <v>4686</v>
      </c>
      <c r="AI29" s="93" t="n">
        <f aca="false">AH29/AG29</f>
        <v>1.70792291396465</v>
      </c>
      <c r="AJ29" s="81"/>
      <c r="AK29" s="101" t="n">
        <v>27</v>
      </c>
      <c r="AL29" s="85" t="s">
        <v>17</v>
      </c>
      <c r="AM29" s="58" t="n">
        <v>4138.3610625</v>
      </c>
      <c r="AN29" s="58" t="n">
        <v>4701.5</v>
      </c>
      <c r="AO29" s="93" t="n">
        <f aca="false">AN29/AM29</f>
        <v>1.13607776822639</v>
      </c>
      <c r="AP29" s="81"/>
      <c r="AQ29" s="85" t="n">
        <v>27</v>
      </c>
      <c r="AR29" s="85" t="s">
        <v>7</v>
      </c>
      <c r="AS29" s="58" t="n">
        <v>3715.95565384615</v>
      </c>
      <c r="AT29" s="58" t="n">
        <v>3391</v>
      </c>
      <c r="AU29" s="93" t="n">
        <f aca="false">AT29/AS29</f>
        <v>0.912551256226696</v>
      </c>
      <c r="AV29" s="81"/>
      <c r="AW29" s="85" t="n">
        <v>27</v>
      </c>
      <c r="AX29" s="85" t="s">
        <v>11</v>
      </c>
      <c r="AY29" s="58" t="n">
        <v>3996.56007692308</v>
      </c>
      <c r="AZ29" s="58" t="n">
        <v>2452</v>
      </c>
      <c r="BA29" s="93" t="n">
        <f aca="false">AZ29/AY29</f>
        <v>0.613527621956274</v>
      </c>
      <c r="BB29" s="81"/>
      <c r="BC29" s="85" t="n">
        <v>27</v>
      </c>
      <c r="BD29" s="85" t="s">
        <v>18</v>
      </c>
      <c r="BE29" s="58" t="n">
        <v>2913.27507692308</v>
      </c>
      <c r="BF29" s="58" t="n">
        <v>2362.5</v>
      </c>
      <c r="BG29" s="93" t="n">
        <f aca="false">BF29/BE29</f>
        <v>0.810942989460235</v>
      </c>
      <c r="BH29" s="81"/>
      <c r="BI29" s="85" t="n">
        <v>27</v>
      </c>
      <c r="BJ29" s="85" t="s">
        <v>7</v>
      </c>
      <c r="BK29" s="58" t="n">
        <v>3839.49681818182</v>
      </c>
      <c r="BL29" s="58" t="n">
        <v>3852.5</v>
      </c>
      <c r="BM29" s="93" t="n">
        <f aca="false">BL29/BK29</f>
        <v>1.00338668904649</v>
      </c>
      <c r="BN29" s="81"/>
      <c r="BO29" s="85" t="n">
        <v>27</v>
      </c>
      <c r="BP29" s="85" t="s">
        <v>13</v>
      </c>
      <c r="BQ29" s="58" t="n">
        <v>5199.17766666667</v>
      </c>
      <c r="BR29" s="58" t="n">
        <v>7409.01</v>
      </c>
      <c r="BS29" s="93" t="n">
        <f aca="false">BR29/BQ29</f>
        <v>1.42503497187664</v>
      </c>
      <c r="BT29" s="81"/>
      <c r="BU29" s="85" t="n">
        <v>27</v>
      </c>
      <c r="BV29" s="85" t="s">
        <v>20</v>
      </c>
      <c r="BW29" s="58" t="n">
        <v>3554.17122980769</v>
      </c>
      <c r="BX29" s="58" t="n">
        <v>6711.53</v>
      </c>
      <c r="BY29" s="93" t="n">
        <f aca="false">BX29/BW29</f>
        <v>1.88835302692019</v>
      </c>
      <c r="BZ29" s="81"/>
      <c r="CA29" s="85" t="n">
        <v>27</v>
      </c>
      <c r="CB29" s="85" t="s">
        <v>7</v>
      </c>
      <c r="CC29" s="58" t="n">
        <v>3949.32755769231</v>
      </c>
      <c r="CD29" s="58" t="n">
        <v>3606.51</v>
      </c>
      <c r="CE29" s="93" t="n">
        <f aca="false">CD29/CC29</f>
        <v>0.913195967494622</v>
      </c>
      <c r="CF29" s="81"/>
      <c r="CG29" s="85" t="n">
        <v>27</v>
      </c>
      <c r="CH29" s="85" t="s">
        <v>13</v>
      </c>
      <c r="CI29" s="86" t="n">
        <v>6207.68088028846</v>
      </c>
      <c r="CJ29" s="58" t="n">
        <v>5224.52</v>
      </c>
      <c r="CK29" s="93" t="n">
        <f aca="false">CJ29/CI29</f>
        <v>0.841621871476941</v>
      </c>
      <c r="CL29" s="81"/>
      <c r="CM29" s="85" t="n">
        <v>27</v>
      </c>
      <c r="CN29" s="85" t="s">
        <v>18</v>
      </c>
      <c r="CO29" s="86" t="n">
        <v>3518.0440625</v>
      </c>
      <c r="CP29" s="67" t="n">
        <v>1731.01</v>
      </c>
      <c r="CQ29" s="93" t="n">
        <f aca="false">CP29/CO29</f>
        <v>0.492037612163932</v>
      </c>
      <c r="CR29" s="81"/>
      <c r="CS29" s="85" t="n">
        <v>27</v>
      </c>
      <c r="CT29" s="85" t="s">
        <v>9</v>
      </c>
      <c r="CU29" s="86" t="n">
        <v>3452.2635</v>
      </c>
      <c r="CV29" s="58" t="n">
        <v>3403.54</v>
      </c>
      <c r="CW29" s="93" t="n">
        <f aca="false">CV29/CU29</f>
        <v>0.985886506056099</v>
      </c>
      <c r="CX29" s="81"/>
      <c r="CY29" s="85" t="n">
        <v>27</v>
      </c>
      <c r="CZ29" s="85" t="s">
        <v>13</v>
      </c>
      <c r="DA29" s="86" t="n">
        <v>5263.61373958333</v>
      </c>
      <c r="DB29" s="58" t="n">
        <v>3770.53</v>
      </c>
      <c r="DC29" s="93" t="n">
        <f aca="false">DB29/DA29</f>
        <v>0.716338657535778</v>
      </c>
      <c r="DD29" s="81"/>
      <c r="DE29" s="85" t="n">
        <v>27</v>
      </c>
      <c r="DF29" s="85" t="s">
        <v>20</v>
      </c>
      <c r="DG29" s="86" t="n">
        <v>3652.4061875</v>
      </c>
      <c r="DH29" s="58" t="n">
        <v>3321.55</v>
      </c>
      <c r="DI29" s="93" t="n">
        <f aca="false">DH29/DG29</f>
        <v>0.9094141860146</v>
      </c>
      <c r="DJ29" s="81"/>
      <c r="DK29" s="85" t="n">
        <v>27</v>
      </c>
      <c r="DL29" s="85" t="s">
        <v>11</v>
      </c>
      <c r="DM29" s="86" t="n">
        <v>3230.885088</v>
      </c>
      <c r="DN29" s="58" t="n">
        <v>2572.02</v>
      </c>
      <c r="DO29" s="93" t="n">
        <f aca="false">DN29/DM29</f>
        <v>0.796072880943019</v>
      </c>
      <c r="DP29" s="81"/>
      <c r="DQ29" s="85" t="n">
        <v>27</v>
      </c>
      <c r="DR29" s="85" t="s">
        <v>17</v>
      </c>
      <c r="DS29" s="86" t="n">
        <v>3162.9469375</v>
      </c>
      <c r="DT29" s="58" t="n">
        <v>4389.5</v>
      </c>
      <c r="DU29" s="93" t="n">
        <f aca="false">DT29/DS29</f>
        <v>1.38778806180968</v>
      </c>
      <c r="DV29" s="81"/>
      <c r="DW29" s="85" t="n">
        <v>27</v>
      </c>
      <c r="DX29" s="85" t="s">
        <v>7</v>
      </c>
      <c r="DY29" s="86" t="n">
        <v>3406.579505</v>
      </c>
      <c r="DZ29" s="58" t="n">
        <v>3455.25</v>
      </c>
      <c r="EA29" s="93" t="n">
        <f aca="false">DZ29/DY29</f>
        <v>1.01428720360953</v>
      </c>
      <c r="EB29" s="81"/>
      <c r="EC29" s="85" t="n">
        <v>27</v>
      </c>
      <c r="ED29" s="85" t="s">
        <v>11</v>
      </c>
      <c r="EE29" s="86" t="n">
        <v>3996.95769230769</v>
      </c>
      <c r="EF29" s="58" t="n">
        <v>1796.75</v>
      </c>
      <c r="EG29" s="93" t="n">
        <f aca="false">EF29/EE29</f>
        <v>0.44952940168917</v>
      </c>
      <c r="EH29" s="100"/>
      <c r="EI29" s="85" t="n">
        <v>27</v>
      </c>
      <c r="EJ29" s="85" t="s">
        <v>18</v>
      </c>
      <c r="EK29" s="86" t="n">
        <v>3161.80644230769</v>
      </c>
      <c r="EL29" s="58" t="n">
        <v>3328</v>
      </c>
      <c r="EM29" s="93" t="n">
        <f aca="false">EL29/EK29</f>
        <v>1.05256284997984</v>
      </c>
      <c r="EN29" s="81"/>
      <c r="EO29" s="85" t="n">
        <v>27</v>
      </c>
      <c r="EP29" s="85" t="s">
        <v>9</v>
      </c>
      <c r="EQ29" s="86" t="n">
        <v>3504.97196296296</v>
      </c>
      <c r="ER29" s="58" t="n">
        <v>2676.76</v>
      </c>
      <c r="ES29" s="93" t="n">
        <f aca="false">ER29/EQ29</f>
        <v>0.763703683876882</v>
      </c>
      <c r="ET29" s="81"/>
      <c r="EU29" s="85" t="n">
        <v>27</v>
      </c>
      <c r="EV29" s="85" t="s">
        <v>9</v>
      </c>
      <c r="EW29" s="86" t="n">
        <v>3699.33934615385</v>
      </c>
      <c r="EX29" s="58" t="n">
        <v>3336.29</v>
      </c>
      <c r="EY29" s="93" t="n">
        <f aca="false">EX29/EW29</f>
        <v>0.90186103188092</v>
      </c>
      <c r="FA29" s="85" t="n">
        <v>27</v>
      </c>
      <c r="FB29" s="85" t="s">
        <v>17</v>
      </c>
      <c r="FC29" s="86" t="n">
        <v>5046.12053846154</v>
      </c>
      <c r="FD29" s="58" t="n">
        <v>2492.02</v>
      </c>
      <c r="FE29" s="93" t="n">
        <f aca="false">FD29/FC29</f>
        <v>0.493848686531727</v>
      </c>
      <c r="FG29" s="85" t="n">
        <v>27</v>
      </c>
      <c r="FH29" s="85" t="s">
        <v>20</v>
      </c>
      <c r="FI29" s="86" t="n">
        <v>3878.677</v>
      </c>
      <c r="FJ29" s="58" t="n">
        <v>2284.83</v>
      </c>
      <c r="FK29" s="93" t="n">
        <f aca="false">FJ29/FI29</f>
        <v>0.589074573623944</v>
      </c>
      <c r="FL29" s="100"/>
      <c r="FM29" s="85" t="n">
        <v>27</v>
      </c>
      <c r="FN29" s="85" t="s">
        <v>11</v>
      </c>
      <c r="FO29" s="86" t="n">
        <v>3504.46842307692</v>
      </c>
      <c r="FP29" s="58" t="n">
        <v>2261.53</v>
      </c>
      <c r="FQ29" s="93" t="n">
        <f aca="false">FP29/FO29</f>
        <v>0.645327543860241</v>
      </c>
      <c r="FS29" s="85" t="n">
        <v>27</v>
      </c>
      <c r="FT29" s="85" t="s">
        <v>17</v>
      </c>
      <c r="FU29" s="86" t="n">
        <v>4348.39307692308</v>
      </c>
      <c r="FV29" s="58" t="n">
        <v>3170.15</v>
      </c>
      <c r="FW29" s="93" t="n">
        <f aca="false">FV29/FU29</f>
        <v>0.729039427650638</v>
      </c>
      <c r="FY29" s="85" t="n">
        <v>27</v>
      </c>
      <c r="FZ29" s="85" t="s">
        <v>7</v>
      </c>
      <c r="GA29" s="86" t="n">
        <v>3303.29538461538</v>
      </c>
      <c r="GB29" s="58" t="n">
        <v>3937.5</v>
      </c>
      <c r="GC29" s="93" t="n">
        <f aca="false">GB29/GA29</f>
        <v>1.19199149380898</v>
      </c>
      <c r="GE29" s="7" t="n">
        <v>27</v>
      </c>
      <c r="GF29" s="7" t="s">
        <v>13</v>
      </c>
      <c r="GG29" s="3" t="n">
        <v>4334.40196296296</v>
      </c>
      <c r="GH29" s="10" t="n">
        <v>3228.5</v>
      </c>
      <c r="GI29" s="93" t="n">
        <f aca="false">GH29/GG29</f>
        <v>0.744854775257859</v>
      </c>
      <c r="GK29" s="7" t="n">
        <v>27</v>
      </c>
      <c r="GL29" s="7" t="s">
        <v>18</v>
      </c>
      <c r="GM29" s="21" t="n">
        <v>2544.11846153846</v>
      </c>
      <c r="GN29" s="10" t="n">
        <v>1874.5</v>
      </c>
      <c r="GO29" s="93" t="n">
        <f aca="false">GN29/GM29</f>
        <v>0.736797451981252</v>
      </c>
      <c r="GQ29" s="7" t="n">
        <v>27</v>
      </c>
      <c r="GR29" s="7" t="s">
        <v>9</v>
      </c>
      <c r="GS29" s="21" t="n">
        <v>3624.13779903846</v>
      </c>
      <c r="GT29" s="10" t="n">
        <v>3025.52</v>
      </c>
      <c r="GU29" s="93" t="n">
        <f aca="false">GT29/GS29</f>
        <v>0.834824768749885</v>
      </c>
      <c r="GW29" s="7" t="n">
        <v>27</v>
      </c>
      <c r="GX29" s="7" t="s">
        <v>13</v>
      </c>
      <c r="GY29" s="21" t="n">
        <v>3969.18954166667</v>
      </c>
      <c r="GZ29" s="10" t="n">
        <v>2806.51</v>
      </c>
      <c r="HA29" s="93" t="n">
        <f aca="false">GZ29/GY29</f>
        <v>0.707073817095049</v>
      </c>
      <c r="HC29" s="7" t="n">
        <v>27</v>
      </c>
      <c r="HD29" s="7" t="s">
        <v>20</v>
      </c>
      <c r="HE29" s="3" t="n">
        <v>2287.03039583333</v>
      </c>
      <c r="HF29" s="8" t="n">
        <v>2564</v>
      </c>
      <c r="HG29" s="93" t="n">
        <f aca="false">HF29/HE29</f>
        <v>1.1211044700898</v>
      </c>
      <c r="HI29" s="7" t="n">
        <v>27</v>
      </c>
      <c r="HJ29" s="7" t="s">
        <v>11</v>
      </c>
      <c r="HK29" s="3" t="n">
        <v>3092.86366666667</v>
      </c>
      <c r="HL29" s="8" t="n">
        <v>2766.01</v>
      </c>
      <c r="HM29" s="93" t="n">
        <f aca="false">HL29/HK29</f>
        <v>0.894320053551234</v>
      </c>
      <c r="HO29" s="7" t="n">
        <v>27</v>
      </c>
      <c r="HP29" s="7" t="s">
        <v>11</v>
      </c>
      <c r="HQ29" s="3" t="n">
        <v>3011.866</v>
      </c>
      <c r="HR29" s="8" t="n">
        <v>2128</v>
      </c>
      <c r="HS29" s="93" t="n">
        <f aca="false">HR29/HQ29</f>
        <v>0.706538737115131</v>
      </c>
      <c r="HU29" s="7" t="n">
        <v>27</v>
      </c>
      <c r="HV29" s="7" t="s">
        <v>18</v>
      </c>
      <c r="HW29" s="3" t="n">
        <v>2460.242125</v>
      </c>
      <c r="HX29" s="8" t="n">
        <v>1975</v>
      </c>
      <c r="HY29" s="93" t="n">
        <f aca="false">HX29/HW29</f>
        <v>0.802766516324079</v>
      </c>
      <c r="HZ29" s="100"/>
      <c r="IA29" s="7" t="n">
        <v>27</v>
      </c>
      <c r="IB29" s="7" t="s">
        <v>7</v>
      </c>
      <c r="IC29" s="3" t="n">
        <v>2953.77090909091</v>
      </c>
      <c r="ID29" s="8" t="n">
        <v>3014.5</v>
      </c>
      <c r="IE29" s="93" t="n">
        <f aca="false">ID29/IC29</f>
        <v>1.02055985138258</v>
      </c>
      <c r="IG29" s="7" t="n">
        <v>27</v>
      </c>
      <c r="IH29" s="7" t="s">
        <v>13</v>
      </c>
      <c r="II29" s="3" t="n">
        <v>4812.18420833333</v>
      </c>
      <c r="IJ29" s="8" t="n">
        <v>4790.5</v>
      </c>
      <c r="IK29" s="93" t="n">
        <f aca="false">IJ29/II29</f>
        <v>0.995493894789858</v>
      </c>
    </row>
    <row r="30" customFormat="false" ht="15.75" hidden="false" customHeight="true" outlineLevel="0" collapsed="false">
      <c r="A30" s="85" t="n">
        <v>28</v>
      </c>
      <c r="B30" s="85" t="s">
        <v>20</v>
      </c>
      <c r="C30" s="90" t="n">
        <v>2000</v>
      </c>
      <c r="D30" s="58" t="n">
        <v>4354</v>
      </c>
      <c r="E30" s="91" t="n">
        <f aca="false">D30/C30</f>
        <v>2.177</v>
      </c>
      <c r="F30" s="81"/>
      <c r="G30" s="85" t="n">
        <v>28</v>
      </c>
      <c r="H30" s="85" t="s">
        <v>20</v>
      </c>
      <c r="I30" s="92" t="n">
        <v>3785.785</v>
      </c>
      <c r="J30" s="86" t="n">
        <v>2440.5</v>
      </c>
      <c r="K30" s="93" t="n">
        <f aca="false">J30/I30</f>
        <v>0.644648335814105</v>
      </c>
      <c r="L30" s="81"/>
      <c r="M30" s="85" t="n">
        <v>28</v>
      </c>
      <c r="N30" s="85" t="s">
        <v>11</v>
      </c>
      <c r="O30" s="86" t="n">
        <v>3468.6145</v>
      </c>
      <c r="P30" s="86" t="n">
        <v>3068</v>
      </c>
      <c r="Q30" s="93" t="n">
        <f aca="false">P30/O30</f>
        <v>0.884503019865713</v>
      </c>
      <c r="R30" s="81"/>
      <c r="S30" s="85" t="n">
        <v>28</v>
      </c>
      <c r="T30" s="85" t="s">
        <v>17</v>
      </c>
      <c r="U30" s="58" t="n">
        <v>4046.23923076923</v>
      </c>
      <c r="V30" s="58" t="n">
        <v>2231</v>
      </c>
      <c r="W30" s="93" t="n">
        <f aca="false">V30/U30</f>
        <v>0.551376197194318</v>
      </c>
      <c r="X30" s="81"/>
      <c r="Y30" s="101" t="n">
        <v>28</v>
      </c>
      <c r="Z30" s="85" t="s">
        <v>7</v>
      </c>
      <c r="AA30" s="95" t="n">
        <v>3016.24352941176</v>
      </c>
      <c r="AB30" s="58" t="n">
        <v>3397</v>
      </c>
      <c r="AC30" s="93" t="n">
        <f aca="false">AB30/AA30</f>
        <v>1.12623532114547</v>
      </c>
      <c r="AD30" s="81"/>
      <c r="AE30" s="101" t="n">
        <v>28</v>
      </c>
      <c r="AF30" s="85" t="s">
        <v>11</v>
      </c>
      <c r="AG30" s="95" t="n">
        <v>3548.44762608696</v>
      </c>
      <c r="AH30" s="58" t="n">
        <v>4838.01</v>
      </c>
      <c r="AI30" s="93" t="n">
        <f aca="false">AH30/AG30</f>
        <v>1.36341592431367</v>
      </c>
      <c r="AJ30" s="81"/>
      <c r="AK30" s="101" t="n">
        <v>28</v>
      </c>
      <c r="AL30" s="85" t="s">
        <v>18</v>
      </c>
      <c r="AM30" s="58" t="n">
        <v>2705.10176086957</v>
      </c>
      <c r="AN30" s="58" t="n">
        <v>3324</v>
      </c>
      <c r="AO30" s="93" t="n">
        <f aca="false">AN30/AM30</f>
        <v>1.2287892633405</v>
      </c>
      <c r="AP30" s="81"/>
      <c r="AQ30" s="85" t="n">
        <v>28</v>
      </c>
      <c r="AR30" s="85" t="s">
        <v>9</v>
      </c>
      <c r="AS30" s="58" t="n">
        <v>3620.97675</v>
      </c>
      <c r="AT30" s="58" t="n">
        <v>2520.05</v>
      </c>
      <c r="AU30" s="93" t="n">
        <f aca="false">AT30/AS30</f>
        <v>0.695958624975982</v>
      </c>
      <c r="AV30" s="81"/>
      <c r="AW30" s="85" t="n">
        <v>28</v>
      </c>
      <c r="AX30" s="85" t="s">
        <v>13</v>
      </c>
      <c r="AY30" s="58" t="n">
        <v>5060.51798571429</v>
      </c>
      <c r="AZ30" s="58" t="n">
        <v>4101.5</v>
      </c>
      <c r="BA30" s="93" t="n">
        <f aca="false">AZ30/AY30</f>
        <v>0.810490153691465</v>
      </c>
      <c r="BB30" s="81"/>
      <c r="BC30" s="85" t="n">
        <v>28</v>
      </c>
      <c r="BD30" s="85" t="s">
        <v>20</v>
      </c>
      <c r="BE30" s="58" t="n">
        <v>3379.77075</v>
      </c>
      <c r="BF30" s="58" t="n">
        <v>2935.53</v>
      </c>
      <c r="BG30" s="93" t="n">
        <f aca="false">BF30/BE30</f>
        <v>0.868558910393553</v>
      </c>
      <c r="BH30" s="81"/>
      <c r="BI30" s="85" t="n">
        <v>28</v>
      </c>
      <c r="BJ30" s="85" t="s">
        <v>9</v>
      </c>
      <c r="BK30" s="58" t="n">
        <v>3758.82436363636</v>
      </c>
      <c r="BL30" s="58" t="n">
        <v>4043</v>
      </c>
      <c r="BM30" s="93" t="n">
        <f aca="false">BL30/BK30</f>
        <v>1.07560226519569</v>
      </c>
      <c r="BN30" s="81"/>
      <c r="BO30" s="85" t="n">
        <v>28</v>
      </c>
      <c r="BP30" s="85" t="s">
        <v>17</v>
      </c>
      <c r="BQ30" s="58" t="n">
        <v>5304.46266</v>
      </c>
      <c r="BR30" s="58" t="n">
        <v>8351</v>
      </c>
      <c r="BS30" s="93" t="n">
        <f aca="false">BR30/BQ30</f>
        <v>1.57433476965978</v>
      </c>
      <c r="BT30" s="81"/>
      <c r="BU30" s="85" t="n">
        <v>28</v>
      </c>
      <c r="BV30" s="85" t="s">
        <v>7</v>
      </c>
      <c r="BW30" s="58" t="n">
        <v>3944.74966442308</v>
      </c>
      <c r="BX30" s="58" t="n">
        <v>7669.51</v>
      </c>
      <c r="BY30" s="93" t="n">
        <f aca="false">BX30/BW30</f>
        <v>1.94423237275861</v>
      </c>
      <c r="BZ30" s="81"/>
      <c r="CA30" s="85" t="n">
        <v>28</v>
      </c>
      <c r="CB30" s="85" t="s">
        <v>9</v>
      </c>
      <c r="CC30" s="58" t="n">
        <v>3966.21415384615</v>
      </c>
      <c r="CD30" s="58" t="n">
        <v>3487.53</v>
      </c>
      <c r="CE30" s="93" t="n">
        <f aca="false">CD30/CC30</f>
        <v>0.87930955433106</v>
      </c>
      <c r="CF30" s="81"/>
      <c r="CG30" s="85" t="n">
        <v>28</v>
      </c>
      <c r="CH30" s="85" t="s">
        <v>17</v>
      </c>
      <c r="CI30" s="86" t="n">
        <v>6371.97246875</v>
      </c>
      <c r="CJ30" s="58" t="n">
        <v>4299.09</v>
      </c>
      <c r="CK30" s="93" t="n">
        <f aca="false">CJ30/CI30</f>
        <v>0.674687472534444</v>
      </c>
      <c r="CL30" s="81"/>
      <c r="CM30" s="85" t="n">
        <v>28</v>
      </c>
      <c r="CN30" s="85" t="s">
        <v>20</v>
      </c>
      <c r="CO30" s="86" t="n">
        <v>4420.4125625</v>
      </c>
      <c r="CP30" s="60" t="n">
        <v>3429.01</v>
      </c>
      <c r="CQ30" s="93" t="n">
        <f aca="false">CP30/CO30</f>
        <v>0.775721711835127</v>
      </c>
      <c r="CR30" s="81"/>
      <c r="CS30" s="85" t="n">
        <v>28</v>
      </c>
      <c r="CT30" s="85" t="s">
        <v>11</v>
      </c>
      <c r="CU30" s="86" t="n">
        <v>3827.424</v>
      </c>
      <c r="CV30" s="58" t="n">
        <v>4879.5</v>
      </c>
      <c r="CW30" s="93" t="n">
        <f aca="false">CV30/CU30</f>
        <v>1.2748783516015</v>
      </c>
      <c r="CX30" s="81"/>
      <c r="CY30" s="85" t="n">
        <v>28</v>
      </c>
      <c r="CZ30" s="85" t="s">
        <v>17</v>
      </c>
      <c r="DA30" s="86" t="n">
        <v>4936.90694791667</v>
      </c>
      <c r="DB30" s="58" t="n">
        <v>2330.57</v>
      </c>
      <c r="DC30" s="93" t="n">
        <f aca="false">DB30/DA30</f>
        <v>0.472070878504907</v>
      </c>
      <c r="DD30" s="81"/>
      <c r="DE30" s="85" t="n">
        <v>28</v>
      </c>
      <c r="DF30" s="85" t="s">
        <v>7</v>
      </c>
      <c r="DG30" s="86" t="n">
        <v>3405.940125</v>
      </c>
      <c r="DH30" s="58" t="n">
        <v>2664.13</v>
      </c>
      <c r="DI30" s="93" t="n">
        <f aca="false">DH30/DG30</f>
        <v>0.78220106702551</v>
      </c>
      <c r="DJ30" s="81"/>
      <c r="DK30" s="85" t="n">
        <v>28</v>
      </c>
      <c r="DL30" s="85" t="s">
        <v>13</v>
      </c>
      <c r="DM30" s="86" t="n">
        <v>4178.504736</v>
      </c>
      <c r="DN30" s="58" t="n">
        <v>4090.01</v>
      </c>
      <c r="DO30" s="93" t="n">
        <f aca="false">DN30/DM30</f>
        <v>0.978821434558259</v>
      </c>
      <c r="DP30" s="81"/>
      <c r="DQ30" s="85" t="n">
        <v>28</v>
      </c>
      <c r="DR30" s="85" t="s">
        <v>18</v>
      </c>
      <c r="DS30" s="86" t="n">
        <v>2653.7599375</v>
      </c>
      <c r="DT30" s="58" t="n">
        <v>3520.01</v>
      </c>
      <c r="DU30" s="93" t="n">
        <f aca="false">DT30/DS30</f>
        <v>1.32642367165888</v>
      </c>
      <c r="DV30" s="81"/>
      <c r="DW30" s="85" t="n">
        <v>28</v>
      </c>
      <c r="DX30" s="85" t="s">
        <v>9</v>
      </c>
      <c r="DY30" s="86" t="n">
        <v>3326.5761375</v>
      </c>
      <c r="DZ30" s="58" t="n">
        <v>5585.51</v>
      </c>
      <c r="EA30" s="93" t="n">
        <f aca="false">DZ30/DY30</f>
        <v>1.67905671451057</v>
      </c>
      <c r="EB30" s="81"/>
      <c r="EC30" s="85" t="n">
        <v>28</v>
      </c>
      <c r="ED30" s="85" t="s">
        <v>13</v>
      </c>
      <c r="EE30" s="86" t="n">
        <v>4853.73777777778</v>
      </c>
      <c r="EF30" s="58" t="n">
        <v>2694</v>
      </c>
      <c r="EG30" s="93" t="n">
        <f aca="false">EF30/EE30</f>
        <v>0.555036164568703</v>
      </c>
      <c r="EH30" s="100"/>
      <c r="EI30" s="85" t="n">
        <v>28</v>
      </c>
      <c r="EJ30" s="85" t="s">
        <v>20</v>
      </c>
      <c r="EK30" s="86" t="n">
        <v>3526.95252</v>
      </c>
      <c r="EL30" s="57" t="n">
        <v>4182</v>
      </c>
      <c r="EM30" s="93" t="n">
        <f aca="false">EL30/EK30</f>
        <v>1.18572619741419</v>
      </c>
      <c r="EN30" s="81"/>
      <c r="EO30" s="106" t="n">
        <v>28</v>
      </c>
      <c r="EP30" s="106" t="s">
        <v>11</v>
      </c>
      <c r="EQ30" s="99" t="n">
        <v>3756.49266666667</v>
      </c>
      <c r="ER30" s="57" t="n">
        <v>3058.57</v>
      </c>
      <c r="ES30" s="93" t="n">
        <f aca="false">ER30/EQ30</f>
        <v>0.814208963361035</v>
      </c>
      <c r="ET30" s="81"/>
      <c r="EU30" s="85" t="n">
        <v>28</v>
      </c>
      <c r="EV30" s="85" t="s">
        <v>11</v>
      </c>
      <c r="EW30" s="86" t="n">
        <v>4094.86380769231</v>
      </c>
      <c r="EX30" s="57" t="n">
        <v>2654.51</v>
      </c>
      <c r="EY30" s="93" t="n">
        <f aca="false">EX30/EW30</f>
        <v>0.648253549974833</v>
      </c>
      <c r="FA30" s="85" t="n">
        <v>28</v>
      </c>
      <c r="FB30" s="85" t="s">
        <v>18</v>
      </c>
      <c r="FC30" s="86" t="n">
        <v>3488.60176923077</v>
      </c>
      <c r="FD30" s="58" t="n">
        <v>3103.76</v>
      </c>
      <c r="FE30" s="93" t="n">
        <f aca="false">FD30/FC30</f>
        <v>0.889685955953744</v>
      </c>
      <c r="FG30" s="85" t="n">
        <v>28</v>
      </c>
      <c r="FH30" s="85" t="s">
        <v>7</v>
      </c>
      <c r="FI30" s="86" t="n">
        <v>3929.07108</v>
      </c>
      <c r="FJ30" s="58" t="n">
        <v>2608.02</v>
      </c>
      <c r="FK30" s="93" t="n">
        <f aca="false">FJ30/FI30</f>
        <v>0.66377521477672</v>
      </c>
      <c r="FL30" s="100"/>
      <c r="FM30" s="85" t="n">
        <v>28</v>
      </c>
      <c r="FN30" s="85" t="s">
        <v>13</v>
      </c>
      <c r="FO30" s="86" t="n">
        <v>4887.0415</v>
      </c>
      <c r="FP30" s="58" t="n">
        <v>2964.55</v>
      </c>
      <c r="FQ30" s="93" t="n">
        <f aca="false">FP30/FO30</f>
        <v>0.606614451708667</v>
      </c>
      <c r="FS30" s="85" t="n">
        <v>28</v>
      </c>
      <c r="FT30" s="85" t="s">
        <v>18</v>
      </c>
      <c r="FU30" s="86" t="n">
        <v>2816.69469230769</v>
      </c>
      <c r="FV30" s="58" t="n">
        <v>1445.76</v>
      </c>
      <c r="FW30" s="93" t="n">
        <f aca="false">FV30/FU30</f>
        <v>0.513282466838997</v>
      </c>
      <c r="FY30" s="85" t="n">
        <v>28</v>
      </c>
      <c r="FZ30" s="85" t="s">
        <v>9</v>
      </c>
      <c r="GA30" s="86" t="n">
        <v>3318.94157692308</v>
      </c>
      <c r="GB30" s="58" t="n">
        <v>2547</v>
      </c>
      <c r="GC30" s="93" t="n">
        <f aca="false">GB30/GA30</f>
        <v>0.767413327703487</v>
      </c>
      <c r="GE30" s="7" t="n">
        <v>28</v>
      </c>
      <c r="GF30" s="7" t="s">
        <v>17</v>
      </c>
      <c r="GG30" s="3" t="n">
        <v>3846.46377777778</v>
      </c>
      <c r="GH30" s="10" t="n">
        <v>3071</v>
      </c>
      <c r="GI30" s="93" t="n">
        <f aca="false">GH30/GG30</f>
        <v>0.798395663503222</v>
      </c>
      <c r="GK30" s="7" t="n">
        <v>28</v>
      </c>
      <c r="GL30" s="7" t="s">
        <v>20</v>
      </c>
      <c r="GM30" s="3" t="n">
        <v>2506.32326923077</v>
      </c>
      <c r="GN30" s="10" t="n">
        <v>835</v>
      </c>
      <c r="GO30" s="93" t="n">
        <f aca="false">GN30/GM30</f>
        <v>0.333157342570687</v>
      </c>
      <c r="GQ30" s="7" t="n">
        <v>28</v>
      </c>
      <c r="GR30" s="7" t="s">
        <v>11</v>
      </c>
      <c r="GS30" s="3" t="n">
        <v>3463.70379807693</v>
      </c>
      <c r="GT30" s="10" t="n">
        <v>3165.5</v>
      </c>
      <c r="GU30" s="93" t="n">
        <f aca="false">GT30/GS30</f>
        <v>0.913906091438161</v>
      </c>
      <c r="GW30" s="7" t="n">
        <v>28</v>
      </c>
      <c r="GX30" s="7" t="s">
        <v>17</v>
      </c>
      <c r="GY30" s="3" t="n">
        <v>4064.60462</v>
      </c>
      <c r="GZ30" s="10" t="n">
        <v>3695.5</v>
      </c>
      <c r="HA30" s="93" t="n">
        <f aca="false">GZ30/GY30</f>
        <v>0.909190522939473</v>
      </c>
      <c r="HC30" s="7" t="n">
        <v>28</v>
      </c>
      <c r="HD30" s="7" t="s">
        <v>7</v>
      </c>
      <c r="HE30" s="32" t="n">
        <v>2757.4024375</v>
      </c>
      <c r="HF30" s="8" t="n">
        <v>4048.5</v>
      </c>
      <c r="HG30" s="93" t="n">
        <f aca="false">HF30/HE30</f>
        <v>1.46822964429907</v>
      </c>
      <c r="HI30" s="7" t="n">
        <v>28</v>
      </c>
      <c r="HJ30" s="7" t="s">
        <v>13</v>
      </c>
      <c r="HK30" s="32" t="n">
        <v>4778.57114814815</v>
      </c>
      <c r="HL30" s="8" t="n">
        <v>3975.5</v>
      </c>
      <c r="HM30" s="93" t="n">
        <f aca="false">HL30/HK30</f>
        <v>0.831943247625524</v>
      </c>
      <c r="HO30" s="7" t="n">
        <v>28</v>
      </c>
      <c r="HP30" s="7" t="s">
        <v>13</v>
      </c>
      <c r="HQ30" s="32" t="n">
        <v>4793.87107692308</v>
      </c>
      <c r="HR30" s="8" t="n">
        <v>3662</v>
      </c>
      <c r="HS30" s="93" t="n">
        <f aca="false">HR30/HQ30</f>
        <v>0.763892049084982</v>
      </c>
      <c r="HU30" s="7" t="n">
        <v>28</v>
      </c>
      <c r="HV30" s="7" t="s">
        <v>20</v>
      </c>
      <c r="HW30" s="32" t="n">
        <v>2676.452625</v>
      </c>
      <c r="HX30" s="8" t="n">
        <v>2608.52</v>
      </c>
      <c r="HY30" s="93" t="n">
        <f aca="false">HX30/HW30</f>
        <v>0.974618409320807</v>
      </c>
      <c r="HZ30" s="100"/>
      <c r="IA30" s="7" t="n">
        <v>28</v>
      </c>
      <c r="IB30" s="7" t="s">
        <v>9</v>
      </c>
      <c r="IC30" s="32" t="n">
        <v>2785.5702</v>
      </c>
      <c r="ID30" s="8" t="n">
        <v>2225</v>
      </c>
      <c r="IE30" s="93" t="n">
        <f aca="false">ID30/IC30</f>
        <v>0.798759263004752</v>
      </c>
      <c r="IG30" s="7" t="n">
        <v>28</v>
      </c>
      <c r="IH30" s="7" t="s">
        <v>17</v>
      </c>
      <c r="II30" s="32" t="n">
        <v>4517.60925</v>
      </c>
      <c r="IJ30" s="8" t="n">
        <v>3607</v>
      </c>
      <c r="IK30" s="93" t="n">
        <f aca="false">IJ30/II30</f>
        <v>0.798431161349335</v>
      </c>
    </row>
    <row r="31" customFormat="false" ht="15.75" hidden="false" customHeight="true" outlineLevel="0" collapsed="false">
      <c r="A31" s="85" t="s">
        <v>21</v>
      </c>
      <c r="B31" s="85"/>
      <c r="C31" s="90" t="n">
        <f aca="false">SUM(C3:C30)</f>
        <v>87700</v>
      </c>
      <c r="D31" s="58" t="n">
        <f aca="false">SUM(D3:D30)</f>
        <v>105362.68</v>
      </c>
      <c r="E31" s="91" t="n">
        <f aca="false">D31/C31</f>
        <v>1.20139885974914</v>
      </c>
      <c r="F31" s="81"/>
      <c r="G31" s="85" t="n">
        <v>29</v>
      </c>
      <c r="H31" s="85" t="s">
        <v>7</v>
      </c>
      <c r="I31" s="92" t="n">
        <v>3528.2075</v>
      </c>
      <c r="J31" s="86" t="n">
        <v>2898.31</v>
      </c>
      <c r="K31" s="93" t="n">
        <f aca="false">J31/I31</f>
        <v>0.821468125103186</v>
      </c>
      <c r="L31" s="81"/>
      <c r="M31" s="85" t="n">
        <v>29</v>
      </c>
      <c r="N31" s="85" t="s">
        <v>13</v>
      </c>
      <c r="O31" s="86" t="n">
        <v>4968.2295</v>
      </c>
      <c r="P31" s="86" t="n">
        <v>3659</v>
      </c>
      <c r="Q31" s="93" t="n">
        <f aca="false">P31/O31</f>
        <v>0.736479665442186</v>
      </c>
      <c r="R31" s="81"/>
      <c r="S31" s="85" t="n">
        <v>29</v>
      </c>
      <c r="T31" s="85" t="s">
        <v>18</v>
      </c>
      <c r="U31" s="58" t="n">
        <v>2494.38333333333</v>
      </c>
      <c r="V31" s="58" t="n">
        <v>2854.5</v>
      </c>
      <c r="W31" s="93" t="n">
        <f aca="false">V31/U31</f>
        <v>1.14437102022544</v>
      </c>
      <c r="X31" s="81"/>
      <c r="Y31" s="101" t="n">
        <v>29</v>
      </c>
      <c r="Z31" s="85" t="s">
        <v>9</v>
      </c>
      <c r="AA31" s="95" t="n">
        <v>2559.51111111111</v>
      </c>
      <c r="AB31" s="58" t="n">
        <v>2585.51</v>
      </c>
      <c r="AC31" s="93" t="n">
        <f aca="false">AB31/AA31</f>
        <v>1.01015775582142</v>
      </c>
      <c r="AD31" s="81"/>
      <c r="AE31" s="101" t="n">
        <v>29</v>
      </c>
      <c r="AF31" s="85" t="s">
        <v>13</v>
      </c>
      <c r="AG31" s="95" t="n">
        <v>4238.41114090909</v>
      </c>
      <c r="AH31" s="58" t="n">
        <v>8039.52</v>
      </c>
      <c r="AI31" s="93" t="n">
        <f aca="false">AH31/AG31</f>
        <v>1.89682400614765</v>
      </c>
      <c r="AJ31" s="81"/>
      <c r="AK31" s="101" t="n">
        <v>29</v>
      </c>
      <c r="AL31" s="85" t="s">
        <v>20</v>
      </c>
      <c r="AM31" s="58" t="n">
        <v>3417.11331818182</v>
      </c>
      <c r="AN31" s="58" t="n">
        <v>2423.5</v>
      </c>
      <c r="AO31" s="93" t="n">
        <f aca="false">AN31/AM31</f>
        <v>0.709224358204631</v>
      </c>
      <c r="AP31" s="81"/>
      <c r="AQ31" s="85" t="n">
        <v>29</v>
      </c>
      <c r="AR31" s="85" t="s">
        <v>11</v>
      </c>
      <c r="AS31" s="58" t="n">
        <v>3514.63915384615</v>
      </c>
      <c r="AT31" s="58" t="n">
        <v>7849.5</v>
      </c>
      <c r="AU31" s="93" t="n">
        <f aca="false">AT31/AS31</f>
        <v>2.23337294567214</v>
      </c>
      <c r="AV31" s="81"/>
      <c r="AW31" s="85" t="n">
        <v>29</v>
      </c>
      <c r="AX31" s="85" t="s">
        <v>17</v>
      </c>
      <c r="AY31" s="58" t="n">
        <v>4746.31186153846</v>
      </c>
      <c r="AZ31" s="58" t="n">
        <v>5724</v>
      </c>
      <c r="BA31" s="93" t="n">
        <f aca="false">AZ31/AY31</f>
        <v>1.20598902199921</v>
      </c>
      <c r="BB31" s="81"/>
      <c r="BC31" s="85" t="n">
        <v>29</v>
      </c>
      <c r="BD31" s="85" t="s">
        <v>7</v>
      </c>
      <c r="BE31" s="58" t="n">
        <v>3500.343</v>
      </c>
      <c r="BF31" s="58" t="n">
        <v>2625</v>
      </c>
      <c r="BG31" s="93" t="n">
        <f aca="false">BF31/BE31</f>
        <v>0.749926507202294</v>
      </c>
      <c r="BH31" s="81"/>
      <c r="BI31" s="85" t="n">
        <v>29</v>
      </c>
      <c r="BJ31" s="85" t="s">
        <v>11</v>
      </c>
      <c r="BK31" s="58" t="n">
        <v>4128.831</v>
      </c>
      <c r="BL31" s="58" t="n">
        <v>2591.5</v>
      </c>
      <c r="BM31" s="93" t="n">
        <f aca="false">BL31/BK31</f>
        <v>0.627659499747023</v>
      </c>
      <c r="BN31" s="81"/>
      <c r="BO31" s="85" t="n">
        <v>29</v>
      </c>
      <c r="BP31" s="85" t="s">
        <v>18</v>
      </c>
      <c r="BQ31" s="58" t="n">
        <v>3068.69284615385</v>
      </c>
      <c r="BR31" s="58" t="n">
        <v>2831.53</v>
      </c>
      <c r="BS31" s="93" t="n">
        <f aca="false">BR31/BQ31</f>
        <v>0.922715352091657</v>
      </c>
      <c r="BT31" s="81"/>
      <c r="BU31" s="85" t="n">
        <v>29</v>
      </c>
      <c r="BV31" s="85" t="s">
        <v>9</v>
      </c>
      <c r="BW31" s="58" t="n">
        <v>3978.47259519231</v>
      </c>
      <c r="BX31" s="58" t="n">
        <v>4429.56</v>
      </c>
      <c r="BY31" s="93" t="n">
        <f aca="false">BX31/BW31</f>
        <v>1.11338205655929</v>
      </c>
      <c r="BZ31" s="81"/>
      <c r="CA31" s="85" t="n">
        <v>29</v>
      </c>
      <c r="CB31" s="85" t="s">
        <v>11</v>
      </c>
      <c r="CC31" s="58" t="n">
        <v>4398.80697115385</v>
      </c>
      <c r="CD31" s="58" t="n">
        <v>5229</v>
      </c>
      <c r="CE31" s="93" t="n">
        <f aca="false">CD31/CC31</f>
        <v>1.18873140701338</v>
      </c>
      <c r="CF31" s="81"/>
      <c r="CG31" s="85" t="n">
        <v>29</v>
      </c>
      <c r="CH31" s="85" t="s">
        <v>18</v>
      </c>
      <c r="CI31" s="86" t="n">
        <v>3421.84686778846</v>
      </c>
      <c r="CJ31" s="58" t="n">
        <v>2297.56</v>
      </c>
      <c r="CK31" s="93" t="n">
        <f aca="false">CJ31/CI31</f>
        <v>0.671438579449031</v>
      </c>
      <c r="CL31" s="81"/>
      <c r="CM31" s="85" t="n">
        <v>29</v>
      </c>
      <c r="CN31" s="85" t="s">
        <v>7</v>
      </c>
      <c r="CO31" s="86" t="n">
        <v>4042.78086666667</v>
      </c>
      <c r="CP31" s="60" t="n">
        <v>2695.66</v>
      </c>
      <c r="CQ31" s="93" t="n">
        <f aca="false">CP31/CO31</f>
        <v>0.666783604876069</v>
      </c>
      <c r="CR31" s="81"/>
      <c r="CS31" s="85" t="n">
        <v>29</v>
      </c>
      <c r="CT31" s="85" t="s">
        <v>13</v>
      </c>
      <c r="CU31" s="86" t="n">
        <v>5622.48052631579</v>
      </c>
      <c r="CV31" s="58" t="n">
        <v>5251.02</v>
      </c>
      <c r="CW31" s="93" t="n">
        <f aca="false">CV31/CU31</f>
        <v>0.933932981256728</v>
      </c>
      <c r="CX31" s="81"/>
      <c r="CY31" s="85" t="n">
        <v>29</v>
      </c>
      <c r="CZ31" s="85" t="s">
        <v>18</v>
      </c>
      <c r="DA31" s="86" t="n">
        <v>2939.27120833333</v>
      </c>
      <c r="DB31" s="58" t="n">
        <v>2989.59</v>
      </c>
      <c r="DC31" s="93" t="n">
        <f aca="false">DB31/DA31</f>
        <v>1.01711947897969</v>
      </c>
      <c r="DD31" s="81"/>
      <c r="DE31" s="85" t="n">
        <v>29</v>
      </c>
      <c r="DF31" s="85" t="s">
        <v>9</v>
      </c>
      <c r="DG31" s="86" t="n">
        <v>3410.6576875</v>
      </c>
      <c r="DH31" s="58" t="n">
        <v>3207.61</v>
      </c>
      <c r="DI31" s="93" t="n">
        <f aca="false">DH31/DG31</f>
        <v>0.940466705807456</v>
      </c>
      <c r="DJ31" s="81"/>
      <c r="DK31" s="85" t="n">
        <v>29</v>
      </c>
      <c r="DL31" s="85" t="s">
        <v>17</v>
      </c>
      <c r="DM31" s="86" t="n">
        <v>3817.06353333333</v>
      </c>
      <c r="DN31" s="58" t="n">
        <v>2706.52</v>
      </c>
      <c r="DO31" s="93" t="n">
        <f aca="false">DN31/DM31</f>
        <v>0.709058148067154</v>
      </c>
      <c r="DP31" s="81"/>
      <c r="DQ31" s="85" t="n">
        <v>29</v>
      </c>
      <c r="DR31" s="85" t="s">
        <v>20</v>
      </c>
      <c r="DS31" s="86" t="n">
        <v>3195.7760625</v>
      </c>
      <c r="DT31" s="58" t="n">
        <v>2468.53</v>
      </c>
      <c r="DU31" s="93" t="n">
        <f aca="false">DT31/DS31</f>
        <v>0.772435224409595</v>
      </c>
      <c r="DV31" s="81"/>
      <c r="DW31" s="85" t="n">
        <v>29</v>
      </c>
      <c r="DX31" s="85" t="s">
        <v>11</v>
      </c>
      <c r="DY31" s="99" t="n">
        <v>3392.4293424</v>
      </c>
      <c r="DZ31" s="58" t="n">
        <v>2607</v>
      </c>
      <c r="EA31" s="93" t="n">
        <f aca="false">DZ31/DY31</f>
        <v>0.768475843377672</v>
      </c>
      <c r="EB31" s="81"/>
      <c r="EC31" s="85" t="n">
        <v>29</v>
      </c>
      <c r="ED31" s="85" t="s">
        <v>17</v>
      </c>
      <c r="EE31" s="99" t="n">
        <v>4361.21492307692</v>
      </c>
      <c r="EF31" s="58" t="n">
        <v>3085.75</v>
      </c>
      <c r="EG31" s="93" t="n">
        <f aca="false">EF31/EE31</f>
        <v>0.707543667172207</v>
      </c>
      <c r="EH31" s="100"/>
      <c r="EI31" s="85" t="n">
        <v>29</v>
      </c>
      <c r="EJ31" s="85" t="s">
        <v>7</v>
      </c>
      <c r="EK31" s="99" t="n">
        <v>3307.11473076923</v>
      </c>
      <c r="EL31" s="58" t="n">
        <v>4014.01</v>
      </c>
      <c r="EM31" s="93" t="n">
        <f aca="false">EL31/EK31</f>
        <v>1.21374984745883</v>
      </c>
      <c r="EN31" s="81"/>
      <c r="EO31" s="85" t="s">
        <v>21</v>
      </c>
      <c r="EP31" s="85"/>
      <c r="EQ31" s="58" t="n">
        <f aca="false">SUM(EQ3:EQ30)</f>
        <v>108039.849300057</v>
      </c>
      <c r="ER31" s="58" t="n">
        <f aca="false">SUM(ER3:ER30)</f>
        <v>120838.83</v>
      </c>
      <c r="ES31" s="93" t="n">
        <f aca="false">ER31/EQ31</f>
        <v>1.11846536979515</v>
      </c>
      <c r="ET31" s="81"/>
      <c r="EU31" s="85" t="n">
        <v>29</v>
      </c>
      <c r="EV31" s="85" t="s">
        <v>13</v>
      </c>
      <c r="EW31" s="99" t="n">
        <v>5238.86836</v>
      </c>
      <c r="EX31" s="58" t="n">
        <v>3820.25</v>
      </c>
      <c r="EY31" s="93" t="n">
        <f aca="false">EX31/EW31</f>
        <v>0.72921282564924</v>
      </c>
      <c r="FA31" s="85" t="n">
        <v>29</v>
      </c>
      <c r="FB31" s="85" t="s">
        <v>20</v>
      </c>
      <c r="FC31" s="99" t="n">
        <v>3878.677</v>
      </c>
      <c r="FD31" s="58" t="n">
        <v>2110.78</v>
      </c>
      <c r="FE31" s="93" t="n">
        <f aca="false">FD31/FC31</f>
        <v>0.544201025246495</v>
      </c>
      <c r="FG31" s="85" t="n">
        <v>29</v>
      </c>
      <c r="FH31" s="85" t="s">
        <v>9</v>
      </c>
      <c r="FI31" s="99" t="n">
        <v>3926.07684615385</v>
      </c>
      <c r="FJ31" s="58" t="n">
        <v>1925.53</v>
      </c>
      <c r="FK31" s="93" t="n">
        <f aca="false">FJ31/FI31</f>
        <v>0.490446334968285</v>
      </c>
      <c r="FL31" s="100"/>
      <c r="FM31" s="85" t="n">
        <v>29</v>
      </c>
      <c r="FN31" s="85" t="s">
        <v>17</v>
      </c>
      <c r="FO31" s="99" t="n">
        <v>4213.64815384615</v>
      </c>
      <c r="FP31" s="58" t="n">
        <v>3844.15</v>
      </c>
      <c r="FQ31" s="93" t="n">
        <f aca="false">FP31/FO31</f>
        <v>0.912309205620579</v>
      </c>
      <c r="FS31" s="85" t="n">
        <v>29</v>
      </c>
      <c r="FT31" s="85" t="s">
        <v>20</v>
      </c>
      <c r="FU31" s="99" t="n">
        <v>2925.96392</v>
      </c>
      <c r="FV31" s="58" t="n">
        <v>2105.26</v>
      </c>
      <c r="FW31" s="93" t="n">
        <f aca="false">FV31/FU31</f>
        <v>0.719509897442618</v>
      </c>
      <c r="FY31" s="85" t="n">
        <v>29</v>
      </c>
      <c r="FZ31" s="85" t="s">
        <v>11</v>
      </c>
      <c r="GA31" s="99" t="n">
        <v>3374.18556</v>
      </c>
      <c r="GB31" s="58" t="n">
        <v>3126.91</v>
      </c>
      <c r="GC31" s="93" t="n">
        <f aca="false">GB31/GA31</f>
        <v>0.926715482713405</v>
      </c>
      <c r="GE31" s="7" t="n">
        <v>29</v>
      </c>
      <c r="GF31" s="7" t="s">
        <v>18</v>
      </c>
      <c r="GG31" s="21" t="n">
        <v>2544.11846153846</v>
      </c>
      <c r="GH31" s="10" t="n">
        <v>2091.01</v>
      </c>
      <c r="GI31" s="93" t="n">
        <f aca="false">GH31/GG31</f>
        <v>0.821899621268241</v>
      </c>
      <c r="GK31" s="7" t="n">
        <v>29</v>
      </c>
      <c r="GL31" s="7" t="s">
        <v>7</v>
      </c>
      <c r="GM31" s="3" t="n">
        <v>3098.37467307692</v>
      </c>
      <c r="GN31" s="10" t="n">
        <v>2232.03</v>
      </c>
      <c r="GO31" s="93" t="n">
        <f aca="false">GN31/GM31</f>
        <v>0.720387375805466</v>
      </c>
      <c r="GQ31" s="7" t="n">
        <v>29</v>
      </c>
      <c r="GR31" s="7" t="s">
        <v>13</v>
      </c>
      <c r="GS31" s="3" t="n">
        <v>4984.5622574074</v>
      </c>
      <c r="GT31" s="10" t="n">
        <v>2383.5</v>
      </c>
      <c r="GU31" s="93" t="n">
        <f aca="false">GT31/GS31</f>
        <v>0.478176392813222</v>
      </c>
      <c r="GW31" s="7" t="n">
        <v>29</v>
      </c>
      <c r="GX31" s="7" t="s">
        <v>18</v>
      </c>
      <c r="GY31" s="3" t="n">
        <v>2356.85408333333</v>
      </c>
      <c r="GZ31" s="10" t="n">
        <v>3029</v>
      </c>
      <c r="HA31" s="93" t="n">
        <f aca="false">GZ31/GY31</f>
        <v>1.28518775151156</v>
      </c>
      <c r="HC31" s="7" t="n">
        <v>29</v>
      </c>
      <c r="HD31" s="7" t="s">
        <v>9</v>
      </c>
      <c r="HE31" s="3" t="n">
        <v>3129.20941666667</v>
      </c>
      <c r="HF31" s="8" t="n">
        <v>3109</v>
      </c>
      <c r="HG31" s="93" t="n">
        <f aca="false">HF31/HE31</f>
        <v>0.993541686101598</v>
      </c>
      <c r="HI31" s="5" t="s">
        <v>21</v>
      </c>
      <c r="HJ31" s="5"/>
      <c r="HK31" s="43" t="n">
        <f aca="false">SUM(HK3:HK30)</f>
        <v>97606.3214900285</v>
      </c>
      <c r="HL31" s="43" t="n">
        <f aca="false">SUM(HL3:HL30)</f>
        <v>86783.33</v>
      </c>
      <c r="HM31" s="93" t="n">
        <f aca="false">HL31/HK31</f>
        <v>0.889115875644036</v>
      </c>
      <c r="HO31" s="7" t="n">
        <v>29</v>
      </c>
      <c r="HP31" s="7" t="s">
        <v>17</v>
      </c>
      <c r="HQ31" s="3" t="n">
        <v>4694.97776</v>
      </c>
      <c r="HR31" s="8" t="n">
        <v>4400.5</v>
      </c>
      <c r="HS31" s="93" t="n">
        <f aca="false">HR31/HQ31</f>
        <v>0.937278135264266</v>
      </c>
      <c r="HU31" s="7" t="n">
        <v>29</v>
      </c>
      <c r="HV31" s="7" t="s">
        <v>7</v>
      </c>
      <c r="HW31" s="3" t="n">
        <v>2951.8025</v>
      </c>
      <c r="HX31" s="8" t="n">
        <v>3424.5</v>
      </c>
      <c r="HY31" s="93" t="n">
        <f aca="false">HX31/HW31</f>
        <v>1.16013859328326</v>
      </c>
      <c r="HZ31" s="100"/>
      <c r="IA31" s="7" t="n">
        <v>29</v>
      </c>
      <c r="IB31" s="7" t="s">
        <v>11</v>
      </c>
      <c r="IC31" s="3" t="n">
        <v>2874.87833043478</v>
      </c>
      <c r="ID31" s="8" t="n">
        <v>3029.5</v>
      </c>
      <c r="IE31" s="93" t="n">
        <f aca="false">ID31/IC31</f>
        <v>1.05378372640272</v>
      </c>
      <c r="IG31" s="7" t="n">
        <v>29</v>
      </c>
      <c r="IH31" s="7" t="s">
        <v>18</v>
      </c>
      <c r="II31" s="3" t="n">
        <v>2441.72591666667</v>
      </c>
      <c r="IJ31" s="8" t="n">
        <v>172.5</v>
      </c>
      <c r="IK31" s="93" t="n">
        <f aca="false">IJ31/II31</f>
        <v>0.0706467498348419</v>
      </c>
    </row>
    <row r="32" customFormat="false" ht="15.75" hidden="false" customHeight="true" outlineLevel="0" collapsed="false">
      <c r="A32" s="81"/>
      <c r="B32" s="81"/>
      <c r="C32" s="81"/>
      <c r="D32" s="81"/>
      <c r="E32" s="81"/>
      <c r="F32" s="81"/>
      <c r="G32" s="85" t="n">
        <v>30</v>
      </c>
      <c r="H32" s="85" t="s">
        <v>9</v>
      </c>
      <c r="I32" s="92" t="n">
        <v>2599.55</v>
      </c>
      <c r="J32" s="86" t="n">
        <v>3012</v>
      </c>
      <c r="K32" s="93" t="n">
        <f aca="false">J32/I32</f>
        <v>1.15866207612856</v>
      </c>
      <c r="L32" s="81"/>
      <c r="M32" s="85" t="n">
        <v>30</v>
      </c>
      <c r="N32" s="85" t="s">
        <v>17</v>
      </c>
      <c r="O32" s="86" t="n">
        <v>4495.4793</v>
      </c>
      <c r="P32" s="86" t="n">
        <v>2721</v>
      </c>
      <c r="Q32" s="93" t="n">
        <f aca="false">P32/O32</f>
        <v>0.605274725656061</v>
      </c>
      <c r="R32" s="81"/>
      <c r="S32" s="85" t="n">
        <v>30</v>
      </c>
      <c r="T32" s="85" t="s">
        <v>20</v>
      </c>
      <c r="U32" s="58" t="n">
        <v>3175.47</v>
      </c>
      <c r="V32" s="58" t="n">
        <v>3672</v>
      </c>
      <c r="W32" s="93" t="n">
        <f aca="false">V32/U32</f>
        <v>1.15636425474024</v>
      </c>
      <c r="X32" s="81"/>
      <c r="Y32" s="101" t="n">
        <v>30</v>
      </c>
      <c r="Z32" s="85" t="s">
        <v>11</v>
      </c>
      <c r="AA32" s="95" t="n">
        <v>3615.61944444444</v>
      </c>
      <c r="AB32" s="58" t="n">
        <v>2997.01</v>
      </c>
      <c r="AC32" s="93" t="n">
        <f aca="false">AB32/AA32</f>
        <v>0.828906373043501</v>
      </c>
      <c r="AD32" s="81"/>
      <c r="AE32" s="101" t="n">
        <v>30</v>
      </c>
      <c r="AF32" s="85" t="s">
        <v>17</v>
      </c>
      <c r="AG32" s="95" t="n">
        <v>3814.78206190476</v>
      </c>
      <c r="AH32" s="58" t="n">
        <v>7545.03</v>
      </c>
      <c r="AI32" s="93" t="n">
        <f aca="false">AH32/AG32</f>
        <v>1.97784037923065</v>
      </c>
      <c r="AJ32" s="81"/>
      <c r="AK32" s="101" t="n">
        <v>30</v>
      </c>
      <c r="AL32" s="85" t="s">
        <v>7</v>
      </c>
      <c r="AM32" s="58" t="n">
        <v>3259.27532608696</v>
      </c>
      <c r="AN32" s="58" t="n">
        <v>3032.01</v>
      </c>
      <c r="AO32" s="93" t="n">
        <f aca="false">AN32/AM32</f>
        <v>0.93027120959437</v>
      </c>
      <c r="AP32" s="81"/>
      <c r="AQ32" s="85" t="n">
        <v>30</v>
      </c>
      <c r="AR32" s="85" t="s">
        <v>13</v>
      </c>
      <c r="AS32" s="58" t="n">
        <v>4983.30807692308</v>
      </c>
      <c r="AT32" s="58" t="n">
        <v>6272.5</v>
      </c>
      <c r="AU32" s="93" t="n">
        <f aca="false">AT32/AS32</f>
        <v>1.2587020314973</v>
      </c>
      <c r="AV32" s="81"/>
      <c r="AW32" s="85" t="n">
        <v>30</v>
      </c>
      <c r="AX32" s="85" t="s">
        <v>18</v>
      </c>
      <c r="AY32" s="58" t="n">
        <v>2984.17084615385</v>
      </c>
      <c r="AZ32" s="58" t="n">
        <v>2202.57</v>
      </c>
      <c r="BA32" s="93" t="n">
        <f aca="false">AZ32/AY32</f>
        <v>0.738084417264107</v>
      </c>
      <c r="BB32" s="81"/>
      <c r="BC32" s="85" t="n">
        <v>30</v>
      </c>
      <c r="BD32" s="85" t="s">
        <v>9</v>
      </c>
      <c r="BE32" s="58" t="n">
        <v>3575.83073076923</v>
      </c>
      <c r="BF32" s="58" t="n">
        <v>3455</v>
      </c>
      <c r="BG32" s="93" t="n">
        <f aca="false">BF32/BE32</f>
        <v>0.966209046270141</v>
      </c>
      <c r="BH32" s="81"/>
      <c r="BI32" s="85" t="n">
        <v>30</v>
      </c>
      <c r="BJ32" s="85" t="s">
        <v>13</v>
      </c>
      <c r="BK32" s="58" t="n">
        <v>5319.04179545455</v>
      </c>
      <c r="BL32" s="58" t="n">
        <v>4350</v>
      </c>
      <c r="BM32" s="93" t="n">
        <f aca="false">BL32/BK32</f>
        <v>0.81781647283113</v>
      </c>
      <c r="BN32" s="81"/>
      <c r="BO32" s="85" t="n">
        <v>30</v>
      </c>
      <c r="BP32" s="85" t="s">
        <v>20</v>
      </c>
      <c r="BQ32" s="58" t="n">
        <v>3384.92498076923</v>
      </c>
      <c r="BR32" s="58" t="n">
        <v>3881.01</v>
      </c>
      <c r="BS32" s="93" t="n">
        <f aca="false">BR32/BQ32</f>
        <v>1.14655716804632</v>
      </c>
      <c r="BT32" s="81"/>
      <c r="BU32" s="85" t="s">
        <v>21</v>
      </c>
      <c r="BV32" s="85"/>
      <c r="BW32" s="90" t="n">
        <f aca="false">SUM(BW1:BW31)</f>
        <v>123817.702351808</v>
      </c>
      <c r="BX32" s="58" t="n">
        <f aca="false">SUM(BX1:BX31)</f>
        <v>151729.36</v>
      </c>
      <c r="BY32" s="93" t="n">
        <f aca="false">BX32/BW32</f>
        <v>1.22542542074384</v>
      </c>
      <c r="BZ32" s="81"/>
      <c r="CA32" s="85" t="n">
        <v>30</v>
      </c>
      <c r="CB32" s="85" t="s">
        <v>13</v>
      </c>
      <c r="CC32" s="58" t="n">
        <v>5912.07702884615</v>
      </c>
      <c r="CD32" s="58" t="n">
        <v>4470.03</v>
      </c>
      <c r="CE32" s="93" t="n">
        <f aca="false">CD32/CC32</f>
        <v>0.756084533098921</v>
      </c>
      <c r="CF32" s="81"/>
      <c r="CG32" s="85" t="n">
        <v>30</v>
      </c>
      <c r="CH32" s="85" t="s">
        <v>20</v>
      </c>
      <c r="CI32" s="86" t="n">
        <v>3787.98645144231</v>
      </c>
      <c r="CJ32" s="58" t="n">
        <v>3683.05</v>
      </c>
      <c r="CK32" s="93" t="n">
        <f aca="false">CJ32/CI32</f>
        <v>0.97229756421057</v>
      </c>
      <c r="CL32" s="81"/>
      <c r="CM32" s="85" t="n">
        <v>30</v>
      </c>
      <c r="CN32" s="85" t="s">
        <v>9</v>
      </c>
      <c r="CO32" s="86" t="n">
        <v>4144.624</v>
      </c>
      <c r="CP32" s="67" t="n">
        <v>2140.55</v>
      </c>
      <c r="CQ32" s="93" t="n">
        <f aca="false">CP32/CO32</f>
        <v>0.516464219673486</v>
      </c>
      <c r="CR32" s="81"/>
      <c r="CS32" s="85" t="n">
        <v>30</v>
      </c>
      <c r="CT32" s="85" t="s">
        <v>17</v>
      </c>
      <c r="CU32" s="86" t="n">
        <v>5211.90105263158</v>
      </c>
      <c r="CV32" s="58" t="n">
        <v>5516.01</v>
      </c>
      <c r="CW32" s="93" t="n">
        <f aca="false">CV32/CU32</f>
        <v>1.05834894874201</v>
      </c>
      <c r="CX32" s="81"/>
      <c r="CY32" s="85" t="n">
        <v>30</v>
      </c>
      <c r="CZ32" s="85" t="s">
        <v>20</v>
      </c>
      <c r="DA32" s="86" t="n">
        <v>3688.52485416667</v>
      </c>
      <c r="DB32" s="58" t="n">
        <v>3831.03</v>
      </c>
      <c r="DC32" s="93" t="n">
        <f aca="false">DB32/DA32</f>
        <v>1.03863472566068</v>
      </c>
      <c r="DD32" s="81"/>
      <c r="DE32" s="85" t="n">
        <v>30</v>
      </c>
      <c r="DF32" s="85" t="s">
        <v>11</v>
      </c>
      <c r="DG32" s="86" t="n">
        <v>3693.521125</v>
      </c>
      <c r="DH32" s="58" t="n">
        <v>2801.6</v>
      </c>
      <c r="DI32" s="93" t="n">
        <f aca="false">DH32/DG32</f>
        <v>0.758517389013174</v>
      </c>
      <c r="DJ32" s="81"/>
      <c r="DK32" s="85" t="n">
        <v>30</v>
      </c>
      <c r="DL32" s="85" t="s">
        <v>18</v>
      </c>
      <c r="DM32" s="86" t="n">
        <v>2758.34121739131</v>
      </c>
      <c r="DN32" s="58" t="n">
        <v>3228.05</v>
      </c>
      <c r="DO32" s="93" t="n">
        <f aca="false">DN32/DM32</f>
        <v>1.17028668521762</v>
      </c>
      <c r="DP32" s="81"/>
      <c r="DQ32" s="85" t="n">
        <v>30</v>
      </c>
      <c r="DR32" s="85" t="s">
        <v>7</v>
      </c>
      <c r="DS32" s="86" t="n">
        <v>3018.05525</v>
      </c>
      <c r="DT32" s="58" t="n">
        <v>2949</v>
      </c>
      <c r="DU32" s="93" t="n">
        <f aca="false">DT32/DS32</f>
        <v>0.977119288985846</v>
      </c>
      <c r="DV32" s="81"/>
      <c r="DW32" s="85" t="n">
        <v>30</v>
      </c>
      <c r="DX32" s="85" t="s">
        <v>13</v>
      </c>
      <c r="DY32" s="86" t="n">
        <v>4387.4299728</v>
      </c>
      <c r="DZ32" s="58" t="n">
        <v>3276.02</v>
      </c>
      <c r="EA32" s="93" t="n">
        <f aca="false">DZ32/DY32</f>
        <v>0.746683142593678</v>
      </c>
      <c r="EB32" s="81"/>
      <c r="EC32" s="85" t="n">
        <v>30</v>
      </c>
      <c r="ED32" s="85" t="s">
        <v>18</v>
      </c>
      <c r="EE32" s="86" t="n">
        <v>3478.47696</v>
      </c>
      <c r="EF32" s="58" t="n">
        <v>2174.5</v>
      </c>
      <c r="EG32" s="93" t="n">
        <f aca="false">EF32/EE32</f>
        <v>0.625129913179014</v>
      </c>
      <c r="EH32" s="100"/>
      <c r="EI32" s="85" t="n">
        <v>30</v>
      </c>
      <c r="EJ32" s="85" t="s">
        <v>9</v>
      </c>
      <c r="EK32" s="86" t="n">
        <v>3270.15311538462</v>
      </c>
      <c r="EL32" s="58" t="n">
        <v>3410.67</v>
      </c>
      <c r="EM32" s="93" t="n">
        <f aca="false">EL32/EK32</f>
        <v>1.04296951233088</v>
      </c>
      <c r="EN32" s="81"/>
      <c r="EO32" s="81"/>
      <c r="EP32" s="81"/>
      <c r="EQ32" s="81"/>
      <c r="ER32" s="81"/>
      <c r="ES32" s="81"/>
      <c r="ET32" s="81"/>
      <c r="EU32" s="85" t="n">
        <v>30</v>
      </c>
      <c r="EV32" s="85" t="s">
        <v>17</v>
      </c>
      <c r="EW32" s="86" t="n">
        <v>4690.301</v>
      </c>
      <c r="EX32" s="58" t="n">
        <v>3108</v>
      </c>
      <c r="EY32" s="93" t="n">
        <f aca="false">EX32/EW32</f>
        <v>0.662644039263152</v>
      </c>
      <c r="FA32" s="85" t="n">
        <v>30</v>
      </c>
      <c r="FB32" s="85" t="s">
        <v>7</v>
      </c>
      <c r="FC32" s="86" t="n">
        <v>3929.07108</v>
      </c>
      <c r="FD32" s="58" t="n">
        <v>3014.75</v>
      </c>
      <c r="FE32" s="93" t="n">
        <f aca="false">FD32/FC32</f>
        <v>0.767293321657087</v>
      </c>
      <c r="FG32" s="85" t="n">
        <v>30</v>
      </c>
      <c r="FH32" s="85" t="s">
        <v>11</v>
      </c>
      <c r="FI32" s="86" t="n">
        <v>4211.02930769231</v>
      </c>
      <c r="FJ32" s="58" t="n">
        <v>2221.78</v>
      </c>
      <c r="FK32" s="93" t="n">
        <f aca="false">FJ32/FI32</f>
        <v>0.527609721438287</v>
      </c>
      <c r="FL32" s="100"/>
      <c r="FM32" s="85" t="n">
        <v>30</v>
      </c>
      <c r="FN32" s="85" t="s">
        <v>18</v>
      </c>
      <c r="FO32" s="86" t="n">
        <v>3046.40219230769</v>
      </c>
      <c r="FP32" s="58" t="n">
        <v>1652.16</v>
      </c>
      <c r="FQ32" s="93" t="n">
        <f aca="false">FP32/FO32</f>
        <v>0.54233154249028</v>
      </c>
      <c r="FS32" s="85" t="n">
        <v>30</v>
      </c>
      <c r="FT32" s="85" t="s">
        <v>7</v>
      </c>
      <c r="FU32" s="86" t="n">
        <v>3453.12792</v>
      </c>
      <c r="FV32" s="58" t="n">
        <v>2285.01</v>
      </c>
      <c r="FW32" s="93" t="n">
        <f aca="false">FV32/FU32</f>
        <v>0.661721793382042</v>
      </c>
      <c r="FY32" s="85" t="n">
        <v>30</v>
      </c>
      <c r="FZ32" s="85" t="s">
        <v>13</v>
      </c>
      <c r="GA32" s="86" t="n">
        <v>4768.50242307692</v>
      </c>
      <c r="GB32" s="58" t="n">
        <v>3471.5</v>
      </c>
      <c r="GC32" s="93" t="n">
        <f aca="false">GB32/GA32</f>
        <v>0.728006340774801</v>
      </c>
      <c r="GE32" s="7" t="n">
        <v>30</v>
      </c>
      <c r="GF32" s="7" t="s">
        <v>20</v>
      </c>
      <c r="GG32" s="3" t="n">
        <v>2506.32326923077</v>
      </c>
      <c r="GH32" s="10" t="n">
        <v>2125.52</v>
      </c>
      <c r="GI32" s="93" t="n">
        <f aca="false">GH32/GG32</f>
        <v>0.848062987761493</v>
      </c>
      <c r="GK32" s="7" t="n">
        <v>30</v>
      </c>
      <c r="GL32" s="7" t="s">
        <v>9</v>
      </c>
      <c r="GM32" s="3" t="n">
        <v>3151.42417307692</v>
      </c>
      <c r="GN32" s="10" t="n">
        <v>1986</v>
      </c>
      <c r="GO32" s="93" t="n">
        <f aca="false">GN32/GM32</f>
        <v>0.630191269384391</v>
      </c>
      <c r="GQ32" s="7" t="n">
        <v>30</v>
      </c>
      <c r="GR32" s="7" t="s">
        <v>17</v>
      </c>
      <c r="GS32" s="3" t="n">
        <v>4423.43334444445</v>
      </c>
      <c r="GT32" s="10" t="n">
        <v>4227.5</v>
      </c>
      <c r="GU32" s="93" t="n">
        <f aca="false">GT32/GS32</f>
        <v>0.95570559581495</v>
      </c>
      <c r="GW32" s="7" t="n">
        <v>30</v>
      </c>
      <c r="GX32" s="7" t="s">
        <v>20</v>
      </c>
      <c r="GY32" s="3" t="n">
        <v>2287.03039583333</v>
      </c>
      <c r="GZ32" s="10" t="n">
        <v>2334.51</v>
      </c>
      <c r="HA32" s="93" t="n">
        <f aca="false">GZ32/GY32</f>
        <v>1.02076037303797</v>
      </c>
      <c r="HC32" s="7" t="n">
        <v>30</v>
      </c>
      <c r="HD32" s="7" t="s">
        <v>11</v>
      </c>
      <c r="HE32" s="3" t="n">
        <v>2824.96158333333</v>
      </c>
      <c r="HF32" s="8" t="n">
        <v>2112</v>
      </c>
      <c r="HG32" s="93" t="n">
        <f aca="false">HF32/HE32</f>
        <v>0.747620786229572</v>
      </c>
      <c r="HO32" s="7" t="n">
        <v>30</v>
      </c>
      <c r="HP32" s="7" t="s">
        <v>18</v>
      </c>
      <c r="HQ32" s="3" t="n">
        <v>2600.96311538462</v>
      </c>
      <c r="HR32" s="8" t="n">
        <v>2178</v>
      </c>
      <c r="HS32" s="93" t="n">
        <f aca="false">HR32/HQ32</f>
        <v>0.837382117077016</v>
      </c>
      <c r="HU32" s="7" t="n">
        <v>30</v>
      </c>
      <c r="HV32" s="7" t="s">
        <v>9</v>
      </c>
      <c r="HW32" s="3" t="n">
        <v>2871.19891666667</v>
      </c>
      <c r="HX32" s="8" t="n">
        <v>2596.5</v>
      </c>
      <c r="HY32" s="93" t="n">
        <f aca="false">HX32/HW32</f>
        <v>0.904326058681583</v>
      </c>
      <c r="HZ32" s="100"/>
      <c r="IA32" s="7" t="n">
        <v>30</v>
      </c>
      <c r="IB32" s="7" t="s">
        <v>13</v>
      </c>
      <c r="IC32" s="3" t="n">
        <v>4633.34946666667</v>
      </c>
      <c r="ID32" s="8" t="n">
        <v>4465</v>
      </c>
      <c r="IE32" s="93" t="n">
        <f aca="false">ID32/IC32</f>
        <v>0.963665709250336</v>
      </c>
      <c r="IG32" s="7" t="n">
        <v>30</v>
      </c>
      <c r="IH32" s="7" t="s">
        <v>20</v>
      </c>
      <c r="II32" s="3" t="n">
        <v>2595.82125</v>
      </c>
      <c r="IJ32" s="8" t="n">
        <v>1627.5</v>
      </c>
      <c r="IK32" s="93" t="n">
        <f aca="false">IJ32/II32</f>
        <v>0.626969210611093</v>
      </c>
    </row>
    <row r="33" customFormat="false" ht="15.75" hidden="false" customHeight="true" outlineLevel="0" collapsed="false">
      <c r="A33" s="81"/>
      <c r="B33" s="81"/>
      <c r="C33" s="81"/>
      <c r="D33" s="81"/>
      <c r="E33" s="81"/>
      <c r="F33" s="81"/>
      <c r="G33" s="85" t="n">
        <v>31</v>
      </c>
      <c r="H33" s="85" t="s">
        <v>11</v>
      </c>
      <c r="I33" s="92" t="n">
        <v>3555.4125</v>
      </c>
      <c r="J33" s="86" t="n">
        <v>7191.5</v>
      </c>
      <c r="K33" s="93" t="n">
        <f aca="false">J33/I33</f>
        <v>2.02269075669841</v>
      </c>
      <c r="L33" s="81"/>
      <c r="M33" s="85" t="s">
        <v>21</v>
      </c>
      <c r="N33" s="85"/>
      <c r="O33" s="92" t="n">
        <f aca="false">SUM(O3:O32)</f>
        <v>110965.257288889</v>
      </c>
      <c r="P33" s="86" t="n">
        <f aca="false">SUM(P3:P32)</f>
        <v>99572.5</v>
      </c>
      <c r="Q33" s="93" t="n">
        <f aca="false">P33/O33</f>
        <v>0.897330411632996</v>
      </c>
      <c r="R33" s="81"/>
      <c r="S33" s="85" t="n">
        <v>31</v>
      </c>
      <c r="T33" s="85" t="s">
        <v>7</v>
      </c>
      <c r="U33" s="58" t="n">
        <v>3056.81846153846</v>
      </c>
      <c r="V33" s="58" t="n">
        <v>2701.5</v>
      </c>
      <c r="W33" s="93" t="n">
        <f aca="false">V33/U33</f>
        <v>0.883762000913972</v>
      </c>
      <c r="X33" s="81"/>
      <c r="Y33" s="85" t="s">
        <v>21</v>
      </c>
      <c r="Z33" s="85"/>
      <c r="AA33" s="90" t="n">
        <f aca="false">SUM(AA3:AA32)</f>
        <v>97731.4724183006</v>
      </c>
      <c r="AB33" s="58" t="n">
        <f aca="false">SUM(AB3:AB32)</f>
        <v>93219.08</v>
      </c>
      <c r="AC33" s="93" t="n">
        <f aca="false">AB33/AA33</f>
        <v>0.953828666378962</v>
      </c>
      <c r="AD33" s="81"/>
      <c r="AE33" s="103" t="n">
        <v>31</v>
      </c>
      <c r="AF33" s="105" t="s">
        <v>18</v>
      </c>
      <c r="AG33" s="104" t="n">
        <v>2577.63165</v>
      </c>
      <c r="AH33" s="70" t="n">
        <v>2890</v>
      </c>
      <c r="AI33" s="93" t="n">
        <f aca="false">AH33/AG33</f>
        <v>1.12118424678716</v>
      </c>
      <c r="AJ33" s="81"/>
      <c r="AK33" s="103" t="n">
        <v>31</v>
      </c>
      <c r="AL33" s="85" t="s">
        <v>9</v>
      </c>
      <c r="AM33" s="58" t="n">
        <v>2961.45192</v>
      </c>
      <c r="AN33" s="58" t="n">
        <v>4048.52</v>
      </c>
      <c r="AO33" s="93" t="n">
        <f aca="false">AN33/AM33</f>
        <v>1.3670726756219</v>
      </c>
      <c r="AP33" s="81"/>
      <c r="AQ33" s="97" t="s">
        <v>21</v>
      </c>
      <c r="AR33" s="97"/>
      <c r="AS33" s="90" t="n">
        <f aca="false">SUM(AS3:AS32)</f>
        <v>117310.258384615</v>
      </c>
      <c r="AT33" s="58" t="n">
        <f aca="false">SUM(AT3:AT32)</f>
        <v>110107.27</v>
      </c>
      <c r="AU33" s="93" t="n">
        <f aca="false">AT33/AS33</f>
        <v>0.938598819201305</v>
      </c>
      <c r="AV33" s="81"/>
      <c r="AW33" s="85" t="n">
        <v>31</v>
      </c>
      <c r="AX33" s="85" t="s">
        <v>20</v>
      </c>
      <c r="AY33" s="58" t="n">
        <v>3688.79469230769</v>
      </c>
      <c r="AZ33" s="68" t="n">
        <v>2904.5</v>
      </c>
      <c r="BA33" s="93" t="n">
        <f aca="false">AZ33/AY33</f>
        <v>0.787384563867652</v>
      </c>
      <c r="BB33" s="81"/>
      <c r="BC33" s="85"/>
      <c r="BD33" s="85"/>
      <c r="BE33" s="58"/>
      <c r="BF33" s="68"/>
      <c r="BG33" s="93"/>
      <c r="BH33" s="81"/>
      <c r="BI33" s="85" t="n">
        <v>31</v>
      </c>
      <c r="BJ33" s="85" t="s">
        <v>17</v>
      </c>
      <c r="BK33" s="58" t="n">
        <v>0</v>
      </c>
      <c r="BL33" s="68" t="n">
        <v>0</v>
      </c>
      <c r="BM33" s="93"/>
      <c r="BN33" s="81"/>
      <c r="BO33" s="85" t="n">
        <v>31</v>
      </c>
      <c r="BP33" s="85" t="s">
        <v>7</v>
      </c>
      <c r="BQ33" s="58" t="n">
        <v>3756.90444230769</v>
      </c>
      <c r="BR33" s="68" t="n">
        <v>3380</v>
      </c>
      <c r="BS33" s="93" t="n">
        <f aca="false">BR33/BQ33</f>
        <v>0.899676862135952</v>
      </c>
      <c r="BT33" s="81"/>
      <c r="BU33" s="81"/>
      <c r="BV33" s="81"/>
      <c r="BW33" s="81"/>
      <c r="BX33" s="81"/>
      <c r="BY33" s="81"/>
      <c r="BZ33" s="81"/>
      <c r="CA33" s="85" t="n">
        <v>31</v>
      </c>
      <c r="CB33" s="85" t="s">
        <v>17</v>
      </c>
      <c r="CC33" s="58" t="n">
        <v>6068.54520833333</v>
      </c>
      <c r="CD33" s="68" t="n">
        <v>3468.12</v>
      </c>
      <c r="CE33" s="93" t="n">
        <f aca="false">CD33/CC33</f>
        <v>0.571491169784412</v>
      </c>
      <c r="CF33" s="81"/>
      <c r="CG33" s="85" t="s">
        <v>21</v>
      </c>
      <c r="CH33" s="85"/>
      <c r="CI33" s="90" t="str">
        <f aca="false">SUM(CI3:CI33)</f>
        <v>#REF!</v>
      </c>
      <c r="CJ33" s="58" t="str">
        <f aca="false">SUM(CJ3:CJ33)</f>
        <v>#REF!</v>
      </c>
      <c r="CK33" s="93" t="str">
        <f aca="false">CJ33/CI33</f>
        <v>#REF!</v>
      </c>
      <c r="CL33" s="81"/>
      <c r="CM33" s="85" t="n">
        <v>31</v>
      </c>
      <c r="CN33" s="85" t="s">
        <v>11</v>
      </c>
      <c r="CO33" s="86" t="n">
        <v>4759.3194</v>
      </c>
      <c r="CP33" s="60" t="n">
        <v>2462.5</v>
      </c>
      <c r="CQ33" s="93" t="n">
        <f aca="false">CP33/CO33</f>
        <v>0.517405913122788</v>
      </c>
      <c r="CR33" s="81"/>
      <c r="CS33" s="85" t="s">
        <v>21</v>
      </c>
      <c r="CT33" s="85"/>
      <c r="CU33" s="90" t="str">
        <f aca="false">SUM(CU3:CU33)</f>
        <v>#REF!</v>
      </c>
      <c r="CV33" s="58" t="str">
        <f aca="false">SUM(CV3:CV33)</f>
        <v>#REF!</v>
      </c>
      <c r="CW33" s="93" t="str">
        <f aca="false">CV33/CU33</f>
        <v>#REF!</v>
      </c>
      <c r="CX33" s="81"/>
      <c r="CY33" s="85" t="n">
        <v>31</v>
      </c>
      <c r="CZ33" s="85" t="s">
        <v>7</v>
      </c>
      <c r="DA33" s="86" t="n">
        <v>3391.54861458333</v>
      </c>
      <c r="DB33" s="58" t="n">
        <v>2610.6</v>
      </c>
      <c r="DC33" s="93" t="n">
        <f aca="false">DB33/DA33</f>
        <v>0.769736865564796</v>
      </c>
      <c r="DD33" s="81"/>
      <c r="DE33" s="85" t="n">
        <v>31</v>
      </c>
      <c r="DF33" s="85" t="s">
        <v>13</v>
      </c>
      <c r="DG33" s="86" t="n">
        <v>4876.4235625</v>
      </c>
      <c r="DH33" s="58" t="n">
        <v>2807.51</v>
      </c>
      <c r="DI33" s="93" t="n">
        <f aca="false">DH33/DG33</f>
        <v>0.575731366239374</v>
      </c>
      <c r="DJ33" s="81"/>
      <c r="DK33" s="85" t="s">
        <v>21</v>
      </c>
      <c r="DL33" s="85"/>
      <c r="DM33" s="90" t="str">
        <f aca="false">SUM(DM3:DM33)</f>
        <v>#REF!</v>
      </c>
      <c r="DN33" s="58" t="str">
        <f aca="false">SUM(DN3:DN33)</f>
        <v>#REF!</v>
      </c>
      <c r="DO33" s="93" t="str">
        <f aca="false">DN33/DM33</f>
        <v>#REF!</v>
      </c>
      <c r="DP33" s="81"/>
      <c r="DQ33" s="85" t="n">
        <v>31</v>
      </c>
      <c r="DR33" s="85" t="s">
        <v>9</v>
      </c>
      <c r="DS33" s="86" t="n">
        <v>2876.6968125</v>
      </c>
      <c r="DT33" s="57" t="n">
        <v>3705.03</v>
      </c>
      <c r="DU33" s="93" t="n">
        <f aca="false">DT33/DS33</f>
        <v>1.28794594685845</v>
      </c>
      <c r="DV33" s="81"/>
      <c r="DW33" s="107" t="s">
        <v>21</v>
      </c>
      <c r="DX33" s="107"/>
      <c r="DY33" s="108" t="str">
        <f aca="false">SUM(DY3:DY33)</f>
        <v>#REF!</v>
      </c>
      <c r="DZ33" s="71" t="str">
        <f aca="false">SUM(DZ3:DZ33)</f>
        <v>#REF!</v>
      </c>
      <c r="EA33" s="93" t="str">
        <f aca="false">DZ33/DY33</f>
        <v>#REF!</v>
      </c>
      <c r="EB33" s="81"/>
      <c r="EC33" s="85"/>
      <c r="ED33" s="85" t="s">
        <v>20</v>
      </c>
      <c r="EE33" s="86"/>
      <c r="EF33" s="58" t="n">
        <v>0</v>
      </c>
      <c r="EG33" s="93"/>
      <c r="EH33" s="100"/>
      <c r="EI33" s="85" t="n">
        <v>31</v>
      </c>
      <c r="EJ33" s="85" t="s">
        <v>11</v>
      </c>
      <c r="EK33" s="86" t="n">
        <v>3395.17378846154</v>
      </c>
      <c r="EL33" s="58" t="n">
        <v>4003.76</v>
      </c>
      <c r="EM33" s="93" t="n">
        <f aca="false">EL33/EK33</f>
        <v>1.17925038582907</v>
      </c>
      <c r="EN33" s="81"/>
      <c r="EO33" s="81"/>
      <c r="EP33" s="81"/>
      <c r="EQ33" s="81"/>
      <c r="ER33" s="81"/>
      <c r="ES33" s="81"/>
      <c r="ET33" s="81"/>
      <c r="EU33" s="85" t="n">
        <v>31</v>
      </c>
      <c r="EV33" s="85" t="s">
        <v>18</v>
      </c>
      <c r="EW33" s="86" t="n">
        <v>3506.36634615385</v>
      </c>
      <c r="EX33" s="71" t="n">
        <v>2419.5</v>
      </c>
      <c r="EY33" s="93" t="n">
        <f aca="false">EX33/EW33</f>
        <v>0.690030578993539</v>
      </c>
      <c r="FA33" s="107" t="s">
        <v>21</v>
      </c>
      <c r="FB33" s="107"/>
      <c r="FC33" s="108" t="n">
        <f aca="false">SUM(FC3:FC32)</f>
        <v>127575.3864</v>
      </c>
      <c r="FD33" s="71" t="n">
        <f aca="false">SUM(FD3:FD32)</f>
        <v>76405.63</v>
      </c>
      <c r="FE33" s="93" t="n">
        <f aca="false">FD33/FC33</f>
        <v>0.598905730611998</v>
      </c>
      <c r="FG33" s="85" t="n">
        <v>31</v>
      </c>
      <c r="FH33" s="85" t="s">
        <v>13</v>
      </c>
      <c r="FI33" s="86" t="n">
        <v>5462.33303846154</v>
      </c>
      <c r="FJ33" s="58" t="n">
        <v>4849.76</v>
      </c>
      <c r="FK33" s="93" t="n">
        <f aca="false">FJ33/FI33</f>
        <v>0.887855054946619</v>
      </c>
      <c r="FL33" s="100"/>
      <c r="FM33" s="107" t="s">
        <v>21</v>
      </c>
      <c r="FN33" s="107"/>
      <c r="FO33" s="108" t="n">
        <f aca="false">SUM(FO3:FO32)</f>
        <v>109785.170315897</v>
      </c>
      <c r="FP33" s="71" t="n">
        <f aca="false">SUM(FP3:FP32)</f>
        <v>74120.96</v>
      </c>
      <c r="FQ33" s="93" t="n">
        <f aca="false">FP33/FO33</f>
        <v>0.675145466247612</v>
      </c>
      <c r="FS33" s="85" t="n">
        <v>31</v>
      </c>
      <c r="FT33" s="85" t="s">
        <v>9</v>
      </c>
      <c r="FU33" s="86" t="n">
        <v>3309.52769230769</v>
      </c>
      <c r="FV33" s="58" t="n">
        <v>2123.8</v>
      </c>
      <c r="FW33" s="93" t="n">
        <f aca="false">FV33/FU33</f>
        <v>0.641722988127983</v>
      </c>
      <c r="FY33" s="85" t="n">
        <v>31</v>
      </c>
      <c r="FZ33" s="85" t="s">
        <v>17</v>
      </c>
      <c r="GA33" s="86" t="n">
        <v>4265.00853846154</v>
      </c>
      <c r="GB33" s="58" t="n">
        <v>4099.5</v>
      </c>
      <c r="GC33" s="93" t="n">
        <f aca="false">GB33/GA33</f>
        <v>0.961193855306737</v>
      </c>
      <c r="GE33" s="5" t="s">
        <v>21</v>
      </c>
      <c r="GF33" s="5"/>
      <c r="GG33" s="43" t="n">
        <f aca="false">SUM(GG3:GG32)</f>
        <v>95022.5323860399</v>
      </c>
      <c r="GH33" s="44" t="n">
        <f aca="false">SUM(GH3:GH32)</f>
        <v>71818.42</v>
      </c>
      <c r="GI33" s="93" t="n">
        <f aca="false">GH33/GG33</f>
        <v>0.755804104527855</v>
      </c>
      <c r="GK33" s="7" t="n">
        <v>31</v>
      </c>
      <c r="GL33" s="7" t="s">
        <v>11</v>
      </c>
      <c r="GM33" s="32" t="n">
        <v>3011.91634615385</v>
      </c>
      <c r="GN33" s="10" t="n">
        <v>1035</v>
      </c>
      <c r="GO33" s="93" t="n">
        <f aca="false">GN33/GM33</f>
        <v>0.343635041963125</v>
      </c>
      <c r="GQ33" s="5" t="s">
        <v>21</v>
      </c>
      <c r="GR33" s="5"/>
      <c r="GS33" s="43" t="str">
        <f aca="false">SUM(GS3:GS33)</f>
        <v>#REF!</v>
      </c>
      <c r="GT33" s="44" t="str">
        <f aca="false">SUM(GT3:GT33)</f>
        <v>#REF!</v>
      </c>
      <c r="GU33" s="93" t="str">
        <f aca="false">GT33/GS33</f>
        <v>#REF!</v>
      </c>
      <c r="GW33" s="7" t="n">
        <v>31</v>
      </c>
      <c r="GX33" s="7" t="s">
        <v>7</v>
      </c>
      <c r="GY33" s="32" t="n">
        <v>0</v>
      </c>
      <c r="GZ33" s="10" t="n">
        <v>0</v>
      </c>
      <c r="HA33" s="93"/>
      <c r="HC33" s="7" t="n">
        <v>31</v>
      </c>
      <c r="HD33" s="7" t="s">
        <v>13</v>
      </c>
      <c r="HE33" s="21" t="n">
        <v>3969.18954166667</v>
      </c>
      <c r="HF33" s="8" t="n">
        <v>4380.5</v>
      </c>
      <c r="HG33" s="93" t="n">
        <f aca="false">HF33/HE33</f>
        <v>1.10362580421408</v>
      </c>
      <c r="HO33" s="7" t="n">
        <v>31</v>
      </c>
      <c r="HP33" s="7" t="s">
        <v>20</v>
      </c>
      <c r="HQ33" s="21" t="n">
        <v>2691.10346153846</v>
      </c>
      <c r="HR33" s="8" t="n">
        <v>2128</v>
      </c>
      <c r="HS33" s="93" t="n">
        <f aca="false">HR33/HQ33</f>
        <v>0.790753692830322</v>
      </c>
      <c r="HU33" s="5" t="s">
        <v>21</v>
      </c>
      <c r="HV33" s="5"/>
      <c r="HW33" s="43" t="n">
        <f aca="false">SUM(HW2:HW32)</f>
        <v>99042.26925</v>
      </c>
      <c r="HX33" s="44" t="n">
        <f aca="false">SUM(HX2:HX32)</f>
        <v>81627.6</v>
      </c>
      <c r="HY33" s="93" t="n">
        <f aca="false">HX33/HW33</f>
        <v>0.824169323038809</v>
      </c>
      <c r="HZ33" s="100"/>
      <c r="IA33" s="7" t="n">
        <v>31</v>
      </c>
      <c r="IB33" s="7" t="s">
        <v>17</v>
      </c>
      <c r="IC33" s="21" t="n">
        <v>4467.71406666667</v>
      </c>
      <c r="ID33" s="8" t="n">
        <v>3762</v>
      </c>
      <c r="IE33" s="93" t="n">
        <f aca="false">ID33/IC33</f>
        <v>0.842041353556631</v>
      </c>
      <c r="IG33" s="5" t="s">
        <v>21</v>
      </c>
      <c r="IH33" s="5"/>
      <c r="II33" s="43" t="n">
        <f aca="false">SUM(II3:II33)</f>
        <v>96694.5586666667</v>
      </c>
      <c r="IJ33" s="44" t="n">
        <f aca="false">SUM(IJ3:IJ33)</f>
        <v>82177.03</v>
      </c>
      <c r="IK33" s="93" t="n">
        <f aca="false">IJ33/II33</f>
        <v>0.849861989476443</v>
      </c>
    </row>
    <row r="34" customFormat="false" ht="15.75" hidden="false" customHeight="true" outlineLevel="0" collapsed="false">
      <c r="A34" s="81"/>
      <c r="B34" s="81"/>
      <c r="C34" s="81"/>
      <c r="D34" s="81"/>
      <c r="E34" s="81"/>
      <c r="F34" s="81"/>
      <c r="G34" s="85" t="s">
        <v>21</v>
      </c>
      <c r="H34" s="85"/>
      <c r="I34" s="92" t="n">
        <f aca="false">SUM(I3:I33)</f>
        <v>115045.85</v>
      </c>
      <c r="J34" s="86" t="n">
        <f aca="false">SUM(J3:J33)</f>
        <v>103027.81</v>
      </c>
      <c r="K34" s="93" t="n">
        <f aca="false">J34/I34</f>
        <v>0.895536953310354</v>
      </c>
      <c r="L34" s="81"/>
      <c r="M34" s="81"/>
      <c r="N34" s="81"/>
      <c r="O34" s="81"/>
      <c r="P34" s="81"/>
      <c r="Q34" s="81"/>
      <c r="R34" s="81"/>
      <c r="S34" s="85" t="s">
        <v>21</v>
      </c>
      <c r="T34" s="85"/>
      <c r="U34" s="90" t="n">
        <f aca="false">SUM(U3:U33)</f>
        <v>105229.085128205</v>
      </c>
      <c r="V34" s="58" t="n">
        <f aca="false">SUM(V3:V33)</f>
        <v>85432.5</v>
      </c>
      <c r="W34" s="93" t="n">
        <f aca="false">V34/U34</f>
        <v>0.811871545741502</v>
      </c>
      <c r="X34" s="81"/>
      <c r="Y34" s="81"/>
      <c r="Z34" s="81"/>
      <c r="AA34" s="81"/>
      <c r="AB34" s="81"/>
      <c r="AC34" s="81"/>
      <c r="AD34" s="81"/>
      <c r="AE34" s="85" t="s">
        <v>21</v>
      </c>
      <c r="AF34" s="85"/>
      <c r="AG34" s="90" t="n">
        <f aca="false">SUM(AG3:AG33)</f>
        <v>104019.745609245</v>
      </c>
      <c r="AH34" s="58" t="n">
        <f aca="false">SUM(AH3:AH33)</f>
        <v>128924.2</v>
      </c>
      <c r="AI34" s="93" t="n">
        <f aca="false">AH34/AG34</f>
        <v>1.23942045084699</v>
      </c>
      <c r="AJ34" s="81"/>
      <c r="AK34" s="97" t="s">
        <v>21</v>
      </c>
      <c r="AL34" s="97"/>
      <c r="AM34" s="90" t="n">
        <f aca="false">SUM(AM3:AM33)</f>
        <v>107505.381314822</v>
      </c>
      <c r="AN34" s="58" t="n">
        <f aca="false">SUM(AN3:AN33)</f>
        <v>118105.28</v>
      </c>
      <c r="AO34" s="93" t="n">
        <f aca="false">AN34/AM34</f>
        <v>1.09859877296874</v>
      </c>
      <c r="AP34" s="81"/>
      <c r="AQ34" s="81"/>
      <c r="AR34" s="81"/>
      <c r="AS34" s="81"/>
      <c r="AT34" s="81"/>
      <c r="AU34" s="81"/>
      <c r="AV34" s="81"/>
      <c r="AW34" s="85" t="s">
        <v>21</v>
      </c>
      <c r="AX34" s="85"/>
      <c r="AY34" s="90" t="n">
        <f aca="false">SUM(AY3:AY33)</f>
        <v>121948.190327473</v>
      </c>
      <c r="AZ34" s="58" t="n">
        <f aca="false">SUM(AZ3:AZ33)</f>
        <v>125260.71</v>
      </c>
      <c r="BA34" s="93" t="n">
        <f aca="false">AZ34/AY34</f>
        <v>1.02716333603338</v>
      </c>
      <c r="BB34" s="81"/>
      <c r="BC34" s="85" t="s">
        <v>21</v>
      </c>
      <c r="BD34" s="85"/>
      <c r="BE34" s="90" t="n">
        <f aca="false">SUM(BE3:BE33)</f>
        <v>120235.2975</v>
      </c>
      <c r="BF34" s="58" t="n">
        <f aca="false">SUM(BF3:BF33)</f>
        <v>119127.72</v>
      </c>
      <c r="BG34" s="93" t="n">
        <f aca="false">BF34/BE34</f>
        <v>0.990788250014518</v>
      </c>
      <c r="BH34" s="81"/>
      <c r="BI34" s="85" t="s">
        <v>21</v>
      </c>
      <c r="BJ34" s="85"/>
      <c r="BK34" s="90" t="n">
        <f aca="false">SUM(BK3:BK33)</f>
        <v>119728.5075</v>
      </c>
      <c r="BL34" s="58" t="n">
        <f aca="false">SUM(BL3:BL33)</f>
        <v>104909.69</v>
      </c>
      <c r="BM34" s="93" t="n">
        <f aca="false">BL34/BK34</f>
        <v>0.876229831896969</v>
      </c>
      <c r="BN34" s="81"/>
      <c r="BO34" s="85" t="s">
        <v>21</v>
      </c>
      <c r="BP34" s="85"/>
      <c r="BQ34" s="90" t="n">
        <f aca="false">SUM(BQ3:BQ33)</f>
        <v>124343.122037436</v>
      </c>
      <c r="BR34" s="58" t="n">
        <f aca="false">SUM(BR3:BR33)</f>
        <v>131247.91</v>
      </c>
      <c r="BS34" s="93" t="n">
        <f aca="false">BR34/BQ34</f>
        <v>1.055530115775</v>
      </c>
      <c r="BT34" s="81"/>
      <c r="BU34" s="81"/>
      <c r="BV34" s="81"/>
      <c r="BW34" s="81"/>
      <c r="BX34" s="81"/>
      <c r="BY34" s="81"/>
      <c r="BZ34" s="81"/>
      <c r="CA34" s="85" t="s">
        <v>21</v>
      </c>
      <c r="CB34" s="85"/>
      <c r="CC34" s="90" t="n">
        <f aca="false">SUM(CC3:CC33)</f>
        <v>141025.344580128</v>
      </c>
      <c r="CD34" s="58" t="n">
        <f aca="false">SUM(CD3:CD33)</f>
        <v>148517.4</v>
      </c>
      <c r="CE34" s="93" t="n">
        <f aca="false">CD34/CC34</f>
        <v>1.05312559555999</v>
      </c>
      <c r="CF34" s="81"/>
      <c r="CG34" s="81"/>
      <c r="CH34" s="81"/>
      <c r="CI34" s="81"/>
      <c r="CJ34" s="81"/>
      <c r="CK34" s="81"/>
      <c r="CL34" s="81"/>
      <c r="CM34" s="85" t="s">
        <v>21</v>
      </c>
      <c r="CN34" s="85"/>
      <c r="CO34" s="90" t="n">
        <f aca="false">SUM(CO3:CO33)</f>
        <v>149796.486766667</v>
      </c>
      <c r="CP34" s="58" t="n">
        <f aca="false">SUM(CP3:CP33)</f>
        <v>77419.42</v>
      </c>
      <c r="CQ34" s="93" t="n">
        <f aca="false">CP34/CO34</f>
        <v>0.516830679217423</v>
      </c>
      <c r="CR34" s="81"/>
      <c r="CS34" s="81"/>
      <c r="CT34" s="81"/>
      <c r="CU34" s="81"/>
      <c r="CV34" s="81"/>
      <c r="CW34" s="81"/>
      <c r="CX34" s="81"/>
      <c r="CY34" s="85" t="s">
        <v>21</v>
      </c>
      <c r="CZ34" s="85"/>
      <c r="DA34" s="90" t="n">
        <f aca="false">SUM(DA3:DA33)</f>
        <v>119787.600885417</v>
      </c>
      <c r="DB34" s="58" t="n">
        <f aca="false">SUM(DB3:DB33)</f>
        <v>92996.1</v>
      </c>
      <c r="DC34" s="93" t="n">
        <f aca="false">DB34/DA34</f>
        <v>0.776341618937304</v>
      </c>
      <c r="DD34" s="81"/>
      <c r="DE34" s="85" t="s">
        <v>21</v>
      </c>
      <c r="DF34" s="85"/>
      <c r="DG34" s="90" t="n">
        <f aca="false">SUM(DG3:DG33)</f>
        <v>114832.351375</v>
      </c>
      <c r="DH34" s="58" t="n">
        <f aca="false">SUM(DH3:DH33)</f>
        <v>82651.69</v>
      </c>
      <c r="DI34" s="93" t="n">
        <f aca="false">DH34/DG34</f>
        <v>0.719759623575852</v>
      </c>
      <c r="DJ34" s="81"/>
      <c r="DK34" s="81"/>
      <c r="DL34" s="81"/>
      <c r="DM34" s="81"/>
      <c r="DN34" s="81"/>
      <c r="DO34" s="81"/>
      <c r="DP34" s="81"/>
      <c r="DQ34" s="85" t="s">
        <v>21</v>
      </c>
      <c r="DR34" s="85"/>
      <c r="DS34" s="90" t="n">
        <f aca="false">SUM(DS3:DS33)</f>
        <v>94512.466125</v>
      </c>
      <c r="DT34" s="58" t="n">
        <f aca="false">SUM(DT3:DT32)</f>
        <v>113871.08</v>
      </c>
      <c r="DU34" s="93" t="n">
        <f aca="false">DT34/DS34</f>
        <v>1.20482603691027</v>
      </c>
      <c r="DV34" s="81"/>
      <c r="DW34" s="81"/>
      <c r="DX34" s="81"/>
      <c r="DY34" s="81"/>
      <c r="DZ34" s="81"/>
      <c r="EA34" s="81"/>
      <c r="EB34" s="81"/>
      <c r="EC34" s="107" t="s">
        <v>21</v>
      </c>
      <c r="ED34" s="107"/>
      <c r="EE34" s="108" t="n">
        <f aca="false">SUM(EE3:EE33)</f>
        <v>116516.38237265</v>
      </c>
      <c r="EF34" s="71" t="n">
        <f aca="false">SUM(EF3:EF33)</f>
        <v>80120.6</v>
      </c>
      <c r="EG34" s="93" t="n">
        <f aca="false">EF34/EE34</f>
        <v>0.687633776199415</v>
      </c>
      <c r="EH34" s="100"/>
      <c r="EI34" s="107" t="s">
        <v>21</v>
      </c>
      <c r="EJ34" s="107"/>
      <c r="EK34" s="108" t="n">
        <f aca="false">SUM(EK3:EK33)</f>
        <v>105090.072214615</v>
      </c>
      <c r="EL34" s="71" t="n">
        <f aca="false">SUM(EL3:EL33)</f>
        <v>118751.68</v>
      </c>
      <c r="EM34" s="93" t="n">
        <f aca="false">EL34/EK34</f>
        <v>1.12999903318636</v>
      </c>
      <c r="EN34" s="81"/>
      <c r="EO34" s="81"/>
      <c r="EP34" s="81"/>
      <c r="EQ34" s="81"/>
      <c r="ER34" s="81"/>
      <c r="ES34" s="81"/>
      <c r="ET34" s="81"/>
      <c r="EU34" s="107" t="s">
        <v>21</v>
      </c>
      <c r="EV34" s="107"/>
      <c r="EW34" s="108" t="n">
        <f aca="false">SUM(EW3:EW33)</f>
        <v>129407.443039487</v>
      </c>
      <c r="EX34" s="71" t="n">
        <f aca="false">SUM(EX3:EX33)</f>
        <v>111252.51</v>
      </c>
      <c r="EY34" s="93" t="n">
        <f aca="false">EX34/EW34</f>
        <v>0.859707196023127</v>
      </c>
      <c r="FG34" s="107" t="s">
        <v>21</v>
      </c>
      <c r="FH34" s="107"/>
      <c r="FI34" s="108" t="n">
        <f aca="false">SUM(FI3:FI33)</f>
        <v>133367.077512308</v>
      </c>
      <c r="FJ34" s="71" t="n">
        <f aca="false">SUM(FJ3:FJ33)</f>
        <v>89507.4</v>
      </c>
      <c r="FK34" s="93" t="n">
        <f aca="false">FJ34/FI34</f>
        <v>0.671135648089311</v>
      </c>
      <c r="FL34" s="100"/>
      <c r="FS34" s="107" t="s">
        <v>21</v>
      </c>
      <c r="FT34" s="107"/>
      <c r="FU34" s="108" t="n">
        <f aca="false">SUM(FU3:FU33)</f>
        <v>110664.5892</v>
      </c>
      <c r="FV34" s="71" t="n">
        <f aca="false">SUM(FV3:FV33)</f>
        <v>78307.77</v>
      </c>
      <c r="FW34" s="93" t="n">
        <f aca="false">FV34/FU34</f>
        <v>0.70761361485269</v>
      </c>
      <c r="FY34" s="107" t="s">
        <v>21</v>
      </c>
      <c r="FZ34" s="107"/>
      <c r="GA34" s="108" t="n">
        <f aca="false">SUM(GA3:GA33)</f>
        <v>110311.119684615</v>
      </c>
      <c r="GB34" s="71" t="n">
        <f aca="false">SUM(GB3:GB33)</f>
        <v>86057.43</v>
      </c>
      <c r="GC34" s="93" t="n">
        <f aca="false">GB34/GA34</f>
        <v>0.780133772969055</v>
      </c>
      <c r="GK34" s="5" t="s">
        <v>21</v>
      </c>
      <c r="GL34" s="5"/>
      <c r="GM34" s="43" t="n">
        <f aca="false">SUM(GM3:GM33)</f>
        <v>99233.8058475783</v>
      </c>
      <c r="GN34" s="44" t="n">
        <f aca="false">SUM(GN3:GN33)</f>
        <v>114187.53</v>
      </c>
      <c r="GO34" s="93" t="n">
        <f aca="false">GN34/GM34</f>
        <v>1.15069183354098</v>
      </c>
      <c r="GW34" s="5" t="s">
        <v>21</v>
      </c>
      <c r="GX34" s="5"/>
      <c r="GY34" s="43" t="n">
        <f aca="false">SUM(GY3:GY33)</f>
        <v>87443.490355</v>
      </c>
      <c r="GZ34" s="44" t="n">
        <f aca="false">SUM(GZ3:GZ33)</f>
        <v>78078.14</v>
      </c>
      <c r="HA34" s="93" t="n">
        <f aca="false">GZ34/GY34</f>
        <v>0.892898255582218</v>
      </c>
      <c r="HC34" s="5" t="s">
        <v>21</v>
      </c>
      <c r="HD34" s="5"/>
      <c r="HE34" s="43" t="n">
        <f aca="false">SUM(HE3:HE33)</f>
        <v>95480.368855</v>
      </c>
      <c r="HF34" s="44" t="n">
        <f aca="false">SUM(HF3:HF33)</f>
        <v>119219.13</v>
      </c>
      <c r="HG34" s="93" t="n">
        <f aca="false">HF34/HE34</f>
        <v>1.24862452281736</v>
      </c>
      <c r="HO34" s="5" t="s">
        <v>21</v>
      </c>
      <c r="HP34" s="5"/>
      <c r="HQ34" s="43" t="n">
        <f aca="false">SUM(HQ3:HQ33)</f>
        <v>105356.821223077</v>
      </c>
      <c r="HR34" s="44" t="n">
        <f aca="false">SUM(HR3:HR33)</f>
        <v>80248.51</v>
      </c>
      <c r="HS34" s="93" t="n">
        <f aca="false">HR34/HQ34</f>
        <v>0.761683098145929</v>
      </c>
      <c r="IA34" s="5" t="s">
        <v>21</v>
      </c>
      <c r="IB34" s="5"/>
      <c r="IC34" s="43" t="n">
        <f aca="false">SUM(IC3:IC33)</f>
        <v>103295.813221871</v>
      </c>
      <c r="ID34" s="44" t="n">
        <f aca="false">SUM(ID3:ID33)</f>
        <v>99306.09</v>
      </c>
      <c r="IE34" s="93" t="n">
        <f aca="false">ID34/IC34</f>
        <v>0.961375750890297</v>
      </c>
    </row>
    <row r="35" customFormat="false" ht="15.75" hidden="false" customHeight="true" outlineLevel="0" collapsed="false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</row>
    <row r="36" customFormat="false" ht="15.75" hidden="false" customHeight="true" outlineLevel="0" collapsed="false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</row>
    <row r="37" customFormat="false" ht="15.75" hidden="false" customHeight="true" outlineLevel="0" collapsed="false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</row>
    <row r="38" customFormat="false" ht="15.75" hidden="false" customHeight="true" outlineLevel="0" collapsed="false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</row>
    <row r="39" customFormat="false" ht="15.75" hidden="false" customHeight="tru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</row>
    <row r="40" customFormat="false" ht="15.75" hidden="false" customHeight="true" outlineLevel="0" collapsed="false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</row>
    <row r="41" customFormat="false" ht="15.75" hidden="false" customHeight="tru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</row>
    <row r="42" customFormat="false" ht="15.75" hidden="false" customHeight="true" outlineLevel="0" collapsed="false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</row>
    <row r="43" customFormat="false" ht="15.75" hidden="false" customHeight="true" outlineLevel="0" collapsed="false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</row>
    <row r="44" customFormat="false" ht="15.75" hidden="false" customHeight="tru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81"/>
      <c r="EL44" s="81"/>
      <c r="EM44" s="81"/>
      <c r="EN44" s="81"/>
      <c r="EO44" s="81"/>
      <c r="EP44" s="81"/>
      <c r="EQ44" s="81"/>
      <c r="ER44" s="81"/>
      <c r="ES44" s="81"/>
      <c r="ET44" s="81"/>
      <c r="EU44" s="81"/>
      <c r="EV44" s="81"/>
      <c r="EW44" s="81"/>
      <c r="EX44" s="81"/>
      <c r="EY44" s="81"/>
    </row>
    <row r="45" customFormat="false" ht="15.75" hidden="false" customHeight="tru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</row>
    <row r="46" customFormat="false" ht="15.75" hidden="false" customHeight="tru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  <c r="EM46" s="81"/>
      <c r="EN46" s="81"/>
      <c r="EO46" s="81"/>
      <c r="EP46" s="81"/>
      <c r="EQ46" s="81"/>
      <c r="ER46" s="81"/>
      <c r="ES46" s="81"/>
      <c r="ET46" s="81"/>
      <c r="EU46" s="81"/>
      <c r="EV46" s="81"/>
      <c r="EW46" s="81"/>
      <c r="EX46" s="81"/>
      <c r="EY46" s="81"/>
    </row>
    <row r="47" customFormat="false" ht="15.75" hidden="false" customHeight="tru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</row>
    <row r="48" customFormat="false" ht="15.75" hidden="false" customHeight="tru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81"/>
      <c r="EL48" s="81"/>
      <c r="EM48" s="81"/>
      <c r="EN48" s="81"/>
      <c r="EO48" s="81"/>
      <c r="EP48" s="81"/>
      <c r="EQ48" s="81"/>
      <c r="ER48" s="81"/>
      <c r="ES48" s="81"/>
      <c r="ET48" s="81"/>
      <c r="EU48" s="81"/>
      <c r="EV48" s="81"/>
      <c r="EW48" s="81"/>
      <c r="EX48" s="81"/>
      <c r="EY48" s="81"/>
    </row>
    <row r="49" customFormat="false" ht="15.75" hidden="false" customHeight="tru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81"/>
      <c r="EL49" s="81"/>
      <c r="EM49" s="81"/>
      <c r="EN49" s="81"/>
      <c r="EO49" s="81"/>
      <c r="EP49" s="81"/>
      <c r="EQ49" s="81"/>
      <c r="ER49" s="81"/>
      <c r="ES49" s="81"/>
      <c r="ET49" s="81"/>
      <c r="EU49" s="81"/>
      <c r="EV49" s="81"/>
      <c r="EW49" s="81"/>
      <c r="EX49" s="81"/>
      <c r="EY49" s="81"/>
    </row>
    <row r="50" customFormat="false" ht="15.75" hidden="false" customHeight="tru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81"/>
      <c r="EL50" s="81"/>
      <c r="EM50" s="81"/>
      <c r="EN50" s="81"/>
      <c r="EO50" s="81"/>
      <c r="EP50" s="81"/>
      <c r="EQ50" s="81"/>
      <c r="ER50" s="81"/>
      <c r="ES50" s="81"/>
      <c r="ET50" s="81"/>
      <c r="EU50" s="81"/>
      <c r="EV50" s="81"/>
      <c r="EW50" s="81"/>
      <c r="EX50" s="81"/>
      <c r="EY50" s="81"/>
    </row>
    <row r="51" customFormat="false" ht="15.75" hidden="false" customHeight="tru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81"/>
      <c r="EL51" s="81"/>
      <c r="EM51" s="81"/>
      <c r="EN51" s="81"/>
      <c r="EO51" s="81"/>
      <c r="EP51" s="81"/>
      <c r="EQ51" s="81"/>
      <c r="ER51" s="81"/>
      <c r="ES51" s="81"/>
      <c r="ET51" s="81"/>
      <c r="EU51" s="81"/>
      <c r="EV51" s="81"/>
      <c r="EW51" s="81"/>
      <c r="EX51" s="81"/>
      <c r="EY51" s="81"/>
    </row>
    <row r="52" customFormat="false" ht="15.75" hidden="false" customHeight="tru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  <c r="EJ52" s="81"/>
      <c r="EK52" s="81"/>
      <c r="EL52" s="81"/>
      <c r="EM52" s="81"/>
      <c r="EN52" s="81"/>
      <c r="EO52" s="81"/>
      <c r="EP52" s="81"/>
      <c r="EQ52" s="81"/>
      <c r="ER52" s="81"/>
      <c r="ES52" s="81"/>
      <c r="ET52" s="81"/>
      <c r="EU52" s="81"/>
      <c r="EV52" s="81"/>
      <c r="EW52" s="81"/>
      <c r="EX52" s="81"/>
      <c r="EY52" s="81"/>
    </row>
    <row r="53" customFormat="false" ht="15.75" hidden="false" customHeight="tru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  <c r="EG53" s="81"/>
      <c r="EH53" s="81"/>
      <c r="EI53" s="81"/>
      <c r="EJ53" s="81"/>
      <c r="EK53" s="81"/>
      <c r="EL53" s="81"/>
      <c r="EM53" s="81"/>
      <c r="EN53" s="81"/>
      <c r="EO53" s="81"/>
      <c r="EP53" s="81"/>
      <c r="EQ53" s="81"/>
      <c r="ER53" s="81"/>
      <c r="ES53" s="81"/>
      <c r="ET53" s="81"/>
      <c r="EU53" s="81"/>
      <c r="EV53" s="81"/>
      <c r="EW53" s="81"/>
      <c r="EX53" s="81"/>
      <c r="EY53" s="81"/>
    </row>
    <row r="54" customFormat="false" ht="15.75" hidden="false" customHeight="tru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81"/>
      <c r="EL54" s="81"/>
      <c r="EM54" s="81"/>
      <c r="EN54" s="81"/>
      <c r="EO54" s="81"/>
      <c r="EP54" s="81"/>
      <c r="EQ54" s="81"/>
      <c r="ER54" s="81"/>
      <c r="ES54" s="81"/>
      <c r="ET54" s="81"/>
      <c r="EU54" s="81"/>
      <c r="EV54" s="81"/>
      <c r="EW54" s="81"/>
      <c r="EX54" s="81"/>
      <c r="EY54" s="81"/>
    </row>
    <row r="55" customFormat="false" ht="15.75" hidden="false" customHeight="tru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1"/>
      <c r="EK55" s="81"/>
      <c r="EL55" s="81"/>
      <c r="EM55" s="81"/>
      <c r="EN55" s="81"/>
      <c r="EO55" s="81"/>
      <c r="EP55" s="81"/>
      <c r="EQ55" s="81"/>
      <c r="ER55" s="81"/>
      <c r="ES55" s="81"/>
      <c r="ET55" s="81"/>
      <c r="EU55" s="81"/>
      <c r="EV55" s="81"/>
      <c r="EW55" s="81"/>
      <c r="EX55" s="81"/>
      <c r="EY55" s="81"/>
    </row>
    <row r="56" customFormat="false" ht="15.75" hidden="false" customHeight="tru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1"/>
      <c r="EK56" s="81"/>
      <c r="EL56" s="81"/>
      <c r="EM56" s="81"/>
      <c r="EN56" s="81"/>
      <c r="EO56" s="81"/>
      <c r="EP56" s="81"/>
      <c r="EQ56" s="81"/>
      <c r="ER56" s="81"/>
      <c r="ES56" s="81"/>
      <c r="ET56" s="81"/>
      <c r="EU56" s="81"/>
      <c r="EV56" s="81"/>
      <c r="EW56" s="81"/>
      <c r="EX56" s="81"/>
      <c r="EY56" s="81"/>
    </row>
    <row r="57" customFormat="false" ht="15.75" hidden="false" customHeight="tru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81"/>
      <c r="EL57" s="81"/>
      <c r="EM57" s="81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</row>
    <row r="58" customFormat="false" ht="15.75" hidden="false" customHeight="tru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N58" s="81"/>
      <c r="EO58" s="81"/>
      <c r="EP58" s="81"/>
      <c r="EQ58" s="81"/>
      <c r="ER58" s="81"/>
      <c r="ES58" s="81"/>
      <c r="ET58" s="81"/>
      <c r="EU58" s="81"/>
      <c r="EV58" s="81"/>
      <c r="EW58" s="81"/>
      <c r="EX58" s="81"/>
      <c r="EY58" s="81"/>
    </row>
    <row r="59" customFormat="false" ht="15.75" hidden="false" customHeight="tru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</row>
    <row r="60" customFormat="false" ht="15.75" hidden="false" customHeight="tru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</row>
    <row r="61" customFormat="false" ht="15.75" hidden="false" customHeight="tru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</row>
    <row r="62" customFormat="false" ht="15.75" hidden="false" customHeight="tru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</row>
    <row r="63" customFormat="false" ht="15.75" hidden="false" customHeight="tru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</row>
    <row r="64" customFormat="false" ht="15.75" hidden="false" customHeight="tru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</row>
    <row r="65" customFormat="false" ht="15.75" hidden="false" customHeight="tru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</row>
    <row r="66" customFormat="false" ht="15.75" hidden="false" customHeight="tru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</row>
    <row r="67" customFormat="false" ht="15.75" hidden="false" customHeight="tru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</row>
    <row r="68" customFormat="false" ht="15.75" hidden="false" customHeight="tru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</row>
    <row r="69" customFormat="false" ht="15.75" hidden="false" customHeight="tru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</row>
    <row r="70" customFormat="false" ht="15.75" hidden="false" customHeight="tru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</row>
    <row r="71" customFormat="false" ht="15.75" hidden="false" customHeight="tru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</row>
    <row r="72" customFormat="false" ht="15.75" hidden="false" customHeight="tru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</row>
    <row r="73" customFormat="false" ht="15.75" hidden="false" customHeight="tru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</row>
    <row r="74" customFormat="false" ht="15.75" hidden="false" customHeight="tru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</row>
    <row r="75" customFormat="false" ht="15.75" hidden="false" customHeight="tru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</row>
    <row r="76" customFormat="false" ht="15.75" hidden="false" customHeight="tru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</row>
    <row r="77" customFormat="false" ht="15.75" hidden="false" customHeight="tru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</row>
    <row r="78" customFormat="false" ht="15.75" hidden="false" customHeight="tru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</row>
    <row r="79" customFormat="false" ht="15.75" hidden="false" customHeight="tru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</row>
    <row r="80" customFormat="false" ht="15.75" hidden="false" customHeight="tru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</row>
    <row r="81" customFormat="false" ht="15.75" hidden="false" customHeight="tru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</row>
    <row r="82" customFormat="false" ht="15.75" hidden="false" customHeight="tru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</row>
    <row r="83" customFormat="false" ht="15.75" hidden="false" customHeight="tru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</row>
    <row r="84" customFormat="false" ht="15.75" hidden="false" customHeight="tru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</row>
    <row r="85" customFormat="false" ht="15.75" hidden="false" customHeight="tru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</row>
    <row r="86" customFormat="false" ht="15.75" hidden="false" customHeight="tru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</row>
    <row r="87" customFormat="false" ht="15.75" hidden="false" customHeight="tru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</row>
    <row r="88" customFormat="false" ht="15.75" hidden="false" customHeight="tru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</row>
    <row r="89" customFormat="false" ht="15.75" hidden="false" customHeight="tru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</row>
    <row r="90" customFormat="false" ht="15.75" hidden="false" customHeight="tru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</row>
    <row r="91" customFormat="false" ht="15.75" hidden="false" customHeight="tru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</row>
    <row r="92" customFormat="false" ht="15.75" hidden="false" customHeight="tru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</row>
    <row r="93" customFormat="false" ht="15.75" hidden="false" customHeight="tru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</row>
    <row r="94" customFormat="false" ht="15.75" hidden="false" customHeight="tru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</row>
    <row r="95" customFormat="false" ht="15.75" hidden="false" customHeight="tru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</row>
    <row r="96" customFormat="false" ht="15.75" hidden="false" customHeight="tru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</row>
    <row r="97" customFormat="false" ht="15.75" hidden="false" customHeight="tru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</row>
    <row r="98" customFormat="false" ht="15.75" hidden="false" customHeight="tru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</row>
    <row r="99" customFormat="false" ht="15.75" hidden="false" customHeight="tru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</row>
    <row r="100" customFormat="false" ht="15.75" hidden="false" customHeight="tru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</sheetData>
  <sheetProtection algorithmName="SHA-512" hashValue="eoxgyyjO/NWdPUCa48w7EibOgNO2t4kjypiYVn/mkUi/3JiaLfN8TdXS8HYFvxwE/4Q3jVp+QuejVsSpXFMRGA==" saltValue="myjwuSKk3878G90RtEnwUA==" spinCount="100000" sheet="true" objects="true" scenarios="true"/>
  <mergeCells count="123">
    <mergeCell ref="A1:E1"/>
    <mergeCell ref="G1:K1"/>
    <mergeCell ref="M1:Q1"/>
    <mergeCell ref="S1:W1"/>
    <mergeCell ref="Y1:AC1"/>
    <mergeCell ref="AE1:AI1"/>
    <mergeCell ref="AK1:AO1"/>
    <mergeCell ref="AQ1:AT1"/>
    <mergeCell ref="AW1:AZ1"/>
    <mergeCell ref="BC1:BG1"/>
    <mergeCell ref="BI1:BM1"/>
    <mergeCell ref="BO1:BS1"/>
    <mergeCell ref="BU1:BY1"/>
    <mergeCell ref="CA1:CE1"/>
    <mergeCell ref="CG1:CK1"/>
    <mergeCell ref="CM1:CQ1"/>
    <mergeCell ref="CS1:CW1"/>
    <mergeCell ref="CY1:DC1"/>
    <mergeCell ref="DE1:DI1"/>
    <mergeCell ref="DK1:DO1"/>
    <mergeCell ref="DQ1:DU1"/>
    <mergeCell ref="DW1:EA1"/>
    <mergeCell ref="EC1:EG1"/>
    <mergeCell ref="EI1:EM1"/>
    <mergeCell ref="EO1:ES1"/>
    <mergeCell ref="EU1:EY1"/>
    <mergeCell ref="FA1:FE1"/>
    <mergeCell ref="FG1:FK1"/>
    <mergeCell ref="FM1:FQ1"/>
    <mergeCell ref="FS1:FW1"/>
    <mergeCell ref="FY1:GC1"/>
    <mergeCell ref="GE1:GI1"/>
    <mergeCell ref="GK1:GO1"/>
    <mergeCell ref="GQ1:GU1"/>
    <mergeCell ref="GW1:HA1"/>
    <mergeCell ref="HC1:HG1"/>
    <mergeCell ref="HI1:HM1"/>
    <mergeCell ref="HO1:HS1"/>
    <mergeCell ref="HU1:HY1"/>
    <mergeCell ref="IA1:IE1"/>
    <mergeCell ref="IG1:IK1"/>
    <mergeCell ref="A2:B2"/>
    <mergeCell ref="G2:H2"/>
    <mergeCell ref="M2:N2"/>
    <mergeCell ref="S2:T2"/>
    <mergeCell ref="Y2:Z2"/>
    <mergeCell ref="AE2:AF2"/>
    <mergeCell ref="AK2:AL2"/>
    <mergeCell ref="AQ2:AR2"/>
    <mergeCell ref="AW2:AX2"/>
    <mergeCell ref="BC2:BD2"/>
    <mergeCell ref="BI2:BJ2"/>
    <mergeCell ref="BO2:BP2"/>
    <mergeCell ref="BU2:BV2"/>
    <mergeCell ref="CA2:CB2"/>
    <mergeCell ref="CG2:CH2"/>
    <mergeCell ref="CM2:CN2"/>
    <mergeCell ref="CS2:CT2"/>
    <mergeCell ref="CY2:CZ2"/>
    <mergeCell ref="DE2:DF2"/>
    <mergeCell ref="DK2:DL2"/>
    <mergeCell ref="DQ2:DR2"/>
    <mergeCell ref="DW2:DX2"/>
    <mergeCell ref="EC2:ED2"/>
    <mergeCell ref="EI2:EJ2"/>
    <mergeCell ref="EO2:EP2"/>
    <mergeCell ref="EU2:EV2"/>
    <mergeCell ref="FA2:FB2"/>
    <mergeCell ref="FG2:FH2"/>
    <mergeCell ref="FM2:FN2"/>
    <mergeCell ref="FS2:FT2"/>
    <mergeCell ref="FY2:FZ2"/>
    <mergeCell ref="GE2:GF2"/>
    <mergeCell ref="GK2:GL2"/>
    <mergeCell ref="GQ2:GR2"/>
    <mergeCell ref="GW2:GX2"/>
    <mergeCell ref="HC2:HD2"/>
    <mergeCell ref="HI2:HJ2"/>
    <mergeCell ref="HO2:HP2"/>
    <mergeCell ref="HU2:HV2"/>
    <mergeCell ref="IA2:IB2"/>
    <mergeCell ref="IG2:IH2"/>
    <mergeCell ref="A31:B31"/>
    <mergeCell ref="EO31:EP31"/>
    <mergeCell ref="HI31:HJ31"/>
    <mergeCell ref="BU32:BV32"/>
    <mergeCell ref="M33:N33"/>
    <mergeCell ref="Y33:Z33"/>
    <mergeCell ref="AQ33:AR33"/>
    <mergeCell ref="CG33:CH33"/>
    <mergeCell ref="CS33:CT33"/>
    <mergeCell ref="DK33:DL33"/>
    <mergeCell ref="DW33:DX33"/>
    <mergeCell ref="FA33:FB33"/>
    <mergeCell ref="FM33:FN33"/>
    <mergeCell ref="GE33:GF33"/>
    <mergeCell ref="GQ33:GR33"/>
    <mergeCell ref="HU33:HV33"/>
    <mergeCell ref="IG33:IH33"/>
    <mergeCell ref="G34:H34"/>
    <mergeCell ref="S34:T34"/>
    <mergeCell ref="AE34:AF34"/>
    <mergeCell ref="AK34:AL34"/>
    <mergeCell ref="AW34:AX34"/>
    <mergeCell ref="BC34:BD34"/>
    <mergeCell ref="BI34:BJ34"/>
    <mergeCell ref="BO34:BP34"/>
    <mergeCell ref="CA34:CB34"/>
    <mergeCell ref="CM34:CN34"/>
    <mergeCell ref="CY34:CZ34"/>
    <mergeCell ref="DE34:DF34"/>
    <mergeCell ref="DQ34:DR34"/>
    <mergeCell ref="EC34:ED34"/>
    <mergeCell ref="EI34:EJ34"/>
    <mergeCell ref="EU34:EV34"/>
    <mergeCell ref="FG34:FH34"/>
    <mergeCell ref="FS34:FT34"/>
    <mergeCell ref="FY34:FZ34"/>
    <mergeCell ref="GK34:GL34"/>
    <mergeCell ref="GW34:GX34"/>
    <mergeCell ref="HC34:HD34"/>
    <mergeCell ref="HO34:HP34"/>
    <mergeCell ref="IA34:IB34"/>
  </mergeCells>
  <conditionalFormatting sqref="GZ3:GZ33">
    <cfRule type="cellIs" priority="2" operator="greaterThanOrEqual" aboveAverage="0" equalAverage="0" bottom="0" percent="0" rank="0" text="" dxfId="50">
      <formula>$F3</formula>
    </cfRule>
    <cfRule type="cellIs" priority="3" operator="lessThan" aboveAverage="0" equalAverage="0" bottom="0" percent="0" rank="0" text="" dxfId="51">
      <formula>$F3</formula>
    </cfRule>
  </conditionalFormatting>
  <conditionalFormatting sqref="HL3:HL30">
    <cfRule type="expression" priority="4" aboveAverage="0" equalAverage="0" bottom="0" percent="0" rank="0" text="" dxfId="52">
      <formula>$D3&gt;=$F3</formula>
    </cfRule>
    <cfRule type="expression" priority="5" aboveAverage="0" equalAverage="0" bottom="0" percent="0" rank="0" text="" dxfId="53">
      <formula>$D3&lt;$F3</formula>
    </cfRule>
  </conditionalFormatting>
  <conditionalFormatting sqref="HR3:HR33">
    <cfRule type="expression" priority="6" aboveAverage="0" equalAverage="0" bottom="0" percent="0" rank="0" text="" dxfId="54">
      <formula>$D3&gt;=$F3</formula>
    </cfRule>
    <cfRule type="expression" priority="7" aboveAverage="0" equalAverage="0" bottom="0" percent="0" rank="0" text="" dxfId="55">
      <formula>$D3&lt;$F3</formula>
    </cfRule>
  </conditionalFormatting>
  <conditionalFormatting sqref="HX3:HX32">
    <cfRule type="expression" priority="8" aboveAverage="0" equalAverage="0" bottom="0" percent="0" rank="0" text="" dxfId="56">
      <formula>$D3&gt;=$F3</formula>
    </cfRule>
    <cfRule type="expression" priority="9" aboveAverage="0" equalAverage="0" bottom="0" percent="0" rank="0" text="" dxfId="57">
      <formula>$D3&lt;$F3</formula>
    </cfRule>
  </conditionalFormatting>
  <conditionalFormatting sqref="ID3:ID33">
    <cfRule type="expression" priority="10" aboveAverage="0" equalAverage="0" bottom="0" percent="0" rank="0" text="" dxfId="58">
      <formula>$D3&gt;=$F3</formula>
    </cfRule>
    <cfRule type="expression" priority="11" aboveAverage="0" equalAverage="0" bottom="0" percent="0" rank="0" text="" dxfId="59">
      <formula>$D3&lt;$F3</formula>
    </cfRule>
  </conditionalFormatting>
  <conditionalFormatting sqref="IJ3:IJ33">
    <cfRule type="expression" priority="12" aboveAverage="0" equalAverage="0" bottom="0" percent="0" rank="0" text="" dxfId="60">
      <formula>$D3&gt;=$F3</formula>
    </cfRule>
    <cfRule type="expression" priority="13" aboveAverage="0" equalAverage="0" bottom="0" percent="0" rank="0" text="" dxfId="61">
      <formula>$D3&lt;$F3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sheetData>
    <row r="1" customFormat="false" ht="15" hidden="false" customHeight="false" outlineLevel="0" collapsed="false">
      <c r="A1" s="7" t="s">
        <v>52</v>
      </c>
      <c r="B1" s="109" t="s">
        <v>53</v>
      </c>
    </row>
    <row r="2" customFormat="false" ht="15" hidden="false" customHeight="false" outlineLevel="0" collapsed="false">
      <c r="A2" s="110" t="n">
        <v>46082</v>
      </c>
      <c r="B2" s="109" t="n">
        <v>4694.97776</v>
      </c>
    </row>
    <row r="3" customFormat="false" ht="15" hidden="false" customHeight="false" outlineLevel="0" collapsed="false">
      <c r="A3" s="110" t="n">
        <v>46083</v>
      </c>
      <c r="B3" s="109" t="n">
        <v>2600.96311538462</v>
      </c>
    </row>
    <row r="4" customFormat="false" ht="15" hidden="false" customHeight="false" outlineLevel="0" collapsed="false">
      <c r="A4" s="110" t="n">
        <v>46084</v>
      </c>
      <c r="B4" s="109" t="n">
        <v>2691.10346153846</v>
      </c>
    </row>
    <row r="5" customFormat="false" ht="15" hidden="false" customHeight="false" outlineLevel="0" collapsed="false">
      <c r="A5" s="110" t="n">
        <v>46085</v>
      </c>
      <c r="B5" s="109" t="n">
        <v>3000.2225</v>
      </c>
    </row>
    <row r="6" customFormat="false" ht="15" hidden="false" customHeight="false" outlineLevel="0" collapsed="false">
      <c r="A6" s="110" t="n">
        <v>46086</v>
      </c>
      <c r="B6" s="109" t="n">
        <v>3049.44030769231</v>
      </c>
    </row>
    <row r="7" customFormat="false" ht="15" hidden="false" customHeight="false" outlineLevel="0" collapsed="false">
      <c r="A7" s="110" t="n">
        <v>46087</v>
      </c>
      <c r="B7" s="109" t="n">
        <v>3011.866</v>
      </c>
    </row>
    <row r="8" customFormat="false" ht="15" hidden="false" customHeight="false" outlineLevel="0" collapsed="false">
      <c r="A8" s="110" t="n">
        <v>46088</v>
      </c>
      <c r="B8" s="109" t="n">
        <v>4793.87107692308</v>
      </c>
    </row>
    <row r="9" customFormat="false" ht="15" hidden="false" customHeight="false" outlineLevel="0" collapsed="false">
      <c r="A9" s="110" t="n">
        <v>46089</v>
      </c>
      <c r="B9" s="109" t="n">
        <v>4694.97776</v>
      </c>
    </row>
    <row r="10" customFormat="false" ht="15" hidden="false" customHeight="false" outlineLevel="0" collapsed="false">
      <c r="A10" s="110" t="n">
        <v>46090</v>
      </c>
      <c r="B10" s="109" t="n">
        <v>2600.96311538462</v>
      </c>
    </row>
    <row r="11" customFormat="false" ht="15" hidden="false" customHeight="false" outlineLevel="0" collapsed="false">
      <c r="A11" s="110" t="n">
        <v>46091</v>
      </c>
      <c r="B11" s="109" t="n">
        <v>2691.10346153846</v>
      </c>
    </row>
    <row r="12" customFormat="false" ht="15" hidden="false" customHeight="false" outlineLevel="0" collapsed="false">
      <c r="A12" s="110" t="n">
        <v>46092</v>
      </c>
      <c r="B12" s="109" t="n">
        <v>3000.2225</v>
      </c>
    </row>
    <row r="13" customFormat="false" ht="15" hidden="false" customHeight="false" outlineLevel="0" collapsed="false">
      <c r="A13" s="110" t="n">
        <v>46093</v>
      </c>
      <c r="B13" s="109" t="n">
        <v>3049.44030769231</v>
      </c>
    </row>
    <row r="14" customFormat="false" ht="15" hidden="false" customHeight="false" outlineLevel="0" collapsed="false">
      <c r="A14" s="110" t="n">
        <v>46094</v>
      </c>
      <c r="B14" s="109" t="n">
        <v>3011.866</v>
      </c>
    </row>
    <row r="15" customFormat="false" ht="15" hidden="false" customHeight="false" outlineLevel="0" collapsed="false">
      <c r="A15" s="110" t="n">
        <v>46095</v>
      </c>
      <c r="B15" s="109" t="n">
        <v>4793.87107692308</v>
      </c>
    </row>
    <row r="16" customFormat="false" ht="15" hidden="false" customHeight="false" outlineLevel="0" collapsed="false">
      <c r="A16" s="110" t="n">
        <v>46096</v>
      </c>
      <c r="B16" s="109" t="n">
        <v>4694.97776</v>
      </c>
    </row>
    <row r="17" customFormat="false" ht="15" hidden="false" customHeight="false" outlineLevel="0" collapsed="false">
      <c r="A17" s="110" t="n">
        <v>46097</v>
      </c>
      <c r="B17" s="109" t="n">
        <v>2600.96311538462</v>
      </c>
    </row>
    <row r="18" customFormat="false" ht="15" hidden="false" customHeight="false" outlineLevel="0" collapsed="false">
      <c r="A18" s="110" t="n">
        <v>46098</v>
      </c>
      <c r="B18" s="109" t="n">
        <v>2691.10346153846</v>
      </c>
    </row>
    <row r="19" customFormat="false" ht="15" hidden="false" customHeight="false" outlineLevel="0" collapsed="false">
      <c r="A19" s="110" t="n">
        <v>46099</v>
      </c>
      <c r="B19" s="109" t="n">
        <v>3000.2225</v>
      </c>
    </row>
    <row r="20" customFormat="false" ht="15" hidden="false" customHeight="false" outlineLevel="0" collapsed="false">
      <c r="A20" s="110" t="n">
        <v>46100</v>
      </c>
      <c r="B20" s="109" t="n">
        <v>3049.44030769231</v>
      </c>
    </row>
    <row r="21" customFormat="false" ht="15" hidden="false" customHeight="false" outlineLevel="0" collapsed="false">
      <c r="A21" s="110" t="n">
        <v>46101</v>
      </c>
      <c r="B21" s="109" t="n">
        <v>3011.866</v>
      </c>
    </row>
    <row r="22" customFormat="false" ht="15" hidden="false" customHeight="false" outlineLevel="0" collapsed="false">
      <c r="A22" s="110" t="n">
        <v>46102</v>
      </c>
      <c r="B22" s="109" t="n">
        <v>4793.87107692308</v>
      </c>
    </row>
    <row r="23" customFormat="false" ht="15" hidden="false" customHeight="false" outlineLevel="0" collapsed="false">
      <c r="A23" s="110" t="n">
        <v>46103</v>
      </c>
      <c r="B23" s="109" t="n">
        <v>4694.97776</v>
      </c>
    </row>
    <row r="24" customFormat="false" ht="15" hidden="false" customHeight="false" outlineLevel="0" collapsed="false">
      <c r="A24" s="110" t="n">
        <v>46104</v>
      </c>
      <c r="B24" s="109" t="n">
        <v>2600.96311538462</v>
      </c>
    </row>
    <row r="25" customFormat="false" ht="15" hidden="false" customHeight="false" outlineLevel="0" collapsed="false">
      <c r="A25" s="110" t="n">
        <v>46105</v>
      </c>
      <c r="B25" s="109" t="n">
        <v>2691.10346153846</v>
      </c>
    </row>
    <row r="26" customFormat="false" ht="15" hidden="false" customHeight="false" outlineLevel="0" collapsed="false">
      <c r="A26" s="110" t="n">
        <v>46106</v>
      </c>
      <c r="B26" s="109" t="n">
        <v>3000.2225</v>
      </c>
    </row>
    <row r="27" customFormat="false" ht="15" hidden="false" customHeight="false" outlineLevel="0" collapsed="false">
      <c r="A27" s="110" t="n">
        <v>46107</v>
      </c>
      <c r="B27" s="109" t="n">
        <v>3049.44030769231</v>
      </c>
    </row>
    <row r="28" customFormat="false" ht="15" hidden="false" customHeight="false" outlineLevel="0" collapsed="false">
      <c r="A28" s="110" t="n">
        <v>46108</v>
      </c>
      <c r="B28" s="109" t="n">
        <v>3011.866</v>
      </c>
    </row>
    <row r="29" customFormat="false" ht="15" hidden="false" customHeight="false" outlineLevel="0" collapsed="false">
      <c r="A29" s="110" t="n">
        <v>46109</v>
      </c>
      <c r="B29" s="109" t="n">
        <v>4793.87107692308</v>
      </c>
    </row>
    <row r="30" customFormat="false" ht="15" hidden="false" customHeight="false" outlineLevel="0" collapsed="false">
      <c r="A30" s="110" t="n">
        <v>46110</v>
      </c>
      <c r="B30" s="109" t="n">
        <v>4694.97776</v>
      </c>
    </row>
    <row r="31" customFormat="false" ht="15" hidden="false" customHeight="false" outlineLevel="0" collapsed="false">
      <c r="A31" s="110" t="n">
        <v>46111</v>
      </c>
      <c r="B31" s="109" t="n">
        <v>2600.96311538462</v>
      </c>
    </row>
    <row r="32" customFormat="false" ht="15" hidden="false" customHeight="false" outlineLevel="0" collapsed="false">
      <c r="A32" s="110" t="n">
        <v>46112</v>
      </c>
      <c r="B32" s="109" t="n">
        <v>2691.10346153846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2022-09-14T00:58:00Z</dcterms:created>
  <dc:creator>adriano carvalho</dc:creator>
  <dc:description/>
  <dc:language>pt-BR</dc:language>
  <cp:lastModifiedBy/>
  <dcterms:modified xsi:type="dcterms:W3CDTF">2026-07-13T21:32:29Z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45502BB327544A6988279B5D3611B5AD_13</vt:lpwstr>
  </property>
  <property fmtid="{D5CDD505-2E9C-101B-9397-08002B2CF9AE}" pid="3" name="KSOProductBuildVer">
    <vt:lpwstr>1046-12.2.0.23155</vt:lpwstr>
  </property>
  <property fmtid="{D5CDD505-2E9C-101B-9397-08002B2CF9AE}" pid="4" name="KSOReadingLayout">
    <vt:bool>0</vt:bool>
  </property>
</Properties>
</file>