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IFERROR(__xludf.DUMMYFUNCTION("""COMPUTED_VALUE"""),1.0)</f>
        <v>1</v>
      </c>
      <c r="E3" s="7">
        <f>IFERROR(__xludf.DUMMYFUNCTION("""COMPUTED_VALUE"""),3270.15)</f>
        <v>3270.15</v>
      </c>
      <c r="F3" s="7">
        <f>IFERROR(__xludf.DUMMYFUNCTION("""COMPUTED_VALUE"""),2801.25)</f>
        <v>2801.25</v>
      </c>
      <c r="G3" s="6">
        <f>IFERROR(__xludf.DUMMYFUNCTION("""COMPUTED_VALUE"""),63.0)</f>
        <v>63</v>
      </c>
      <c r="H3" s="7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IFERROR(__xludf.DUMMYFUNCTION("""COMPUTED_VALUE"""),2.0)</f>
        <v>2</v>
      </c>
      <c r="E4" s="7">
        <f>IFERROR(__xludf.DUMMYFUNCTION("""COMPUTED_VALUE"""),3395.17)</f>
        <v>3395.17</v>
      </c>
      <c r="F4" s="7">
        <f>IFERROR(__xludf.DUMMYFUNCTION("""COMPUTED_VALUE"""),2801.51)</f>
        <v>2801.51</v>
      </c>
      <c r="G4" s="6">
        <f>IFERROR(__xludf.DUMMYFUNCTION("""COMPUTED_VALUE"""),63.0)</f>
        <v>63</v>
      </c>
      <c r="H4" s="7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IFERROR(__xludf.DUMMYFUNCTION("""COMPUTED_VALUE"""),1.0)</f>
        <v>1</v>
      </c>
      <c r="E5" s="7">
        <f>IFERROR(__xludf.DUMMYFUNCTION("""COMPUTED_VALUE"""),4193.89)</f>
        <v>4193.89</v>
      </c>
      <c r="F5" s="7">
        <f>IFERROR(__xludf.DUMMYFUNCTION("""COMPUTED_VALUE"""),4097.75)</f>
        <v>4097.75</v>
      </c>
      <c r="G5" s="6">
        <f>IFERROR(__xludf.DUMMYFUNCTION("""COMPUTED_VALUE"""),104.0)</f>
        <v>104</v>
      </c>
      <c r="H5" s="7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IFERROR(__xludf.DUMMYFUNCTION("""COMPUTED_VALUE"""),2.0)</f>
        <v>2</v>
      </c>
      <c r="E6" s="7">
        <f>IFERROR(__xludf.DUMMYFUNCTION("""COMPUTED_VALUE"""),3751.1)</f>
        <v>3751.1</v>
      </c>
      <c r="F6" s="7">
        <f>IFERROR(__xludf.DUMMYFUNCTION("""COMPUTED_VALUE"""),3457.81)</f>
        <v>3457.81</v>
      </c>
      <c r="G6" s="6">
        <f>IFERROR(__xludf.DUMMYFUNCTION("""COMPUTED_VALUE"""),81.0)</f>
        <v>81</v>
      </c>
      <c r="H6" s="7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IFERROR(__xludf.DUMMYFUNCTION("""COMPUTED_VALUE"""),1.0)</f>
        <v>1</v>
      </c>
      <c r="E7" s="7">
        <f>IFERROR(__xludf.DUMMYFUNCTION("""COMPUTED_VALUE"""),3161.81)</f>
        <v>3161.81</v>
      </c>
      <c r="F7" s="7">
        <f>IFERROR(__xludf.DUMMYFUNCTION("""COMPUTED_VALUE"""),2484.0)</f>
        <v>2484</v>
      </c>
      <c r="G7" s="6">
        <f>IFERROR(__xludf.DUMMYFUNCTION("""COMPUTED_VALUE"""),64.0)</f>
        <v>64</v>
      </c>
      <c r="H7" s="7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IFERROR(__xludf.DUMMYFUNCTION("""COMPUTED_VALUE"""),2.0)</f>
        <v>2</v>
      </c>
      <c r="E8" s="7">
        <f>IFERROR(__xludf.DUMMYFUNCTION("""COMPUTED_VALUE"""),3526.95)</f>
        <v>3526.95</v>
      </c>
      <c r="F8" s="7">
        <f>IFERROR(__xludf.DUMMYFUNCTION("""COMPUTED_VALUE"""),3829.85)</f>
        <v>3829.85</v>
      </c>
      <c r="G8" s="6">
        <f>IFERROR(__xludf.DUMMYFUNCTION("""COMPUTED_VALUE"""),85.0)</f>
        <v>85</v>
      </c>
      <c r="H8" s="7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IFERROR(__xludf.DUMMYFUNCTION("""COMPUTED_VALUE"""),1.0)</f>
        <v>1</v>
      </c>
      <c r="E9" s="7">
        <f>IFERROR(__xludf.DUMMYFUNCTION("""COMPUTED_VALUE"""),3307.11)</f>
        <v>3307.11</v>
      </c>
      <c r="F9" s="7">
        <f>IFERROR(__xludf.DUMMYFUNCTION("""COMPUTED_VALUE"""),4595.25)</f>
        <v>4595.25</v>
      </c>
      <c r="G9" s="6">
        <f>IFERROR(__xludf.DUMMYFUNCTION("""COMPUTED_VALUE"""),98.0)</f>
        <v>98</v>
      </c>
      <c r="H9" s="7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IFERROR(__xludf.DUMMYFUNCTION("""COMPUTED_VALUE"""),2.0)</f>
        <v>2</v>
      </c>
      <c r="E10" s="7">
        <f>IFERROR(__xludf.DUMMYFUNCTION("""COMPUTED_VALUE"""),3270.15)</f>
        <v>3270.15</v>
      </c>
      <c r="F10" s="7">
        <f>IFERROR(__xludf.DUMMYFUNCTION("""COMPUTED_VALUE"""),3879.5)</f>
        <v>3879.5</v>
      </c>
      <c r="G10" s="6">
        <f>IFERROR(__xludf.DUMMYFUNCTION("""COMPUTED_VALUE"""),86.0)</f>
        <v>86</v>
      </c>
      <c r="H10" s="7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IFERROR(__xludf.DUMMYFUNCTION("""COMPUTED_VALUE"""),1.0)</f>
        <v>1</v>
      </c>
      <c r="E11" s="7">
        <f>IFERROR(__xludf.DUMMYFUNCTION("""COMPUTED_VALUE"""),3395.17)</f>
        <v>3395.17</v>
      </c>
      <c r="F11" s="7">
        <f>IFERROR(__xludf.DUMMYFUNCTION("""COMPUTED_VALUE"""),2982.75)</f>
        <v>2982.75</v>
      </c>
      <c r="G11" s="6">
        <f>IFERROR(__xludf.DUMMYFUNCTION("""COMPUTED_VALUE"""),67.0)</f>
        <v>67</v>
      </c>
      <c r="H11" s="7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IFERROR(__xludf.DUMMYFUNCTION("""COMPUTED_VALUE"""),2.0)</f>
        <v>2</v>
      </c>
      <c r="E12" s="7">
        <f>IFERROR(__xludf.DUMMYFUNCTION("""COMPUTED_VALUE"""),4193.89)</f>
        <v>4193.89</v>
      </c>
      <c r="F12" s="7">
        <f>IFERROR(__xludf.DUMMYFUNCTION("""COMPUTED_VALUE"""),5174.0)</f>
        <v>5174</v>
      </c>
      <c r="G12" s="6">
        <f>IFERROR(__xludf.DUMMYFUNCTION("""COMPUTED_VALUE"""),108.0)</f>
        <v>108</v>
      </c>
      <c r="H12" s="7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IFERROR(__xludf.DUMMYFUNCTION("""COMPUTED_VALUE"""),1.0)</f>
        <v>1</v>
      </c>
      <c r="E13" s="7">
        <f>IFERROR(__xludf.DUMMYFUNCTION("""COMPUTED_VALUE"""),3751.1)</f>
        <v>3751.1</v>
      </c>
      <c r="F13" s="7">
        <f>IFERROR(__xludf.DUMMYFUNCTION("""COMPUTED_VALUE"""),3844.25)</f>
        <v>3844.25</v>
      </c>
      <c r="G13" s="6">
        <f>IFERROR(__xludf.DUMMYFUNCTION("""COMPUTED_VALUE"""),92.0)</f>
        <v>92</v>
      </c>
      <c r="H13" s="7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IFERROR(__xludf.DUMMYFUNCTION("""COMPUTED_VALUE"""),2.0)</f>
        <v>2</v>
      </c>
      <c r="E14" s="7">
        <f>IFERROR(__xludf.DUMMYFUNCTION("""COMPUTED_VALUE"""),3161.81)</f>
        <v>3161.81</v>
      </c>
      <c r="F14" s="7">
        <f>IFERROR(__xludf.DUMMYFUNCTION("""COMPUTED_VALUE"""),2271.75)</f>
        <v>2271.75</v>
      </c>
      <c r="G14" s="6">
        <f>IFERROR(__xludf.DUMMYFUNCTION("""COMPUTED_VALUE"""),53.0)</f>
        <v>53</v>
      </c>
      <c r="H14" s="7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IFERROR(__xludf.DUMMYFUNCTION("""COMPUTED_VALUE"""),1.0)</f>
        <v>1</v>
      </c>
      <c r="E15" s="7">
        <f>IFERROR(__xludf.DUMMYFUNCTION("""COMPUTED_VALUE"""),3526.95)</f>
        <v>3526.95</v>
      </c>
      <c r="F15" s="7">
        <f>IFERROR(__xludf.DUMMYFUNCTION("""COMPUTED_VALUE"""),3730.25)</f>
        <v>3730.25</v>
      </c>
      <c r="G15" s="6">
        <f>IFERROR(__xludf.DUMMYFUNCTION("""COMPUTED_VALUE"""),84.0)</f>
        <v>84</v>
      </c>
      <c r="H15" s="7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IFERROR(__xludf.DUMMYFUNCTION("""COMPUTED_VALUE"""),2.0)</f>
        <v>2</v>
      </c>
      <c r="E16" s="7">
        <f>IFERROR(__xludf.DUMMYFUNCTION("""COMPUTED_VALUE"""),3307.11)</f>
        <v>3307.11</v>
      </c>
      <c r="F16" s="7">
        <f>IFERROR(__xludf.DUMMYFUNCTION("""COMPUTED_VALUE"""),3770.26)</f>
        <v>3770.26</v>
      </c>
      <c r="G16" s="6">
        <f>IFERROR(__xludf.DUMMYFUNCTION("""COMPUTED_VALUE"""),84.0)</f>
        <v>84</v>
      </c>
      <c r="H16" s="7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IFERROR(__xludf.DUMMYFUNCTION("""COMPUTED_VALUE"""),1.0)</f>
        <v>1</v>
      </c>
      <c r="E17" s="7">
        <f>IFERROR(__xludf.DUMMYFUNCTION("""COMPUTED_VALUE"""),3270.15)</f>
        <v>3270.15</v>
      </c>
      <c r="F17" s="7">
        <f>IFERROR(__xludf.DUMMYFUNCTION("""COMPUTED_VALUE"""),3424.02)</f>
        <v>3424.02</v>
      </c>
      <c r="G17" s="6">
        <f>IFERROR(__xludf.DUMMYFUNCTION("""COMPUTED_VALUE"""),83.0)</f>
        <v>83</v>
      </c>
      <c r="H17" s="7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IFERROR(__xludf.DUMMYFUNCTION("""COMPUTED_VALUE"""),2.0)</f>
        <v>2</v>
      </c>
      <c r="E18" s="7">
        <f>IFERROR(__xludf.DUMMYFUNCTION("""COMPUTED_VALUE"""),3395.17)</f>
        <v>3395.17</v>
      </c>
      <c r="F18" s="7">
        <f>IFERROR(__xludf.DUMMYFUNCTION("""COMPUTED_VALUE"""),2989.75)</f>
        <v>2989.75</v>
      </c>
      <c r="G18" s="6">
        <f>IFERROR(__xludf.DUMMYFUNCTION("""COMPUTED_VALUE"""),74.0)</f>
        <v>74</v>
      </c>
      <c r="H18" s="7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IFERROR(__xludf.DUMMYFUNCTION("""COMPUTED_VALUE"""),1.0)</f>
        <v>1</v>
      </c>
      <c r="E19" s="7">
        <f>IFERROR(__xludf.DUMMYFUNCTION("""COMPUTED_VALUE"""),4193.89)</f>
        <v>4193.89</v>
      </c>
      <c r="F19" s="7">
        <f>IFERROR(__xludf.DUMMYFUNCTION("""COMPUTED_VALUE"""),5551.52)</f>
        <v>5551.52</v>
      </c>
      <c r="G19" s="6">
        <f>IFERROR(__xludf.DUMMYFUNCTION("""COMPUTED_VALUE"""),123.0)</f>
        <v>123</v>
      </c>
      <c r="H19" s="7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IFERROR(__xludf.DUMMYFUNCTION("""COMPUTED_VALUE"""),2.0)</f>
        <v>2</v>
      </c>
      <c r="E20" s="7">
        <f>IFERROR(__xludf.DUMMYFUNCTION("""COMPUTED_VALUE"""),3751.1)</f>
        <v>3751.1</v>
      </c>
      <c r="F20" s="7">
        <f>IFERROR(__xludf.DUMMYFUNCTION("""COMPUTED_VALUE"""),5499.75)</f>
        <v>5499.75</v>
      </c>
      <c r="G20" s="6">
        <f>IFERROR(__xludf.DUMMYFUNCTION("""COMPUTED_VALUE"""),118.0)</f>
        <v>118</v>
      </c>
      <c r="H20" s="7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IFERROR(__xludf.DUMMYFUNCTION("""COMPUTED_VALUE"""),1.0)</f>
        <v>1</v>
      </c>
      <c r="E21" s="7">
        <f>IFERROR(__xludf.DUMMYFUNCTION("""COMPUTED_VALUE"""),3161.81)</f>
        <v>3161.81</v>
      </c>
      <c r="F21" s="7">
        <f>IFERROR(__xludf.DUMMYFUNCTION("""COMPUTED_VALUE"""),4567.5)</f>
        <v>4567.5</v>
      </c>
      <c r="G21" s="6">
        <f>IFERROR(__xludf.DUMMYFUNCTION("""COMPUTED_VALUE"""),107.0)</f>
        <v>107</v>
      </c>
      <c r="H21" s="7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IFERROR(__xludf.DUMMYFUNCTION("""COMPUTED_VALUE"""),2.0)</f>
        <v>2</v>
      </c>
      <c r="E22" s="7">
        <f>IFERROR(__xludf.DUMMYFUNCTION("""COMPUTED_VALUE"""),3526.95)</f>
        <v>3526.95</v>
      </c>
      <c r="F22" s="7">
        <f>IFERROR(__xludf.DUMMYFUNCTION("""COMPUTED_VALUE"""),3183.75)</f>
        <v>3183.75</v>
      </c>
      <c r="G22" s="6">
        <f>IFERROR(__xludf.DUMMYFUNCTION("""COMPUTED_VALUE"""),76.0)</f>
        <v>76</v>
      </c>
      <c r="H22" s="7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IFERROR(__xludf.DUMMYFUNCTION("""COMPUTED_VALUE"""),1.0)</f>
        <v>1</v>
      </c>
      <c r="E23" s="7">
        <f>IFERROR(__xludf.DUMMYFUNCTION("""COMPUTED_VALUE"""),3307.11)</f>
        <v>3307.11</v>
      </c>
      <c r="F23" s="7">
        <f>IFERROR(__xludf.DUMMYFUNCTION("""COMPUTED_VALUE"""),3561.0)</f>
        <v>3561</v>
      </c>
      <c r="G23" s="6">
        <f>IFERROR(__xludf.DUMMYFUNCTION("""COMPUTED_VALUE"""),92.0)</f>
        <v>92</v>
      </c>
      <c r="H23" s="7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IFERROR(__xludf.DUMMYFUNCTION("""COMPUTED_VALUE"""),2.0)</f>
        <v>2</v>
      </c>
      <c r="E24" s="7">
        <f>IFERROR(__xludf.DUMMYFUNCTION("""COMPUTED_VALUE"""),3270.15)</f>
        <v>3270.15</v>
      </c>
      <c r="F24" s="7">
        <f>IFERROR(__xludf.DUMMYFUNCTION("""COMPUTED_VALUE"""),3948.5)</f>
        <v>3948.5</v>
      </c>
      <c r="G24" s="6">
        <f>IFERROR(__xludf.DUMMYFUNCTION("""COMPUTED_VALUE"""),79.0)</f>
        <v>79</v>
      </c>
      <c r="H24" s="7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IFERROR(__xludf.DUMMYFUNCTION("""COMPUTED_VALUE"""),1.0)</f>
        <v>1</v>
      </c>
      <c r="E25" s="7">
        <f>IFERROR(__xludf.DUMMYFUNCTION("""COMPUTED_VALUE"""),3395.17)</f>
        <v>3395.17</v>
      </c>
      <c r="F25" s="7">
        <f>IFERROR(__xludf.DUMMYFUNCTION("""COMPUTED_VALUE"""),4549.5)</f>
        <v>4549.5</v>
      </c>
      <c r="G25" s="6">
        <f>IFERROR(__xludf.DUMMYFUNCTION("""COMPUTED_VALUE"""),100.0)</f>
        <v>100</v>
      </c>
      <c r="H25" s="7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IFERROR(__xludf.DUMMYFUNCTION("""COMPUTED_VALUE"""),2.0)</f>
        <v>2</v>
      </c>
      <c r="E26" s="7">
        <f>IFERROR(__xludf.DUMMYFUNCTION("""COMPUTED_VALUE"""),4193.89)</f>
        <v>4193.89</v>
      </c>
      <c r="F26" s="7">
        <f>IFERROR(__xludf.DUMMYFUNCTION("""COMPUTED_VALUE"""),6062.25)</f>
        <v>6062.25</v>
      </c>
      <c r="G26" s="6">
        <f>IFERROR(__xludf.DUMMYFUNCTION("""COMPUTED_VALUE"""),140.0)</f>
        <v>140</v>
      </c>
      <c r="H26" s="7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IFERROR(__xludf.DUMMYFUNCTION("""COMPUTED_VALUE"""),1.0)</f>
        <v>1</v>
      </c>
      <c r="E27" s="7">
        <f>IFERROR(__xludf.DUMMYFUNCTION("""COMPUTED_VALUE"""),3751.1)</f>
        <v>3751.1</v>
      </c>
      <c r="F27" s="7">
        <f>IFERROR(__xludf.DUMMYFUNCTION("""COMPUTED_VALUE"""),5242.77)</f>
        <v>5242.77</v>
      </c>
      <c r="G27" s="6">
        <f>IFERROR(__xludf.DUMMYFUNCTION("""COMPUTED_VALUE"""),125.0)</f>
        <v>125</v>
      </c>
      <c r="H27" s="7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IFERROR(__xludf.DUMMYFUNCTION("""COMPUTED_VALUE"""),2.0)</f>
        <v>2</v>
      </c>
      <c r="E28" s="7">
        <f>IFERROR(__xludf.DUMMYFUNCTION("""COMPUTED_VALUE"""),3161.81)</f>
        <v>3161.81</v>
      </c>
      <c r="F28" s="7">
        <f>IFERROR(__xludf.DUMMYFUNCTION("""COMPUTED_VALUE"""),3328.0)</f>
        <v>3328</v>
      </c>
      <c r="G28" s="6">
        <f>IFERROR(__xludf.DUMMYFUNCTION("""COMPUTED_VALUE"""),76.0)</f>
        <v>76</v>
      </c>
      <c r="H28" s="7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IFERROR(__xludf.DUMMYFUNCTION("""COMPUTED_VALUE"""),1.0)</f>
        <v>1</v>
      </c>
      <c r="E29" s="7">
        <f>IFERROR(__xludf.DUMMYFUNCTION("""COMPUTED_VALUE"""),3526.95)</f>
        <v>3526.95</v>
      </c>
      <c r="F29" s="7">
        <f>IFERROR(__xludf.DUMMYFUNCTION("""COMPUTED_VALUE"""),4182.0)</f>
        <v>4182</v>
      </c>
      <c r="G29" s="6">
        <f>IFERROR(__xludf.DUMMYFUNCTION("""COMPUTED_VALUE"""),75.0)</f>
        <v>75</v>
      </c>
      <c r="H29" s="7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IFERROR(__xludf.DUMMYFUNCTION("""COMPUTED_VALUE"""),2.0)</f>
        <v>2</v>
      </c>
      <c r="E30" s="7">
        <f>IFERROR(__xludf.DUMMYFUNCTION("""COMPUTED_VALUE"""),3307.11)</f>
        <v>3307.11</v>
      </c>
      <c r="F30" s="7">
        <f>IFERROR(__xludf.DUMMYFUNCTION("""COMPUTED_VALUE"""),4014.01)</f>
        <v>4014.01</v>
      </c>
      <c r="G30" s="6">
        <f>IFERROR(__xludf.DUMMYFUNCTION("""COMPUTED_VALUE"""),83.0)</f>
        <v>83</v>
      </c>
      <c r="H30" s="7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IFERROR(__xludf.DUMMYFUNCTION("""COMPUTED_VALUE"""),1.0)</f>
        <v>1</v>
      </c>
      <c r="E31" s="7">
        <f>IFERROR(__xludf.DUMMYFUNCTION("""COMPUTED_VALUE"""),3270.15)</f>
        <v>3270.15</v>
      </c>
      <c r="F31" s="7">
        <f>IFERROR(__xludf.DUMMYFUNCTION("""COMPUTED_VALUE"""),3410.67)</f>
        <v>3410.67</v>
      </c>
      <c r="G31" s="6">
        <f>IFERROR(__xludf.DUMMYFUNCTION("""COMPUTED_VALUE"""),76.0)</f>
        <v>76</v>
      </c>
      <c r="H31" s="7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IFERROR(__xludf.DUMMYFUNCTION("""COMPUTED_VALUE"""),2.0)</f>
        <v>2</v>
      </c>
      <c r="E32" s="7">
        <f>IFERROR(__xludf.DUMMYFUNCTION("""COMPUTED_VALUE"""),3395.17)</f>
        <v>3395.17</v>
      </c>
      <c r="F32" s="7">
        <f>IFERROR(__xludf.DUMMYFUNCTION("""COMPUTED_VALUE"""),4003.76)</f>
        <v>4003.76</v>
      </c>
      <c r="G32" s="6">
        <f>IFERROR(__xludf.DUMMYFUNCTION("""COMPUTED_VALUE"""),88.0)</f>
        <v>88</v>
      </c>
      <c r="H32" s="7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IFERROR(__xludf.DUMMYFUNCTION("""COMPUTED_VALUE"""),1.0)</f>
        <v>1</v>
      </c>
      <c r="E33" s="7">
        <f>IFERROR(__xludf.DUMMYFUNCTION("""COMPUTED_VALUE"""),4710.96)</f>
        <v>4710.96</v>
      </c>
      <c r="F33" s="7">
        <f>IFERROR(__xludf.DUMMYFUNCTION("""COMPUTED_VALUE"""),5627.25)</f>
        <v>5627.25</v>
      </c>
      <c r="G33" s="6">
        <f>IFERROR(__xludf.DUMMYFUNCTION("""COMPUTED_VALUE"""),129.0)</f>
        <v>129</v>
      </c>
      <c r="H33" s="7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IFERROR(__xludf.DUMMYFUNCTION("""COMPUTED_VALUE"""),2.0)</f>
        <v>2</v>
      </c>
      <c r="E34" s="7">
        <f>IFERROR(__xludf.DUMMYFUNCTION("""COMPUTED_VALUE"""),4203.32)</f>
        <v>4203.32</v>
      </c>
      <c r="F34" s="7">
        <f>IFERROR(__xludf.DUMMYFUNCTION("""COMPUTED_VALUE"""),4641.26)</f>
        <v>4641.26</v>
      </c>
      <c r="G34" s="6">
        <f>IFERROR(__xludf.DUMMYFUNCTION("""COMPUTED_VALUE"""),105.0)</f>
        <v>105</v>
      </c>
      <c r="H34" s="7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IFERROR(__xludf.DUMMYFUNCTION("""COMPUTED_VALUE"""),1.0)</f>
        <v>1</v>
      </c>
      <c r="E35" s="7">
        <f>IFERROR(__xludf.DUMMYFUNCTION("""COMPUTED_VALUE"""),3410.96)</f>
        <v>3410.96</v>
      </c>
      <c r="F35" s="7">
        <f>IFERROR(__xludf.DUMMYFUNCTION("""COMPUTED_VALUE"""),2798.26)</f>
        <v>2798.26</v>
      </c>
      <c r="G35" s="6">
        <f>IFERROR(__xludf.DUMMYFUNCTION("""COMPUTED_VALUE"""),65.0)</f>
        <v>65</v>
      </c>
      <c r="H35" s="7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IFERROR(__xludf.DUMMYFUNCTION("""COMPUTED_VALUE"""),2.0)</f>
        <v>2</v>
      </c>
      <c r="E36" s="7">
        <f>IFERROR(__xludf.DUMMYFUNCTION("""COMPUTED_VALUE"""),3824.39)</f>
        <v>3824.39</v>
      </c>
      <c r="F36" s="7">
        <f>IFERROR(__xludf.DUMMYFUNCTION("""COMPUTED_VALUE"""),3123.29)</f>
        <v>3123.29</v>
      </c>
      <c r="G36" s="6">
        <f>IFERROR(__xludf.DUMMYFUNCTION("""COMPUTED_VALUE"""),81.0)</f>
        <v>81</v>
      </c>
      <c r="H36" s="7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IFERROR(__xludf.DUMMYFUNCTION("""COMPUTED_VALUE"""),1.0)</f>
        <v>1</v>
      </c>
      <c r="E37" s="7">
        <f>IFERROR(__xludf.DUMMYFUNCTION("""COMPUTED_VALUE"""),3598.86)</f>
        <v>3598.86</v>
      </c>
      <c r="F37" s="7">
        <f>IFERROR(__xludf.DUMMYFUNCTION("""COMPUTED_VALUE"""),3196.5)</f>
        <v>3196.5</v>
      </c>
      <c r="G37" s="6">
        <f>IFERROR(__xludf.DUMMYFUNCTION("""COMPUTED_VALUE"""),76.0)</f>
        <v>76</v>
      </c>
      <c r="H37" s="7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IFERROR(__xludf.DUMMYFUNCTION("""COMPUTED_VALUE"""),2.0)</f>
        <v>2</v>
      </c>
      <c r="E38" s="7">
        <f>IFERROR(__xludf.DUMMYFUNCTION("""COMPUTED_VALUE"""),3504.97)</f>
        <v>3504.97</v>
      </c>
      <c r="F38" s="7">
        <f>IFERROR(__xludf.DUMMYFUNCTION("""COMPUTED_VALUE"""),4774.27)</f>
        <v>4774.27</v>
      </c>
      <c r="G38" s="6">
        <f>IFERROR(__xludf.DUMMYFUNCTION("""COMPUTED_VALUE"""),110.0)</f>
        <v>110</v>
      </c>
      <c r="H38" s="7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IFERROR(__xludf.DUMMYFUNCTION("""COMPUTED_VALUE"""),1.0)</f>
        <v>1</v>
      </c>
      <c r="E39" s="7">
        <f>IFERROR(__xludf.DUMMYFUNCTION("""COMPUTED_VALUE"""),3756.49)</f>
        <v>3756.49</v>
      </c>
      <c r="F39" s="7">
        <f>IFERROR(__xludf.DUMMYFUNCTION("""COMPUTED_VALUE"""),5214.75)</f>
        <v>5214.75</v>
      </c>
      <c r="G39" s="6">
        <f>IFERROR(__xludf.DUMMYFUNCTION("""COMPUTED_VALUE"""),116.0)</f>
        <v>116</v>
      </c>
      <c r="H39" s="7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IFERROR(__xludf.DUMMYFUNCTION("""COMPUTED_VALUE"""),2.0)</f>
        <v>2</v>
      </c>
      <c r="E40" s="7">
        <f>IFERROR(__xludf.DUMMYFUNCTION("""COMPUTED_VALUE"""),4710.96)</f>
        <v>4710.96</v>
      </c>
      <c r="F40" s="7">
        <f>IFERROR(__xludf.DUMMYFUNCTION("""COMPUTED_VALUE"""),6359.77)</f>
        <v>6359.77</v>
      </c>
      <c r="G40" s="6">
        <f>IFERROR(__xludf.DUMMYFUNCTION("""COMPUTED_VALUE"""),149.0)</f>
        <v>149</v>
      </c>
      <c r="H40" s="7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IFERROR(__xludf.DUMMYFUNCTION("""COMPUTED_VALUE"""),1.0)</f>
        <v>1</v>
      </c>
      <c r="E41" s="7">
        <f>IFERROR(__xludf.DUMMYFUNCTION("""COMPUTED_VALUE"""),4203.32)</f>
        <v>4203.32</v>
      </c>
      <c r="F41" s="7">
        <f>IFERROR(__xludf.DUMMYFUNCTION("""COMPUTED_VALUE"""),7420.75)</f>
        <v>7420.75</v>
      </c>
      <c r="G41" s="6">
        <f>IFERROR(__xludf.DUMMYFUNCTION("""COMPUTED_VALUE"""),173.0)</f>
        <v>173</v>
      </c>
      <c r="H41" s="7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IFERROR(__xludf.DUMMYFUNCTION("""COMPUTED_VALUE"""),2.0)</f>
        <v>2</v>
      </c>
      <c r="E42" s="7">
        <f>IFERROR(__xludf.DUMMYFUNCTION("""COMPUTED_VALUE"""),3410.96)</f>
        <v>3410.96</v>
      </c>
      <c r="F42" s="7">
        <f>IFERROR(__xludf.DUMMYFUNCTION("""COMPUTED_VALUE"""),4290.77)</f>
        <v>4290.77</v>
      </c>
      <c r="G42" s="6">
        <f>IFERROR(__xludf.DUMMYFUNCTION("""COMPUTED_VALUE"""),100.0)</f>
        <v>100</v>
      </c>
      <c r="H42" s="7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IFERROR(__xludf.DUMMYFUNCTION("""COMPUTED_VALUE"""),1.0)</f>
        <v>1</v>
      </c>
      <c r="E43" s="7">
        <f>IFERROR(__xludf.DUMMYFUNCTION("""COMPUTED_VALUE"""),3824.39)</f>
        <v>3824.39</v>
      </c>
      <c r="F43" s="7">
        <f>IFERROR(__xludf.DUMMYFUNCTION("""COMPUTED_VALUE"""),4036.0)</f>
        <v>4036</v>
      </c>
      <c r="G43" s="6">
        <f>IFERROR(__xludf.DUMMYFUNCTION("""COMPUTED_VALUE"""),103.0)</f>
        <v>103</v>
      </c>
      <c r="H43" s="7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IFERROR(__xludf.DUMMYFUNCTION("""COMPUTED_VALUE"""),2.0)</f>
        <v>2</v>
      </c>
      <c r="E44" s="7">
        <f>IFERROR(__xludf.DUMMYFUNCTION("""COMPUTED_VALUE"""),3598.86)</f>
        <v>3598.86</v>
      </c>
      <c r="F44" s="7">
        <f>IFERROR(__xludf.DUMMYFUNCTION("""COMPUTED_VALUE"""),5012.26)</f>
        <v>5012.26</v>
      </c>
      <c r="G44" s="6">
        <f>IFERROR(__xludf.DUMMYFUNCTION("""COMPUTED_VALUE"""),127.0)</f>
        <v>127</v>
      </c>
      <c r="H44" s="7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IFERROR(__xludf.DUMMYFUNCTION("""COMPUTED_VALUE"""),1.0)</f>
        <v>1</v>
      </c>
      <c r="E45" s="7">
        <f>IFERROR(__xludf.DUMMYFUNCTION("""COMPUTED_VALUE"""),3504.97)</f>
        <v>3504.97</v>
      </c>
      <c r="F45" s="7">
        <f>IFERROR(__xludf.DUMMYFUNCTION("""COMPUTED_VALUE"""),4701.75)</f>
        <v>4701.75</v>
      </c>
      <c r="G45" s="6">
        <f>IFERROR(__xludf.DUMMYFUNCTION("""COMPUTED_VALUE"""),97.0)</f>
        <v>97</v>
      </c>
      <c r="H45" s="7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IFERROR(__xludf.DUMMYFUNCTION("""COMPUTED_VALUE"""),2.0)</f>
        <v>2</v>
      </c>
      <c r="E46" s="7">
        <f>IFERROR(__xludf.DUMMYFUNCTION("""COMPUTED_VALUE"""),3756.49)</f>
        <v>3756.49</v>
      </c>
      <c r="F46" s="7">
        <f>IFERROR(__xludf.DUMMYFUNCTION("""COMPUTED_VALUE"""),3829.5)</f>
        <v>3829.5</v>
      </c>
      <c r="G46" s="6">
        <f>IFERROR(__xludf.DUMMYFUNCTION("""COMPUTED_VALUE"""),73.0)</f>
        <v>73</v>
      </c>
      <c r="H46" s="7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IFERROR(__xludf.DUMMYFUNCTION("""COMPUTED_VALUE"""),1.0)</f>
        <v>1</v>
      </c>
      <c r="E47" s="7">
        <f>IFERROR(__xludf.DUMMYFUNCTION("""COMPUTED_VALUE"""),4710.96)</f>
        <v>4710.96</v>
      </c>
      <c r="F47" s="7">
        <f>IFERROR(__xludf.DUMMYFUNCTION("""COMPUTED_VALUE"""),5093.75)</f>
        <v>5093.75</v>
      </c>
      <c r="G47" s="6">
        <f>IFERROR(__xludf.DUMMYFUNCTION("""COMPUTED_VALUE"""),103.0)</f>
        <v>103</v>
      </c>
      <c r="H47" s="7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IFERROR(__xludf.DUMMYFUNCTION("""COMPUTED_VALUE"""),2.0)</f>
        <v>2</v>
      </c>
      <c r="E48" s="7">
        <f>IFERROR(__xludf.DUMMYFUNCTION("""COMPUTED_VALUE"""),4203.32)</f>
        <v>4203.32</v>
      </c>
      <c r="F48" s="7">
        <f>IFERROR(__xludf.DUMMYFUNCTION("""COMPUTED_VALUE"""),4808.85)</f>
        <v>4808.85</v>
      </c>
      <c r="G48" s="6">
        <f>IFERROR(__xludf.DUMMYFUNCTION("""COMPUTED_VALUE"""),109.0)</f>
        <v>109</v>
      </c>
      <c r="H48" s="7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IFERROR(__xludf.DUMMYFUNCTION("""COMPUTED_VALUE"""),1.0)</f>
        <v>1</v>
      </c>
      <c r="E49" s="7">
        <f>IFERROR(__xludf.DUMMYFUNCTION("""COMPUTED_VALUE"""),3410.96)</f>
        <v>3410.96</v>
      </c>
      <c r="F49" s="7">
        <f>IFERROR(__xludf.DUMMYFUNCTION("""COMPUTED_VALUE"""),3555.75)</f>
        <v>3555.75</v>
      </c>
      <c r="G49" s="6">
        <f>IFERROR(__xludf.DUMMYFUNCTION("""COMPUTED_VALUE"""),73.0)</f>
        <v>73</v>
      </c>
      <c r="H49" s="7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IFERROR(__xludf.DUMMYFUNCTION("""COMPUTED_VALUE"""),2.0)</f>
        <v>2</v>
      </c>
      <c r="E50" s="7">
        <f>IFERROR(__xludf.DUMMYFUNCTION("""COMPUTED_VALUE"""),3824.39)</f>
        <v>3824.39</v>
      </c>
      <c r="F50" s="7">
        <f>IFERROR(__xludf.DUMMYFUNCTION("""COMPUTED_VALUE"""),3488.54)</f>
        <v>3488.54</v>
      </c>
      <c r="G50" s="6">
        <f>IFERROR(__xludf.DUMMYFUNCTION("""COMPUTED_VALUE"""),75.0)</f>
        <v>75</v>
      </c>
      <c r="H50" s="7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IFERROR(__xludf.DUMMYFUNCTION("""COMPUTED_VALUE"""),1.0)</f>
        <v>1</v>
      </c>
      <c r="E51" s="7">
        <f>IFERROR(__xludf.DUMMYFUNCTION("""COMPUTED_VALUE"""),3598.86)</f>
        <v>3598.86</v>
      </c>
      <c r="F51" s="7">
        <f>IFERROR(__xludf.DUMMYFUNCTION("""COMPUTED_VALUE"""),4198.01)</f>
        <v>4198.01</v>
      </c>
      <c r="G51" s="6">
        <f>IFERROR(__xludf.DUMMYFUNCTION("""COMPUTED_VALUE"""),82.0)</f>
        <v>82</v>
      </c>
      <c r="H51" s="7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IFERROR(__xludf.DUMMYFUNCTION("""COMPUTED_VALUE"""),2.0)</f>
        <v>2</v>
      </c>
      <c r="E52" s="7">
        <f>IFERROR(__xludf.DUMMYFUNCTION("""COMPUTED_VALUE"""),3504.97)</f>
        <v>3504.97</v>
      </c>
      <c r="F52" s="7">
        <f>IFERROR(__xludf.DUMMYFUNCTION("""COMPUTED_VALUE"""),3899.51)</f>
        <v>3899.51</v>
      </c>
      <c r="G52" s="6">
        <f>IFERROR(__xludf.DUMMYFUNCTION("""COMPUTED_VALUE"""),87.0)</f>
        <v>87</v>
      </c>
      <c r="H52" s="7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IFERROR(__xludf.DUMMYFUNCTION("""COMPUTED_VALUE"""),1.0)</f>
        <v>1</v>
      </c>
      <c r="E53" s="7">
        <f>IFERROR(__xludf.DUMMYFUNCTION("""COMPUTED_VALUE"""),3756.49)</f>
        <v>3756.49</v>
      </c>
      <c r="F53" s="7">
        <f>IFERROR(__xludf.DUMMYFUNCTION("""COMPUTED_VALUE"""),162.25)</f>
        <v>162.25</v>
      </c>
      <c r="G53" s="6">
        <f>IFERROR(__xludf.DUMMYFUNCTION("""COMPUTED_VALUE"""),2.0)</f>
        <v>2</v>
      </c>
      <c r="H53" s="7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IFERROR(__xludf.DUMMYFUNCTION("""COMPUTED_VALUE"""),2.0)</f>
        <v>2</v>
      </c>
      <c r="E54" s="7">
        <f>IFERROR(__xludf.DUMMYFUNCTION("""COMPUTED_VALUE"""),4710.96)</f>
        <v>4710.96</v>
      </c>
      <c r="F54" s="7">
        <f>IFERROR(__xludf.DUMMYFUNCTION("""COMPUTED_VALUE"""),5634.5)</f>
        <v>5634.5</v>
      </c>
      <c r="G54" s="6">
        <f>IFERROR(__xludf.DUMMYFUNCTION("""COMPUTED_VALUE"""),97.0)</f>
        <v>97</v>
      </c>
      <c r="H54" s="7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IFERROR(__xludf.DUMMYFUNCTION("""COMPUTED_VALUE"""),1.0)</f>
        <v>1</v>
      </c>
      <c r="E55" s="7">
        <f>IFERROR(__xludf.DUMMYFUNCTION("""COMPUTED_VALUE"""),4203.32)</f>
        <v>4203.32</v>
      </c>
      <c r="F55" s="7">
        <f>IFERROR(__xludf.DUMMYFUNCTION("""COMPUTED_VALUE"""),4964.25)</f>
        <v>4964.25</v>
      </c>
      <c r="G55" s="6">
        <f>IFERROR(__xludf.DUMMYFUNCTION("""COMPUTED_VALUE"""),117.0)</f>
        <v>117</v>
      </c>
      <c r="H55" s="7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IFERROR(__xludf.DUMMYFUNCTION("""COMPUTED_VALUE"""),2.0)</f>
        <v>2</v>
      </c>
      <c r="E56" s="7">
        <f>IFERROR(__xludf.DUMMYFUNCTION("""COMPUTED_VALUE"""),3410.96)</f>
        <v>3410.96</v>
      </c>
      <c r="F56" s="7">
        <f>IFERROR(__xludf.DUMMYFUNCTION("""COMPUTED_VALUE"""),2615.5)</f>
        <v>2615.5</v>
      </c>
      <c r="G56" s="6">
        <f>IFERROR(__xludf.DUMMYFUNCTION("""COMPUTED_VALUE"""),65.0)</f>
        <v>65</v>
      </c>
      <c r="H56" s="7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IFERROR(__xludf.DUMMYFUNCTION("""COMPUTED_VALUE"""),1.0)</f>
        <v>1</v>
      </c>
      <c r="E57" s="7">
        <f>IFERROR(__xludf.DUMMYFUNCTION("""COMPUTED_VALUE"""),3824.39)</f>
        <v>3824.39</v>
      </c>
      <c r="F57" s="7">
        <f>IFERROR(__xludf.DUMMYFUNCTION("""COMPUTED_VALUE"""),3972.76)</f>
        <v>3972.76</v>
      </c>
      <c r="G57" s="6">
        <f>IFERROR(__xludf.DUMMYFUNCTION("""COMPUTED_VALUE"""),96.0)</f>
        <v>96</v>
      </c>
      <c r="H57" s="7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IFERROR(__xludf.DUMMYFUNCTION("""COMPUTED_VALUE"""),2.0)</f>
        <v>2</v>
      </c>
      <c r="E58" s="7">
        <f>IFERROR(__xludf.DUMMYFUNCTION("""COMPUTED_VALUE"""),3598.86)</f>
        <v>3598.86</v>
      </c>
      <c r="F58" s="7">
        <f>IFERROR(__xludf.DUMMYFUNCTION("""COMPUTED_VALUE"""),3786.25)</f>
        <v>3786.25</v>
      </c>
      <c r="G58" s="6">
        <f>IFERROR(__xludf.DUMMYFUNCTION("""COMPUTED_VALUE"""),84.0)</f>
        <v>84</v>
      </c>
      <c r="H58" s="7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IFERROR(__xludf.DUMMYFUNCTION("""COMPUTED_VALUE"""),1.0)</f>
        <v>1</v>
      </c>
      <c r="E59" s="7">
        <f>IFERROR(__xludf.DUMMYFUNCTION("""COMPUTED_VALUE"""),3504.97)</f>
        <v>3504.97</v>
      </c>
      <c r="F59" s="7">
        <f>IFERROR(__xludf.DUMMYFUNCTION("""COMPUTED_VALUE"""),2676.76)</f>
        <v>2676.76</v>
      </c>
      <c r="G59" s="6">
        <f>IFERROR(__xludf.DUMMYFUNCTION("""COMPUTED_VALUE"""),66.0)</f>
        <v>66</v>
      </c>
      <c r="H59" s="7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IFERROR(__xludf.DUMMYFUNCTION("""COMPUTED_VALUE"""),2.0)</f>
        <v>2</v>
      </c>
      <c r="E60" s="7">
        <f>IFERROR(__xludf.DUMMYFUNCTION("""COMPUTED_VALUE"""),3756.49)</f>
        <v>3756.49</v>
      </c>
      <c r="F60" s="7">
        <f>IFERROR(__xludf.DUMMYFUNCTION("""COMPUTED_VALUE"""),3058.57)</f>
        <v>3058.57</v>
      </c>
      <c r="G60" s="6">
        <f>IFERROR(__xludf.DUMMYFUNCTION("""COMPUTED_VALUE"""),76.0)</f>
        <v>76</v>
      </c>
      <c r="H60" s="7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IFERROR(__xludf.DUMMYFUNCTION("""COMPUTED_VALUE"""),1.0)</f>
        <v>1</v>
      </c>
      <c r="E61" s="7">
        <f>IFERROR(__xludf.DUMMYFUNCTION("""COMPUTED_VALUE"""),5238.87)</f>
        <v>5238.87</v>
      </c>
      <c r="F61" s="7">
        <f>IFERROR(__xludf.DUMMYFUNCTION("""COMPUTED_VALUE"""),4655.0)</f>
        <v>4655</v>
      </c>
      <c r="G61" s="6">
        <f>IFERROR(__xludf.DUMMYFUNCTION("""COMPUTED_VALUE"""),92.0)</f>
        <v>92</v>
      </c>
      <c r="H61" s="7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IFERROR(__xludf.DUMMYFUNCTION("""COMPUTED_VALUE"""),2.0)</f>
        <v>2</v>
      </c>
      <c r="E62" s="7">
        <f>IFERROR(__xludf.DUMMYFUNCTION("""COMPUTED_VALUE"""),4690.3)</f>
        <v>4690.3</v>
      </c>
      <c r="F62" s="7">
        <f>IFERROR(__xludf.DUMMYFUNCTION("""COMPUTED_VALUE"""),3510.53)</f>
        <v>3510.53</v>
      </c>
      <c r="G62" s="6">
        <f>IFERROR(__xludf.DUMMYFUNCTION("""COMPUTED_VALUE"""),71.0)</f>
        <v>71</v>
      </c>
      <c r="H62" s="7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>
        <f>IFERROR(__xludf.DUMMYFUNCTION("""COMPUTED_VALUE"""),1.0)</f>
        <v>1</v>
      </c>
      <c r="E63" s="7">
        <f>IFERROR(__xludf.DUMMYFUNCTION("""COMPUTED_VALUE"""),3506.37)</f>
        <v>3506.37</v>
      </c>
      <c r="F63" s="7">
        <f>IFERROR(__xludf.DUMMYFUNCTION("""COMPUTED_VALUE"""),4028.76)</f>
        <v>4028.76</v>
      </c>
      <c r="G63" s="6">
        <f>IFERROR(__xludf.DUMMYFUNCTION("""COMPUTED_VALUE"""),96.0)</f>
        <v>96</v>
      </c>
      <c r="H63" s="7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>
        <f>IFERROR(__xludf.DUMMYFUNCTION("""COMPUTED_VALUE"""),2.0)</f>
        <v>2</v>
      </c>
      <c r="E64" s="7">
        <f>IFERROR(__xludf.DUMMYFUNCTION("""COMPUTED_VALUE"""),3947.56)</f>
        <v>3947.56</v>
      </c>
      <c r="F64" s="7">
        <f>IFERROR(__xludf.DUMMYFUNCTION("""COMPUTED_VALUE"""),3807.25)</f>
        <v>3807.25</v>
      </c>
      <c r="G64" s="6">
        <f>IFERROR(__xludf.DUMMYFUNCTION("""COMPUTED_VALUE"""),84.0)</f>
        <v>84</v>
      </c>
      <c r="H64" s="7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IFERROR(__xludf.DUMMYFUNCTION("""COMPUTED_VALUE"""),1.0)</f>
        <v>1</v>
      </c>
      <c r="E65" s="7">
        <f>IFERROR(__xludf.DUMMYFUNCTION("""COMPUTED_VALUE"""),3815.68)</f>
        <v>3815.68</v>
      </c>
      <c r="F65" s="7">
        <f>IFERROR(__xludf.DUMMYFUNCTION("""COMPUTED_VALUE"""),3865.78)</f>
        <v>3865.78</v>
      </c>
      <c r="G65" s="6">
        <f>IFERROR(__xludf.DUMMYFUNCTION("""COMPUTED_VALUE"""),87.0)</f>
        <v>87</v>
      </c>
      <c r="H65" s="7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IFERROR(__xludf.DUMMYFUNCTION("""COMPUTED_VALUE"""),2.0)</f>
        <v>2</v>
      </c>
      <c r="E66" s="7">
        <f>IFERROR(__xludf.DUMMYFUNCTION("""COMPUTED_VALUE"""),3699.34)</f>
        <v>3699.34</v>
      </c>
      <c r="F66" s="7">
        <f>IFERROR(__xludf.DUMMYFUNCTION("""COMPUTED_VALUE"""),4310.26)</f>
        <v>4310.26</v>
      </c>
      <c r="G66" s="6">
        <f>IFERROR(__xludf.DUMMYFUNCTION("""COMPUTED_VALUE"""),90.0)</f>
        <v>90</v>
      </c>
      <c r="H66" s="7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IFERROR(__xludf.DUMMYFUNCTION("""COMPUTED_VALUE"""),1.0)</f>
        <v>1</v>
      </c>
      <c r="E67" s="7">
        <f>IFERROR(__xludf.DUMMYFUNCTION("""COMPUTED_VALUE"""),4094.86)</f>
        <v>4094.86</v>
      </c>
      <c r="F67" s="7">
        <f>IFERROR(__xludf.DUMMYFUNCTION("""COMPUTED_VALUE"""),4051.5)</f>
        <v>4051.5</v>
      </c>
      <c r="G67" s="6">
        <f>IFERROR(__xludf.DUMMYFUNCTION("""COMPUTED_VALUE"""),99.0)</f>
        <v>99</v>
      </c>
      <c r="H67" s="7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IFERROR(__xludf.DUMMYFUNCTION("""COMPUTED_VALUE"""),2.0)</f>
        <v>2</v>
      </c>
      <c r="E68" s="7">
        <f>IFERROR(__xludf.DUMMYFUNCTION("""COMPUTED_VALUE"""),5238.87)</f>
        <v>5238.87</v>
      </c>
      <c r="F68" s="7">
        <f>IFERROR(__xludf.DUMMYFUNCTION("""COMPUTED_VALUE"""),6328.75)</f>
        <v>6328.75</v>
      </c>
      <c r="G68" s="6">
        <f>IFERROR(__xludf.DUMMYFUNCTION("""COMPUTED_VALUE"""),132.0)</f>
        <v>132</v>
      </c>
      <c r="H68" s="7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IFERROR(__xludf.DUMMYFUNCTION("""COMPUTED_VALUE"""),1.0)</f>
        <v>1</v>
      </c>
      <c r="E69" s="7">
        <f>IFERROR(__xludf.DUMMYFUNCTION("""COMPUTED_VALUE"""),4690.3)</f>
        <v>4690.3</v>
      </c>
      <c r="F69" s="7">
        <f>IFERROR(__xludf.DUMMYFUNCTION("""COMPUTED_VALUE"""),5694.01)</f>
        <v>5694.01</v>
      </c>
      <c r="G69" s="6">
        <f>IFERROR(__xludf.DUMMYFUNCTION("""COMPUTED_VALUE"""),119.0)</f>
        <v>119</v>
      </c>
      <c r="H69" s="7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IFERROR(__xludf.DUMMYFUNCTION("""COMPUTED_VALUE"""),2.0)</f>
        <v>2</v>
      </c>
      <c r="E70" s="7">
        <f>IFERROR(__xludf.DUMMYFUNCTION("""COMPUTED_VALUE"""),3506.37)</f>
        <v>3506.37</v>
      </c>
      <c r="F70" s="7">
        <f>IFERROR(__xludf.DUMMYFUNCTION("""COMPUTED_VALUE"""),2149.75)</f>
        <v>2149.75</v>
      </c>
      <c r="G70" s="6">
        <f>IFERROR(__xludf.DUMMYFUNCTION("""COMPUTED_VALUE"""),48.0)</f>
        <v>48</v>
      </c>
      <c r="H70" s="7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IFERROR(__xludf.DUMMYFUNCTION("""COMPUTED_VALUE"""),1.0)</f>
        <v>1</v>
      </c>
      <c r="E71" s="7">
        <f>IFERROR(__xludf.DUMMYFUNCTION("""COMPUTED_VALUE"""),3947.56)</f>
        <v>3947.56</v>
      </c>
      <c r="F71" s="7">
        <f>IFERROR(__xludf.DUMMYFUNCTION("""COMPUTED_VALUE"""),2203.75)</f>
        <v>2203.75</v>
      </c>
      <c r="G71" s="6">
        <f>IFERROR(__xludf.DUMMYFUNCTION("""COMPUTED_VALUE"""),51.0)</f>
        <v>51</v>
      </c>
      <c r="H71" s="7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IFERROR(__xludf.DUMMYFUNCTION("""COMPUTED_VALUE"""),2.0)</f>
        <v>2</v>
      </c>
      <c r="E72" s="7">
        <f>IFERROR(__xludf.DUMMYFUNCTION("""COMPUTED_VALUE"""),3815.68)</f>
        <v>3815.68</v>
      </c>
      <c r="F72" s="7">
        <f>IFERROR(__xludf.DUMMYFUNCTION("""COMPUTED_VALUE"""),3651.0)</f>
        <v>3651</v>
      </c>
      <c r="G72" s="6">
        <f>IFERROR(__xludf.DUMMYFUNCTION("""COMPUTED_VALUE"""),71.0)</f>
        <v>71</v>
      </c>
      <c r="H72" s="7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IFERROR(__xludf.DUMMYFUNCTION("""COMPUTED_VALUE"""),1.0)</f>
        <v>1</v>
      </c>
      <c r="E73" s="7">
        <f>IFERROR(__xludf.DUMMYFUNCTION("""COMPUTED_VALUE"""),3699.34)</f>
        <v>3699.34</v>
      </c>
      <c r="F73" s="7">
        <f>IFERROR(__xludf.DUMMYFUNCTION("""COMPUTED_VALUE"""),3370.25)</f>
        <v>3370.25</v>
      </c>
      <c r="G73" s="6">
        <f>IFERROR(__xludf.DUMMYFUNCTION("""COMPUTED_VALUE"""),81.0)</f>
        <v>81</v>
      </c>
      <c r="H73" s="7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IFERROR(__xludf.DUMMYFUNCTION("""COMPUTED_VALUE"""),2.0)</f>
        <v>2</v>
      </c>
      <c r="E74" s="7">
        <f>IFERROR(__xludf.DUMMYFUNCTION("""COMPUTED_VALUE"""),4094.86)</f>
        <v>4094.86</v>
      </c>
      <c r="F74" s="7">
        <f>IFERROR(__xludf.DUMMYFUNCTION("""COMPUTED_VALUE"""),2659.01)</f>
        <v>2659.01</v>
      </c>
      <c r="G74" s="6">
        <f>IFERROR(__xludf.DUMMYFUNCTION("""COMPUTED_VALUE"""),63.0)</f>
        <v>63</v>
      </c>
      <c r="H74" s="7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IFERROR(__xludf.DUMMYFUNCTION("""COMPUTED_VALUE"""),1.0)</f>
        <v>1</v>
      </c>
      <c r="E75" s="7">
        <f>IFERROR(__xludf.DUMMYFUNCTION("""COMPUTED_VALUE"""),5238.87)</f>
        <v>5238.87</v>
      </c>
      <c r="F75" s="7">
        <f>IFERROR(__xludf.DUMMYFUNCTION("""COMPUTED_VALUE"""),4990.75)</f>
        <v>4990.75</v>
      </c>
      <c r="G75" s="6">
        <f>IFERROR(__xludf.DUMMYFUNCTION("""COMPUTED_VALUE"""),98.0)</f>
        <v>98</v>
      </c>
      <c r="H75" s="7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IFERROR(__xludf.DUMMYFUNCTION("""COMPUTED_VALUE"""),2.0)</f>
        <v>2</v>
      </c>
      <c r="E76" s="7">
        <f>IFERROR(__xludf.DUMMYFUNCTION("""COMPUTED_VALUE"""),4690.3)</f>
        <v>4690.3</v>
      </c>
      <c r="F76" s="7">
        <f>IFERROR(__xludf.DUMMYFUNCTION("""COMPUTED_VALUE"""),4930.04)</f>
        <v>4930.04</v>
      </c>
      <c r="G76" s="6">
        <f>IFERROR(__xludf.DUMMYFUNCTION("""COMPUTED_VALUE"""),99.0)</f>
        <v>99</v>
      </c>
      <c r="H76" s="7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IFERROR(__xludf.DUMMYFUNCTION("""COMPUTED_VALUE"""),1.0)</f>
        <v>1</v>
      </c>
      <c r="E77" s="7">
        <f>IFERROR(__xludf.DUMMYFUNCTION("""COMPUTED_VALUE"""),3506.37)</f>
        <v>3506.37</v>
      </c>
      <c r="F77" s="7">
        <f>IFERROR(__xludf.DUMMYFUNCTION("""COMPUTED_VALUE"""),2571.51)</f>
        <v>2571.51</v>
      </c>
      <c r="G77" s="6">
        <f>IFERROR(__xludf.DUMMYFUNCTION("""COMPUTED_VALUE"""),54.0)</f>
        <v>54</v>
      </c>
      <c r="H77" s="7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IFERROR(__xludf.DUMMYFUNCTION("""COMPUTED_VALUE"""),2.0)</f>
        <v>2</v>
      </c>
      <c r="E78" s="7">
        <f>IFERROR(__xludf.DUMMYFUNCTION("""COMPUTED_VALUE"""),3947.56)</f>
        <v>3947.56</v>
      </c>
      <c r="F78" s="7">
        <f>IFERROR(__xludf.DUMMYFUNCTION("""COMPUTED_VALUE"""),2507.52)</f>
        <v>2507.52</v>
      </c>
      <c r="G78" s="6">
        <f>IFERROR(__xludf.DUMMYFUNCTION("""COMPUTED_VALUE"""),61.0)</f>
        <v>61</v>
      </c>
      <c r="H78" s="7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IFERROR(__xludf.DUMMYFUNCTION("""COMPUTED_VALUE"""),1.0)</f>
        <v>1</v>
      </c>
      <c r="E79" s="7">
        <f>IFERROR(__xludf.DUMMYFUNCTION("""COMPUTED_VALUE"""),3815.68)</f>
        <v>3815.68</v>
      </c>
      <c r="F79" s="7">
        <f>IFERROR(__xludf.DUMMYFUNCTION("""COMPUTED_VALUE"""),2404.02)</f>
        <v>2404.02</v>
      </c>
      <c r="G79" s="6">
        <f>IFERROR(__xludf.DUMMYFUNCTION("""COMPUTED_VALUE"""),53.0)</f>
        <v>53</v>
      </c>
      <c r="H79" s="7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IFERROR(__xludf.DUMMYFUNCTION("""COMPUTED_VALUE"""),2.0)</f>
        <v>2</v>
      </c>
      <c r="E80" s="7">
        <f>IFERROR(__xludf.DUMMYFUNCTION("""COMPUTED_VALUE"""),3699.34)</f>
        <v>3699.34</v>
      </c>
      <c r="F80" s="7">
        <f>IFERROR(__xludf.DUMMYFUNCTION("""COMPUTED_VALUE"""),2565.5)</f>
        <v>2565.5</v>
      </c>
      <c r="G80" s="6">
        <f>IFERROR(__xludf.DUMMYFUNCTION("""COMPUTED_VALUE"""),61.0)</f>
        <v>61</v>
      </c>
      <c r="H80" s="7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IFERROR(__xludf.DUMMYFUNCTION("""COMPUTED_VALUE"""),1.0)</f>
        <v>1</v>
      </c>
      <c r="E81" s="7">
        <f>IFERROR(__xludf.DUMMYFUNCTION("""COMPUTED_VALUE"""),4094.86)</f>
        <v>4094.86</v>
      </c>
      <c r="F81" s="7">
        <f>IFERROR(__xludf.DUMMYFUNCTION("""COMPUTED_VALUE"""),3666.75)</f>
        <v>3666.75</v>
      </c>
      <c r="G81" s="6">
        <f>IFERROR(__xludf.DUMMYFUNCTION("""COMPUTED_VALUE"""),72.0)</f>
        <v>72</v>
      </c>
      <c r="H81" s="7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IFERROR(__xludf.DUMMYFUNCTION("""COMPUTED_VALUE"""),2.0)</f>
        <v>2</v>
      </c>
      <c r="E82" s="7">
        <f>IFERROR(__xludf.DUMMYFUNCTION("""COMPUTED_VALUE"""),5238.87)</f>
        <v>5238.87</v>
      </c>
      <c r="F82" s="7">
        <f>IFERROR(__xludf.DUMMYFUNCTION("""COMPUTED_VALUE"""),5398.77)</f>
        <v>5398.77</v>
      </c>
      <c r="G82" s="6">
        <f>IFERROR(__xludf.DUMMYFUNCTION("""COMPUTED_VALUE"""),113.0)</f>
        <v>113</v>
      </c>
      <c r="H82" s="7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IFERROR(__xludf.DUMMYFUNCTION("""COMPUTED_VALUE"""),1.0)</f>
        <v>1</v>
      </c>
      <c r="E83" s="7">
        <f>IFERROR(__xludf.DUMMYFUNCTION("""COMPUTED_VALUE"""),4690.3)</f>
        <v>4690.3</v>
      </c>
      <c r="F83" s="7">
        <f>IFERROR(__xludf.DUMMYFUNCTION("""COMPUTED_VALUE"""),4646.25)</f>
        <v>4646.25</v>
      </c>
      <c r="G83" s="6">
        <f>IFERROR(__xludf.DUMMYFUNCTION("""COMPUTED_VALUE"""),105.0)</f>
        <v>105</v>
      </c>
      <c r="H83" s="7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IFERROR(__xludf.DUMMYFUNCTION("""COMPUTED_VALUE"""),2.0)</f>
        <v>2</v>
      </c>
      <c r="E84" s="7">
        <f>IFERROR(__xludf.DUMMYFUNCTION("""COMPUTED_VALUE"""),3506.37)</f>
        <v>3506.37</v>
      </c>
      <c r="F84" s="7">
        <f>IFERROR(__xludf.DUMMYFUNCTION("""COMPUTED_VALUE"""),2315.75)</f>
        <v>2315.75</v>
      </c>
      <c r="G84" s="6">
        <f>IFERROR(__xludf.DUMMYFUNCTION("""COMPUTED_VALUE"""),54.0)</f>
        <v>54</v>
      </c>
      <c r="H84" s="7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IFERROR(__xludf.DUMMYFUNCTION("""COMPUTED_VALUE"""),1.0)</f>
        <v>1</v>
      </c>
      <c r="E85" s="7">
        <f>IFERROR(__xludf.DUMMYFUNCTION("""COMPUTED_VALUE"""),3947.56)</f>
        <v>3947.56</v>
      </c>
      <c r="F85" s="7">
        <f>IFERROR(__xludf.DUMMYFUNCTION("""COMPUTED_VALUE"""),2303.25)</f>
        <v>2303.25</v>
      </c>
      <c r="G85" s="6">
        <f>IFERROR(__xludf.DUMMYFUNCTION("""COMPUTED_VALUE"""),51.0)</f>
        <v>51</v>
      </c>
      <c r="H85" s="7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IFERROR(__xludf.DUMMYFUNCTION("""COMPUTED_VALUE"""),2.0)</f>
        <v>2</v>
      </c>
      <c r="E86" s="7">
        <f>IFERROR(__xludf.DUMMYFUNCTION("""COMPUTED_VALUE"""),3815.68)</f>
        <v>3815.68</v>
      </c>
      <c r="F86" s="7">
        <f>IFERROR(__xludf.DUMMYFUNCTION("""COMPUTED_VALUE"""),3336.29)</f>
        <v>3336.29</v>
      </c>
      <c r="G86" s="6">
        <f>IFERROR(__xludf.DUMMYFUNCTION("""COMPUTED_VALUE"""),64.0)</f>
        <v>64</v>
      </c>
      <c r="H86" s="7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IFERROR(__xludf.DUMMYFUNCTION("""COMPUTED_VALUE"""),1.0)</f>
        <v>1</v>
      </c>
      <c r="E87" s="7">
        <f>IFERROR(__xludf.DUMMYFUNCTION("""COMPUTED_VALUE"""),3699.34)</f>
        <v>3699.34</v>
      </c>
      <c r="F87" s="7">
        <f>IFERROR(__xludf.DUMMYFUNCTION("""COMPUTED_VALUE"""),3328.25)</f>
        <v>3328.25</v>
      </c>
      <c r="G87" s="6">
        <f>IFERROR(__xludf.DUMMYFUNCTION("""COMPUTED_VALUE"""),72.0)</f>
        <v>72</v>
      </c>
      <c r="H87" s="7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IFERROR(__xludf.DUMMYFUNCTION("""COMPUTED_VALUE"""),2.0)</f>
        <v>2</v>
      </c>
      <c r="E88" s="7">
        <f>IFERROR(__xludf.DUMMYFUNCTION("""COMPUTED_VALUE"""),4094.86)</f>
        <v>4094.86</v>
      </c>
      <c r="F88" s="7">
        <f>IFERROR(__xludf.DUMMYFUNCTION("""COMPUTED_VALUE"""),2654.51)</f>
        <v>2654.51</v>
      </c>
      <c r="G88" s="6">
        <f>IFERROR(__xludf.DUMMYFUNCTION("""COMPUTED_VALUE"""),59.0)</f>
        <v>59</v>
      </c>
      <c r="H88" s="7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IFERROR(__xludf.DUMMYFUNCTION("""COMPUTED_VALUE"""),1.0)</f>
        <v>1</v>
      </c>
      <c r="E89" s="7">
        <f>IFERROR(__xludf.DUMMYFUNCTION("""COMPUTED_VALUE"""),5238.87)</f>
        <v>5238.87</v>
      </c>
      <c r="F89" s="7">
        <f>IFERROR(__xludf.DUMMYFUNCTION("""COMPUTED_VALUE"""),3820.25)</f>
        <v>3820.25</v>
      </c>
      <c r="G89" s="6">
        <f>IFERROR(__xludf.DUMMYFUNCTION("""COMPUTED_VALUE"""),90.0)</f>
        <v>90</v>
      </c>
      <c r="H89" s="7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IFERROR(__xludf.DUMMYFUNCTION("""COMPUTED_VALUE"""),2.0)</f>
        <v>2</v>
      </c>
      <c r="E90" s="7">
        <f>IFERROR(__xludf.DUMMYFUNCTION("""COMPUTED_VALUE"""),4690.3)</f>
        <v>4690.3</v>
      </c>
      <c r="F90" s="7">
        <f>IFERROR(__xludf.DUMMYFUNCTION("""COMPUTED_VALUE"""),3108.0)</f>
        <v>3108</v>
      </c>
      <c r="G90" s="6">
        <f>IFERROR(__xludf.DUMMYFUNCTION("""COMPUTED_VALUE"""),67.0)</f>
        <v>67</v>
      </c>
      <c r="H90" s="7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IFERROR(__xludf.DUMMYFUNCTION("""COMPUTED_VALUE"""),1.0)</f>
        <v>1</v>
      </c>
      <c r="E91" s="7">
        <f>IFERROR(__xludf.DUMMYFUNCTION("""COMPUTED_VALUE"""),3506.37)</f>
        <v>3506.37</v>
      </c>
      <c r="F91" s="7">
        <f>IFERROR(__xludf.DUMMYFUNCTION("""COMPUTED_VALUE"""),2419.5)</f>
        <v>2419.5</v>
      </c>
      <c r="G91" s="6">
        <f>IFERROR(__xludf.DUMMYFUNCTION("""COMPUTED_VALUE"""),57.0)</f>
        <v>57</v>
      </c>
      <c r="H91" s="7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IFERROR(__xludf.DUMMYFUNCTION("""COMPUTED_VALUE"""),2.0)</f>
        <v>2</v>
      </c>
      <c r="E92" s="7">
        <f>IFERROR(__xludf.DUMMYFUNCTION("""COMPUTED_VALUE"""),3878.68)</f>
        <v>3878.68</v>
      </c>
      <c r="F92" s="7">
        <f>IFERROR(__xludf.DUMMYFUNCTION("""COMPUTED_VALUE"""),2152.27)</f>
        <v>2152.27</v>
      </c>
      <c r="G92" s="6">
        <f>IFERROR(__xludf.DUMMYFUNCTION("""COMPUTED_VALUE"""),50.0)</f>
        <v>50</v>
      </c>
      <c r="H92" s="7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IFERROR(__xludf.DUMMYFUNCTION("""COMPUTED_VALUE"""),1.0)</f>
        <v>1</v>
      </c>
      <c r="E93" s="7">
        <f>IFERROR(__xludf.DUMMYFUNCTION("""COMPUTED_VALUE"""),3929.07)</f>
        <v>3929.07</v>
      </c>
      <c r="F93" s="7">
        <f>IFERROR(__xludf.DUMMYFUNCTION("""COMPUTED_VALUE"""),2586.75)</f>
        <v>2586.75</v>
      </c>
      <c r="G93" s="6">
        <f>IFERROR(__xludf.DUMMYFUNCTION("""COMPUTED_VALUE"""),63.0)</f>
        <v>63</v>
      </c>
      <c r="H93" s="7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IFERROR(__xludf.DUMMYFUNCTION("""COMPUTED_VALUE"""),2.0)</f>
        <v>2</v>
      </c>
      <c r="E94" s="7">
        <f>IFERROR(__xludf.DUMMYFUNCTION("""COMPUTED_VALUE"""),3926.08)</f>
        <v>3926.08</v>
      </c>
      <c r="F94" s="7">
        <f>IFERROR(__xludf.DUMMYFUNCTION("""COMPUTED_VALUE"""),1924.01)</f>
        <v>1924.01</v>
      </c>
      <c r="G94" s="6">
        <f>IFERROR(__xludf.DUMMYFUNCTION("""COMPUTED_VALUE"""),48.0)</f>
        <v>48</v>
      </c>
      <c r="H94" s="7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IFERROR(__xludf.DUMMYFUNCTION("""COMPUTED_VALUE"""),1.0)</f>
        <v>1</v>
      </c>
      <c r="E95" s="7">
        <f>IFERROR(__xludf.DUMMYFUNCTION("""COMPUTED_VALUE"""),4211.03)</f>
        <v>4211.03</v>
      </c>
      <c r="F95" s="7">
        <f>IFERROR(__xludf.DUMMYFUNCTION("""COMPUTED_VALUE"""),2322.27)</f>
        <v>2322.27</v>
      </c>
      <c r="G95" s="6">
        <f>IFERROR(__xludf.DUMMYFUNCTION("""COMPUTED_VALUE"""),53.0)</f>
        <v>53</v>
      </c>
      <c r="H95" s="7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IFERROR(__xludf.DUMMYFUNCTION("""COMPUTED_VALUE"""),2.0)</f>
        <v>2</v>
      </c>
      <c r="E96" s="7">
        <f>IFERROR(__xludf.DUMMYFUNCTION("""COMPUTED_VALUE"""),5462.33)</f>
        <v>5462.33</v>
      </c>
      <c r="F96" s="7">
        <f>IFERROR(__xludf.DUMMYFUNCTION("""COMPUTED_VALUE"""),2719.76)</f>
        <v>2719.76</v>
      </c>
      <c r="G96" s="6">
        <f>IFERROR(__xludf.DUMMYFUNCTION("""COMPUTED_VALUE"""),77.0)</f>
        <v>77</v>
      </c>
      <c r="H96" s="7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IFERROR(__xludf.DUMMYFUNCTION("""COMPUTED_VALUE"""),1.0)</f>
        <v>1</v>
      </c>
      <c r="E97" s="7">
        <f>IFERROR(__xludf.DUMMYFUNCTION("""COMPUTED_VALUE"""),5046.12)</f>
        <v>5046.12</v>
      </c>
      <c r="F97" s="7">
        <f>IFERROR(__xludf.DUMMYFUNCTION("""COMPUTED_VALUE"""),3215.25)</f>
        <v>3215.25</v>
      </c>
      <c r="G97" s="6">
        <f>IFERROR(__xludf.DUMMYFUNCTION("""COMPUTED_VALUE"""),82.0)</f>
        <v>82</v>
      </c>
      <c r="H97" s="7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IFERROR(__xludf.DUMMYFUNCTION("""COMPUTED_VALUE"""),2.0)</f>
        <v>2</v>
      </c>
      <c r="E98" s="7">
        <f>IFERROR(__xludf.DUMMYFUNCTION("""COMPUTED_VALUE"""),3488.6)</f>
        <v>3488.6</v>
      </c>
      <c r="F98" s="7">
        <f>IFERROR(__xludf.DUMMYFUNCTION("""COMPUTED_VALUE"""),2848.51)</f>
        <v>2848.51</v>
      </c>
      <c r="G98" s="6">
        <f>IFERROR(__xludf.DUMMYFUNCTION("""COMPUTED_VALUE"""),58.0)</f>
        <v>58</v>
      </c>
      <c r="H98" s="7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IFERROR(__xludf.DUMMYFUNCTION("""COMPUTED_VALUE"""),1.0)</f>
        <v>1</v>
      </c>
      <c r="E99" s="7">
        <f>IFERROR(__xludf.DUMMYFUNCTION("""COMPUTED_VALUE"""),3878.68)</f>
        <v>3878.68</v>
      </c>
      <c r="F99" s="7">
        <f>IFERROR(__xludf.DUMMYFUNCTION("""COMPUTED_VALUE"""),1988.75)</f>
        <v>1988.75</v>
      </c>
      <c r="G99" s="6">
        <f>IFERROR(__xludf.DUMMYFUNCTION("""COMPUTED_VALUE"""),52.0)</f>
        <v>52</v>
      </c>
      <c r="H99" s="7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IFERROR(__xludf.DUMMYFUNCTION("""COMPUTED_VALUE"""),2.0)</f>
        <v>2</v>
      </c>
      <c r="E100" s="7">
        <f>IFERROR(__xludf.DUMMYFUNCTION("""COMPUTED_VALUE"""),3929.07)</f>
        <v>3929.07</v>
      </c>
      <c r="F100" s="7">
        <f>IFERROR(__xludf.DUMMYFUNCTION("""COMPUTED_VALUE"""),2392.0)</f>
        <v>2392</v>
      </c>
      <c r="G100" s="6">
        <f>IFERROR(__xludf.DUMMYFUNCTION("""COMPUTED_VALUE"""),60.0)</f>
        <v>60</v>
      </c>
      <c r="H100" s="7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IFERROR(__xludf.DUMMYFUNCTION("""COMPUTED_VALUE"""),1.0)</f>
        <v>1</v>
      </c>
      <c r="E101" s="7">
        <f>IFERROR(__xludf.DUMMYFUNCTION("""COMPUTED_VALUE"""),3926.08)</f>
        <v>3926.08</v>
      </c>
      <c r="F101" s="7">
        <f>IFERROR(__xludf.DUMMYFUNCTION("""COMPUTED_VALUE"""),2441.01)</f>
        <v>2441.01</v>
      </c>
      <c r="G101" s="6">
        <f>IFERROR(__xludf.DUMMYFUNCTION("""COMPUTED_VALUE"""),46.0)</f>
        <v>46</v>
      </c>
      <c r="H101" s="7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IFERROR(__xludf.DUMMYFUNCTION("""COMPUTED_VALUE"""),2.0)</f>
        <v>2</v>
      </c>
      <c r="E102" s="7">
        <f>IFERROR(__xludf.DUMMYFUNCTION("""COMPUTED_VALUE"""),4211.03)</f>
        <v>4211.03</v>
      </c>
      <c r="F102" s="7">
        <f>IFERROR(__xludf.DUMMYFUNCTION("""COMPUTED_VALUE"""),3065.81)</f>
        <v>3065.81</v>
      </c>
      <c r="G102" s="6">
        <f>IFERROR(__xludf.DUMMYFUNCTION("""COMPUTED_VALUE"""),59.0)</f>
        <v>59</v>
      </c>
      <c r="H102" s="7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IFERROR(__xludf.DUMMYFUNCTION("""COMPUTED_VALUE"""),1.0)</f>
        <v>1</v>
      </c>
      <c r="E103" s="7">
        <f>IFERROR(__xludf.DUMMYFUNCTION("""COMPUTED_VALUE"""),5462.33)</f>
        <v>5462.33</v>
      </c>
      <c r="F103" s="7">
        <f>IFERROR(__xludf.DUMMYFUNCTION("""COMPUTED_VALUE"""),3065.25)</f>
        <v>3065.25</v>
      </c>
      <c r="G103" s="6">
        <f>IFERROR(__xludf.DUMMYFUNCTION("""COMPUTED_VALUE"""),76.0)</f>
        <v>76</v>
      </c>
      <c r="H103" s="7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IFERROR(__xludf.DUMMYFUNCTION("""COMPUTED_VALUE"""),2.0)</f>
        <v>2</v>
      </c>
      <c r="E104" s="7">
        <f>IFERROR(__xludf.DUMMYFUNCTION("""COMPUTED_VALUE"""),5046.12)</f>
        <v>5046.12</v>
      </c>
      <c r="F104" s="7">
        <f>IFERROR(__xludf.DUMMYFUNCTION("""COMPUTED_VALUE"""),2786.01)</f>
        <v>2786.01</v>
      </c>
      <c r="G104" s="6">
        <f>IFERROR(__xludf.DUMMYFUNCTION("""COMPUTED_VALUE"""),72.0)</f>
        <v>72</v>
      </c>
      <c r="H104" s="7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IFERROR(__xludf.DUMMYFUNCTION("""COMPUTED_VALUE"""),1.0)</f>
        <v>1</v>
      </c>
      <c r="E105" s="7">
        <f>IFERROR(__xludf.DUMMYFUNCTION("""COMPUTED_VALUE"""),3488.6)</f>
        <v>3488.6</v>
      </c>
      <c r="F105" s="7">
        <f>IFERROR(__xludf.DUMMYFUNCTION("""COMPUTED_VALUE"""),2065.51)</f>
        <v>2065.51</v>
      </c>
      <c r="G105" s="6">
        <f>IFERROR(__xludf.DUMMYFUNCTION("""COMPUTED_VALUE"""),59.0)</f>
        <v>59</v>
      </c>
      <c r="H105" s="7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IFERROR(__xludf.DUMMYFUNCTION("""COMPUTED_VALUE"""),2.0)</f>
        <v>2</v>
      </c>
      <c r="E106" s="7">
        <f>IFERROR(__xludf.DUMMYFUNCTION("""COMPUTED_VALUE"""),3878.68)</f>
        <v>3878.68</v>
      </c>
      <c r="F106" s="7">
        <f>IFERROR(__xludf.DUMMYFUNCTION("""COMPUTED_VALUE"""),1480.76)</f>
        <v>1480.76</v>
      </c>
      <c r="G106" s="6">
        <f>IFERROR(__xludf.DUMMYFUNCTION("""COMPUTED_VALUE"""),41.0)</f>
        <v>41</v>
      </c>
      <c r="H106" s="7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IFERROR(__xludf.DUMMYFUNCTION("""COMPUTED_VALUE"""),1.0)</f>
        <v>1</v>
      </c>
      <c r="E107" s="7">
        <f>IFERROR(__xludf.DUMMYFUNCTION("""COMPUTED_VALUE"""),3929.07)</f>
        <v>3929.07</v>
      </c>
      <c r="F107" s="7">
        <f>IFERROR(__xludf.DUMMYFUNCTION("""COMPUTED_VALUE"""),3039.0)</f>
        <v>3039</v>
      </c>
      <c r="G107" s="6">
        <f>IFERROR(__xludf.DUMMYFUNCTION("""COMPUTED_VALUE"""),59.0)</f>
        <v>59</v>
      </c>
      <c r="H107" s="7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IFERROR(__xludf.DUMMYFUNCTION("""COMPUTED_VALUE"""),2.0)</f>
        <v>2</v>
      </c>
      <c r="E108" s="7">
        <f>IFERROR(__xludf.DUMMYFUNCTION("""COMPUTED_VALUE"""),3926.08)</f>
        <v>3926.08</v>
      </c>
      <c r="F108" s="7">
        <f>IFERROR(__xludf.DUMMYFUNCTION("""COMPUTED_VALUE"""),2141.04)</f>
        <v>2141.04</v>
      </c>
      <c r="G108" s="6">
        <f>IFERROR(__xludf.DUMMYFUNCTION("""COMPUTED_VALUE"""),47.0)</f>
        <v>47</v>
      </c>
      <c r="H108" s="7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IFERROR(__xludf.DUMMYFUNCTION("""COMPUTED_VALUE"""),1.0)</f>
        <v>1</v>
      </c>
      <c r="E109" s="7">
        <f>IFERROR(__xludf.DUMMYFUNCTION("""COMPUTED_VALUE"""),4211.03)</f>
        <v>4211.03</v>
      </c>
      <c r="F109" s="7">
        <f>IFERROR(__xludf.DUMMYFUNCTION("""COMPUTED_VALUE"""),1976.5)</f>
        <v>1976.5</v>
      </c>
      <c r="G109" s="6">
        <f>IFERROR(__xludf.DUMMYFUNCTION("""COMPUTED_VALUE"""),48.0)</f>
        <v>48</v>
      </c>
      <c r="H109" s="7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IFERROR(__xludf.DUMMYFUNCTION("""COMPUTED_VALUE"""),2.0)</f>
        <v>2</v>
      </c>
      <c r="E110" s="7">
        <f>IFERROR(__xludf.DUMMYFUNCTION("""COMPUTED_VALUE"""),5462.33)</f>
        <v>5462.33</v>
      </c>
      <c r="F110" s="7">
        <f>IFERROR(__xludf.DUMMYFUNCTION("""COMPUTED_VALUE"""),3048.54)</f>
        <v>3048.54</v>
      </c>
      <c r="G110" s="6">
        <f>IFERROR(__xludf.DUMMYFUNCTION("""COMPUTED_VALUE"""),65.0)</f>
        <v>65</v>
      </c>
      <c r="H110" s="7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IFERROR(__xludf.DUMMYFUNCTION("""COMPUTED_VALUE"""),1.0)</f>
        <v>1</v>
      </c>
      <c r="E111" s="7">
        <f>IFERROR(__xludf.DUMMYFUNCTION("""COMPUTED_VALUE"""),5046.12)</f>
        <v>5046.12</v>
      </c>
      <c r="F111" s="7">
        <f>IFERROR(__xludf.DUMMYFUNCTION("""COMPUTED_VALUE"""),1359.0)</f>
        <v>1359</v>
      </c>
      <c r="G111" s="6">
        <f>IFERROR(__xludf.DUMMYFUNCTION("""COMPUTED_VALUE"""),41.0)</f>
        <v>41</v>
      </c>
      <c r="H111" s="7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IFERROR(__xludf.DUMMYFUNCTION("""COMPUTED_VALUE"""),2.0)</f>
        <v>2</v>
      </c>
      <c r="E112" s="7">
        <f>IFERROR(__xludf.DUMMYFUNCTION("""COMPUTED_VALUE"""),3488.6)</f>
        <v>3488.6</v>
      </c>
      <c r="F112" s="7">
        <f>IFERROR(__xludf.DUMMYFUNCTION("""COMPUTED_VALUE"""),2463.06)</f>
        <v>2463.06</v>
      </c>
      <c r="G112" s="6">
        <f>IFERROR(__xludf.DUMMYFUNCTION("""COMPUTED_VALUE"""),55.0)</f>
        <v>55</v>
      </c>
      <c r="H112" s="7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IFERROR(__xludf.DUMMYFUNCTION("""COMPUTED_VALUE"""),1.0)</f>
        <v>1</v>
      </c>
      <c r="E113" s="7">
        <f>IFERROR(__xludf.DUMMYFUNCTION("""COMPUTED_VALUE"""),3878.68)</f>
        <v>3878.68</v>
      </c>
      <c r="F113" s="7">
        <f>IFERROR(__xludf.DUMMYFUNCTION("""COMPUTED_VALUE"""),2204.5)</f>
        <v>2204.5</v>
      </c>
      <c r="G113" s="6">
        <f>IFERROR(__xludf.DUMMYFUNCTION("""COMPUTED_VALUE"""),48.0)</f>
        <v>48</v>
      </c>
      <c r="H113" s="7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IFERROR(__xludf.DUMMYFUNCTION("""COMPUTED_VALUE"""),2.0)</f>
        <v>2</v>
      </c>
      <c r="E114" s="7">
        <f>IFERROR(__xludf.DUMMYFUNCTION("""COMPUTED_VALUE"""),3929.07)</f>
        <v>3929.07</v>
      </c>
      <c r="F114" s="7">
        <f>IFERROR(__xludf.DUMMYFUNCTION("""COMPUTED_VALUE"""),2588.51)</f>
        <v>2588.51</v>
      </c>
      <c r="G114" s="6">
        <f>IFERROR(__xludf.DUMMYFUNCTION("""COMPUTED_VALUE"""),55.0)</f>
        <v>55</v>
      </c>
      <c r="H114" s="7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IFERROR(__xludf.DUMMYFUNCTION("""COMPUTED_VALUE"""),1.0)</f>
        <v>1</v>
      </c>
      <c r="E115" s="7">
        <f>IFERROR(__xludf.DUMMYFUNCTION("""COMPUTED_VALUE"""),3926.08)</f>
        <v>3926.08</v>
      </c>
      <c r="F115" s="7">
        <f>IFERROR(__xludf.DUMMYFUNCTION("""COMPUTED_VALUE"""),1523.75)</f>
        <v>1523.75</v>
      </c>
      <c r="G115" s="6">
        <f>IFERROR(__xludf.DUMMYFUNCTION("""COMPUTED_VALUE"""),43.0)</f>
        <v>43</v>
      </c>
      <c r="H115" s="7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IFERROR(__xludf.DUMMYFUNCTION("""COMPUTED_VALUE"""),2.0)</f>
        <v>2</v>
      </c>
      <c r="E116" s="7">
        <f>IFERROR(__xludf.DUMMYFUNCTION("""COMPUTED_VALUE"""),4211.03)</f>
        <v>4211.03</v>
      </c>
      <c r="F116" s="7">
        <f>IFERROR(__xludf.DUMMYFUNCTION("""COMPUTED_VALUE"""),3375.5)</f>
        <v>3375.5</v>
      </c>
      <c r="G116" s="6">
        <f>IFERROR(__xludf.DUMMYFUNCTION("""COMPUTED_VALUE"""),56.0)</f>
        <v>56</v>
      </c>
      <c r="H116" s="7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IFERROR(__xludf.DUMMYFUNCTION("""COMPUTED_VALUE"""),1.0)</f>
        <v>1</v>
      </c>
      <c r="E117" s="7">
        <f>IFERROR(__xludf.DUMMYFUNCTION("""COMPUTED_VALUE"""),5462.33)</f>
        <v>5462.33</v>
      </c>
      <c r="F117" s="7">
        <f>IFERROR(__xludf.DUMMYFUNCTION("""COMPUTED_VALUE"""),4911.0)</f>
        <v>4911</v>
      </c>
      <c r="G117" s="6">
        <f>IFERROR(__xludf.DUMMYFUNCTION("""COMPUTED_VALUE"""),107.0)</f>
        <v>107</v>
      </c>
      <c r="H117" s="7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IFERROR(__xludf.DUMMYFUNCTION("""COMPUTED_VALUE"""),2.0)</f>
        <v>2</v>
      </c>
      <c r="E118" s="7">
        <f>IFERROR(__xludf.DUMMYFUNCTION("""COMPUTED_VALUE"""),5046.12)</f>
        <v>5046.12</v>
      </c>
      <c r="F118" s="7">
        <f>IFERROR(__xludf.DUMMYFUNCTION("""COMPUTED_VALUE"""),2492.02)</f>
        <v>2492.02</v>
      </c>
      <c r="G118" s="6">
        <f>IFERROR(__xludf.DUMMYFUNCTION("""COMPUTED_VALUE"""),61.0)</f>
        <v>61</v>
      </c>
      <c r="H118" s="7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IFERROR(__xludf.DUMMYFUNCTION("""COMPUTED_VALUE"""),1.0)</f>
        <v>1</v>
      </c>
      <c r="E119" s="7">
        <f>IFERROR(__xludf.DUMMYFUNCTION("""COMPUTED_VALUE"""),3488.6)</f>
        <v>3488.6</v>
      </c>
      <c r="F119" s="7">
        <f>IFERROR(__xludf.DUMMYFUNCTION("""COMPUTED_VALUE"""),3103.76)</f>
        <v>3103.76</v>
      </c>
      <c r="G119" s="6">
        <f>IFERROR(__xludf.DUMMYFUNCTION("""COMPUTED_VALUE"""),60.0)</f>
        <v>60</v>
      </c>
      <c r="H119" s="7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IFERROR(__xludf.DUMMYFUNCTION("""COMPUTED_VALUE"""),2.0)</f>
        <v>2</v>
      </c>
      <c r="E120" s="7">
        <f>IFERROR(__xludf.DUMMYFUNCTION("""COMPUTED_VALUE"""),3878.68)</f>
        <v>3878.68</v>
      </c>
      <c r="F120" s="7">
        <f>IFERROR(__xludf.DUMMYFUNCTION("""COMPUTED_VALUE"""),2110.78)</f>
        <v>2110.78</v>
      </c>
      <c r="G120" s="6">
        <f>IFERROR(__xludf.DUMMYFUNCTION("""COMPUTED_VALUE"""),45.0)</f>
        <v>45</v>
      </c>
      <c r="H120" s="7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IFERROR(__xludf.DUMMYFUNCTION("""COMPUTED_VALUE"""),1.0)</f>
        <v>1</v>
      </c>
      <c r="E121" s="7">
        <f>IFERROR(__xludf.DUMMYFUNCTION("""COMPUTED_VALUE"""),3929.07)</f>
        <v>3929.07</v>
      </c>
      <c r="F121" s="7">
        <f>IFERROR(__xludf.DUMMYFUNCTION("""COMPUTED_VALUE"""),3014.75)</f>
        <v>3014.75</v>
      </c>
      <c r="G121" s="6">
        <f>IFERROR(__xludf.DUMMYFUNCTION("""COMPUTED_VALUE"""),71.0)</f>
        <v>71</v>
      </c>
      <c r="H121" s="7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IFERROR(__xludf.DUMMYFUNCTION("""COMPUTED_VALUE"""),2.0)</f>
        <v>2</v>
      </c>
      <c r="E122" s="7">
        <f>IFERROR(__xludf.DUMMYFUNCTION("""COMPUTED_VALUE"""),3926.08)</f>
        <v>3926.08</v>
      </c>
      <c r="F122" s="7">
        <f>IFERROR(__xludf.DUMMYFUNCTION("""COMPUTED_VALUE"""),4156.01)</f>
        <v>4156.01</v>
      </c>
      <c r="G122" s="6">
        <f>IFERROR(__xludf.DUMMYFUNCTION("""COMPUTED_VALUE"""),89.0)</f>
        <v>89</v>
      </c>
      <c r="H122" s="7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IFERROR(__xludf.DUMMYFUNCTION("""COMPUTED_VALUE"""),1.0)</f>
        <v>1</v>
      </c>
      <c r="E123" s="7">
        <f>IFERROR(__xludf.DUMMYFUNCTION("""COMPUTED_VALUE"""),4211.03)</f>
        <v>4211.03</v>
      </c>
      <c r="F123" s="7">
        <f>IFERROR(__xludf.DUMMYFUNCTION("""COMPUTED_VALUE"""),3059.75)</f>
        <v>3059.75</v>
      </c>
      <c r="G123" s="6">
        <f>IFERROR(__xludf.DUMMYFUNCTION("""COMPUTED_VALUE"""),65.0)</f>
        <v>65</v>
      </c>
      <c r="H123" s="7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IFERROR(__xludf.DUMMYFUNCTION("""COMPUTED_VALUE"""),2.0)</f>
        <v>2</v>
      </c>
      <c r="E124" s="7">
        <f>IFERROR(__xludf.DUMMYFUNCTION("""COMPUTED_VALUE"""),5462.33)</f>
        <v>5462.33</v>
      </c>
      <c r="F124" s="7">
        <f>IFERROR(__xludf.DUMMYFUNCTION("""COMPUTED_VALUE"""),3847.75)</f>
        <v>3847.75</v>
      </c>
      <c r="G124" s="6">
        <f>IFERROR(__xludf.DUMMYFUNCTION("""COMPUTED_VALUE"""),82.0)</f>
        <v>82</v>
      </c>
      <c r="H124" s="7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IFERROR(__xludf.DUMMYFUNCTION("""COMPUTED_VALUE"""),1.0)</f>
        <v>1</v>
      </c>
      <c r="E125" s="7">
        <f>IFERROR(__xludf.DUMMYFUNCTION("""COMPUTED_VALUE"""),5046.12)</f>
        <v>5046.12</v>
      </c>
      <c r="F125" s="7">
        <f>IFERROR(__xludf.DUMMYFUNCTION("""COMPUTED_VALUE"""),3424.27)</f>
        <v>3424.27</v>
      </c>
      <c r="G125" s="6">
        <f>IFERROR(__xludf.DUMMYFUNCTION("""COMPUTED_VALUE"""),83.0)</f>
        <v>83</v>
      </c>
      <c r="H125" s="7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IFERROR(__xludf.DUMMYFUNCTION("""COMPUTED_VALUE"""),2.0)</f>
        <v>2</v>
      </c>
      <c r="E126" s="7">
        <f>IFERROR(__xludf.DUMMYFUNCTION("""COMPUTED_VALUE"""),3488.6)</f>
        <v>3488.6</v>
      </c>
      <c r="F126" s="7">
        <f>IFERROR(__xludf.DUMMYFUNCTION("""COMPUTED_VALUE"""),2122.81)</f>
        <v>2122.81</v>
      </c>
      <c r="G126" s="6">
        <f>IFERROR(__xludf.DUMMYFUNCTION("""COMPUTED_VALUE"""),61.0)</f>
        <v>61</v>
      </c>
      <c r="H126" s="7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IFERROR(__xludf.DUMMYFUNCTION("""COMPUTED_VALUE"""),1.0)</f>
        <v>1</v>
      </c>
      <c r="E127" s="7">
        <f>IFERROR(__xludf.DUMMYFUNCTION("""COMPUTED_VALUE"""),3878.68)</f>
        <v>3878.68</v>
      </c>
      <c r="F127" s="7">
        <f>IFERROR(__xludf.DUMMYFUNCTION("""COMPUTED_VALUE"""),2852.76)</f>
        <v>2852.76</v>
      </c>
      <c r="G127" s="6">
        <f>IFERROR(__xludf.DUMMYFUNCTION("""COMPUTED_VALUE"""),66.0)</f>
        <v>66</v>
      </c>
      <c r="H127" s="7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IFERROR(__xludf.DUMMYFUNCTION("""COMPUTED_VALUE"""),2.0)</f>
        <v>2</v>
      </c>
      <c r="E128" s="7">
        <f>IFERROR(__xludf.DUMMYFUNCTION("""COMPUTED_VALUE"""),3929.07)</f>
        <v>3929.07</v>
      </c>
      <c r="F128" s="7">
        <f>IFERROR(__xludf.DUMMYFUNCTION("""COMPUTED_VALUE"""),2315.5)</f>
        <v>2315.5</v>
      </c>
      <c r="G128" s="6">
        <f>IFERROR(__xludf.DUMMYFUNCTION("""COMPUTED_VALUE"""),52.0)</f>
        <v>52</v>
      </c>
      <c r="H128" s="7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IFERROR(__xludf.DUMMYFUNCTION("""COMPUTED_VALUE"""),1.0)</f>
        <v>1</v>
      </c>
      <c r="E129" s="7">
        <f>IFERROR(__xludf.DUMMYFUNCTION("""COMPUTED_VALUE"""),3926.08)</f>
        <v>3926.08</v>
      </c>
      <c r="F129" s="7">
        <f>IFERROR(__xludf.DUMMYFUNCTION("""COMPUTED_VALUE"""),2369.26)</f>
        <v>2369.26</v>
      </c>
      <c r="G129" s="6">
        <f>IFERROR(__xludf.DUMMYFUNCTION("""COMPUTED_VALUE"""),55.0)</f>
        <v>55</v>
      </c>
      <c r="H129" s="7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IFERROR(__xludf.DUMMYFUNCTION("""COMPUTED_VALUE"""),2.0)</f>
        <v>2</v>
      </c>
      <c r="E130" s="7">
        <f>IFERROR(__xludf.DUMMYFUNCTION("""COMPUTED_VALUE"""),4211.03)</f>
        <v>4211.03</v>
      </c>
      <c r="F130" s="7">
        <f>IFERROR(__xludf.DUMMYFUNCTION("""COMPUTED_VALUE"""),2985.26)</f>
        <v>2985.26</v>
      </c>
      <c r="G130" s="6">
        <f>IFERROR(__xludf.DUMMYFUNCTION("""COMPUTED_VALUE"""),69.0)</f>
        <v>69</v>
      </c>
      <c r="H130" s="7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IFERROR(__xludf.DUMMYFUNCTION("""COMPUTED_VALUE"""),1.0)</f>
        <v>1</v>
      </c>
      <c r="E131" s="7">
        <f>IFERROR(__xludf.DUMMYFUNCTION("""COMPUTED_VALUE"""),5462.33)</f>
        <v>5462.33</v>
      </c>
      <c r="F131" s="7">
        <f>IFERROR(__xludf.DUMMYFUNCTION("""COMPUTED_VALUE"""),3706.01)</f>
        <v>3706.01</v>
      </c>
      <c r="G131" s="6">
        <f>IFERROR(__xludf.DUMMYFUNCTION("""COMPUTED_VALUE"""),74.0)</f>
        <v>74</v>
      </c>
      <c r="H131" s="7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IFERROR(__xludf.DUMMYFUNCTION("""COMPUTED_VALUE"""),2.0)</f>
        <v>2</v>
      </c>
      <c r="E132" s="7">
        <f>IFERROR(__xludf.DUMMYFUNCTION("""COMPUTED_VALUE"""),5046.12)</f>
        <v>5046.12</v>
      </c>
      <c r="F132" s="7">
        <f>IFERROR(__xludf.DUMMYFUNCTION("""COMPUTED_VALUE"""),2910.75)</f>
        <v>2910.75</v>
      </c>
      <c r="G132" s="6">
        <f>IFERROR(__xludf.DUMMYFUNCTION("""COMPUTED_VALUE"""),62.0)</f>
        <v>62</v>
      </c>
      <c r="H132" s="7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IFERROR(__xludf.DUMMYFUNCTION("""COMPUTED_VALUE"""),1.0)</f>
        <v>1</v>
      </c>
      <c r="E133" s="7">
        <f>IFERROR(__xludf.DUMMYFUNCTION("""COMPUTED_VALUE"""),3488.6)</f>
        <v>3488.6</v>
      </c>
      <c r="F133" s="7">
        <f>IFERROR(__xludf.DUMMYFUNCTION("""COMPUTED_VALUE"""),1417.26)</f>
        <v>1417.26</v>
      </c>
      <c r="G133" s="6">
        <f>IFERROR(__xludf.DUMMYFUNCTION("""COMPUTED_VALUE"""),33.0)</f>
        <v>33</v>
      </c>
      <c r="H133" s="7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IFERROR(__xludf.DUMMYFUNCTION("""COMPUTED_VALUE"""),2.0)</f>
        <v>2</v>
      </c>
      <c r="E134" s="7">
        <f>IFERROR(__xludf.DUMMYFUNCTION("""COMPUTED_VALUE"""),3878.68)</f>
        <v>3878.68</v>
      </c>
      <c r="F134" s="7">
        <f>IFERROR(__xludf.DUMMYFUNCTION("""COMPUTED_VALUE"""),1942.27)</f>
        <v>1942.27</v>
      </c>
      <c r="G134" s="6">
        <f>IFERROR(__xludf.DUMMYFUNCTION("""COMPUTED_VALUE"""),41.0)</f>
        <v>41</v>
      </c>
      <c r="H134" s="7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IFERROR(__xludf.DUMMYFUNCTION("""COMPUTED_VALUE"""),1.0)</f>
        <v>1</v>
      </c>
      <c r="E135" s="7">
        <f>IFERROR(__xludf.DUMMYFUNCTION("""COMPUTED_VALUE"""),3929.07)</f>
        <v>3929.07</v>
      </c>
      <c r="F135" s="7">
        <f>IFERROR(__xludf.DUMMYFUNCTION("""COMPUTED_VALUE"""),2700.0)</f>
        <v>2700</v>
      </c>
      <c r="G135" s="6">
        <f>IFERROR(__xludf.DUMMYFUNCTION("""COMPUTED_VALUE"""),51.0)</f>
        <v>51</v>
      </c>
      <c r="H135" s="7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IFERROR(__xludf.DUMMYFUNCTION("""COMPUTED_VALUE"""),2.0)</f>
        <v>2</v>
      </c>
      <c r="E136" s="7">
        <f>IFERROR(__xludf.DUMMYFUNCTION("""COMPUTED_VALUE"""),3926.08)</f>
        <v>3926.08</v>
      </c>
      <c r="F136" s="7">
        <f>IFERROR(__xludf.DUMMYFUNCTION("""COMPUTED_VALUE"""),2343.0)</f>
        <v>2343</v>
      </c>
      <c r="G136" s="6">
        <f>IFERROR(__xludf.DUMMYFUNCTION("""COMPUTED_VALUE"""),55.0)</f>
        <v>55</v>
      </c>
      <c r="H136" s="7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IFERROR(__xludf.DUMMYFUNCTION("""COMPUTED_VALUE"""),1.0)</f>
        <v>1</v>
      </c>
      <c r="E137" s="7">
        <f>IFERROR(__xludf.DUMMYFUNCTION("""COMPUTED_VALUE"""),4211.03)</f>
        <v>4211.03</v>
      </c>
      <c r="F137" s="7">
        <f>IFERROR(__xludf.DUMMYFUNCTION("""COMPUTED_VALUE"""),2099.76)</f>
        <v>2099.76</v>
      </c>
      <c r="G137" s="6">
        <f>IFERROR(__xludf.DUMMYFUNCTION("""COMPUTED_VALUE"""),40.0)</f>
        <v>40</v>
      </c>
      <c r="H137" s="7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IFERROR(__xludf.DUMMYFUNCTION("""COMPUTED_VALUE"""),2.0)</f>
        <v>2</v>
      </c>
      <c r="E138" s="7">
        <f>IFERROR(__xludf.DUMMYFUNCTION("""COMPUTED_VALUE"""),5462.33)</f>
        <v>5462.33</v>
      </c>
      <c r="F138" s="7">
        <f>IFERROR(__xludf.DUMMYFUNCTION("""COMPUTED_VALUE"""),3700.0)</f>
        <v>3700</v>
      </c>
      <c r="G138" s="6">
        <f>IFERROR(__xludf.DUMMYFUNCTION("""COMPUTED_VALUE"""),86.0)</f>
        <v>86</v>
      </c>
      <c r="H138" s="7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IFERROR(__xludf.DUMMYFUNCTION("""COMPUTED_VALUE"""),1.0)</f>
        <v>1</v>
      </c>
      <c r="E139" s="7">
        <f>IFERROR(__xludf.DUMMYFUNCTION("""COMPUTED_VALUE"""),5046.12)</f>
        <v>5046.12</v>
      </c>
      <c r="F139" s="7">
        <f>IFERROR(__xludf.DUMMYFUNCTION("""COMPUTED_VALUE"""),2456.5)</f>
        <v>2456.5</v>
      </c>
      <c r="G139" s="6">
        <f>IFERROR(__xludf.DUMMYFUNCTION("""COMPUTED_VALUE"""),60.0)</f>
        <v>60</v>
      </c>
      <c r="H139" s="7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IFERROR(__xludf.DUMMYFUNCTION("""COMPUTED_VALUE"""),2.0)</f>
        <v>2</v>
      </c>
      <c r="E140" s="7">
        <f>IFERROR(__xludf.DUMMYFUNCTION("""COMPUTED_VALUE"""),3488.6)</f>
        <v>3488.6</v>
      </c>
      <c r="F140" s="7">
        <f>IFERROR(__xludf.DUMMYFUNCTION("""COMPUTED_VALUE"""),2093.52)</f>
        <v>2093.52</v>
      </c>
      <c r="G140" s="6">
        <f>IFERROR(__xludf.DUMMYFUNCTION("""COMPUTED_VALUE"""),47.0)</f>
        <v>47</v>
      </c>
      <c r="H140" s="7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IFERROR(__xludf.DUMMYFUNCTION("""COMPUTED_VALUE"""),1.0)</f>
        <v>1</v>
      </c>
      <c r="E141" s="7">
        <f>IFERROR(__xludf.DUMMYFUNCTION("""COMPUTED_VALUE"""),3878.68)</f>
        <v>3878.68</v>
      </c>
      <c r="F141" s="7">
        <f>IFERROR(__xludf.DUMMYFUNCTION("""COMPUTED_VALUE"""),2438.0)</f>
        <v>2438</v>
      </c>
      <c r="G141" s="6">
        <f>IFERROR(__xludf.DUMMYFUNCTION("""COMPUTED_VALUE"""),53.0)</f>
        <v>53</v>
      </c>
      <c r="H141" s="7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IFERROR(__xludf.DUMMYFUNCTION("""COMPUTED_VALUE"""),2.0)</f>
        <v>2</v>
      </c>
      <c r="E142" s="7">
        <f>IFERROR(__xludf.DUMMYFUNCTION("""COMPUTED_VALUE"""),3929.07)</f>
        <v>3929.07</v>
      </c>
      <c r="F142" s="7">
        <f>IFERROR(__xludf.DUMMYFUNCTION("""COMPUTED_VALUE"""),2086.76)</f>
        <v>2086.76</v>
      </c>
      <c r="G142" s="6">
        <f>IFERROR(__xludf.DUMMYFUNCTION("""COMPUTED_VALUE"""),47.0)</f>
        <v>47</v>
      </c>
      <c r="H142" s="7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IFERROR(__xludf.DUMMYFUNCTION("""COMPUTED_VALUE"""),1.0)</f>
        <v>1</v>
      </c>
      <c r="E143" s="7">
        <f>IFERROR(__xludf.DUMMYFUNCTION("""COMPUTED_VALUE"""),3926.08)</f>
        <v>3926.08</v>
      </c>
      <c r="F143" s="7">
        <f>IFERROR(__xludf.DUMMYFUNCTION("""COMPUTED_VALUE"""),2587.26)</f>
        <v>2587.26</v>
      </c>
      <c r="G143" s="6">
        <f>IFERROR(__xludf.DUMMYFUNCTION("""COMPUTED_VALUE"""),61.0)</f>
        <v>61</v>
      </c>
      <c r="H143" s="7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IFERROR(__xludf.DUMMYFUNCTION("""COMPUTED_VALUE"""),2.0)</f>
        <v>2</v>
      </c>
      <c r="E144" s="7">
        <f>IFERROR(__xludf.DUMMYFUNCTION("""COMPUTED_VALUE"""),4211.03)</f>
        <v>4211.03</v>
      </c>
      <c r="F144" s="7">
        <f>IFERROR(__xludf.DUMMYFUNCTION("""COMPUTED_VALUE"""),3058.25)</f>
        <v>3058.25</v>
      </c>
      <c r="G144" s="6">
        <f>IFERROR(__xludf.DUMMYFUNCTION("""COMPUTED_VALUE"""),51.0)</f>
        <v>51</v>
      </c>
      <c r="H144" s="7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IFERROR(__xludf.DUMMYFUNCTION("""COMPUTED_VALUE"""),1.0)</f>
        <v>1</v>
      </c>
      <c r="E145" s="7">
        <f>IFERROR(__xludf.DUMMYFUNCTION("""COMPUTED_VALUE"""),5462.33)</f>
        <v>5462.33</v>
      </c>
      <c r="F145" s="7">
        <f>IFERROR(__xludf.DUMMYFUNCTION("""COMPUTED_VALUE"""),5817.01)</f>
        <v>5817.01</v>
      </c>
      <c r="G145" s="6">
        <f>IFERROR(__xludf.DUMMYFUNCTION("""COMPUTED_VALUE"""),106.0)</f>
        <v>106</v>
      </c>
      <c r="H145" s="7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IFERROR(__xludf.DUMMYFUNCTION("""COMPUTED_VALUE"""),2.0)</f>
        <v>2</v>
      </c>
      <c r="E146" s="7">
        <f>IFERROR(__xludf.DUMMYFUNCTION("""COMPUTED_VALUE"""),5046.12)</f>
        <v>5046.12</v>
      </c>
      <c r="F146" s="7">
        <f>IFERROR(__xludf.DUMMYFUNCTION("""COMPUTED_VALUE"""),4526.0)</f>
        <v>4526</v>
      </c>
      <c r="G146" s="6">
        <f>IFERROR(__xludf.DUMMYFUNCTION("""COMPUTED_VALUE"""),58.0)</f>
        <v>58</v>
      </c>
      <c r="H146" s="7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IFERROR(__xludf.DUMMYFUNCTION("""COMPUTED_VALUE"""),1.0)</f>
        <v>1</v>
      </c>
      <c r="E147" s="7">
        <f>IFERROR(__xludf.DUMMYFUNCTION("""COMPUTED_VALUE"""),3488.6)</f>
        <v>3488.6</v>
      </c>
      <c r="F147" s="7">
        <f>IFERROR(__xludf.DUMMYFUNCTION("""COMPUTED_VALUE"""),2601.76)</f>
        <v>2601.76</v>
      </c>
      <c r="G147" s="6">
        <f>IFERROR(__xludf.DUMMYFUNCTION("""COMPUTED_VALUE"""),55.0)</f>
        <v>55</v>
      </c>
      <c r="H147" s="7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IFERROR(__xludf.DUMMYFUNCTION("""COMPUTED_VALUE"""),2.0)</f>
        <v>2</v>
      </c>
      <c r="E148" s="7">
        <f>IFERROR(__xludf.DUMMYFUNCTION("""COMPUTED_VALUE"""),3878.68)</f>
        <v>3878.68</v>
      </c>
      <c r="F148" s="7">
        <f>IFERROR(__xludf.DUMMYFUNCTION("""COMPUTED_VALUE"""),2284.83)</f>
        <v>2284.83</v>
      </c>
      <c r="G148" s="6">
        <f>IFERROR(__xludf.DUMMYFUNCTION("""COMPUTED_VALUE"""),50.0)</f>
        <v>50</v>
      </c>
      <c r="H148" s="7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IFERROR(__xludf.DUMMYFUNCTION("""COMPUTED_VALUE"""),1.0)</f>
        <v>1</v>
      </c>
      <c r="E149" s="7">
        <f>IFERROR(__xludf.DUMMYFUNCTION("""COMPUTED_VALUE"""),3929.07)</f>
        <v>3929.07</v>
      </c>
      <c r="F149" s="7">
        <f>IFERROR(__xludf.DUMMYFUNCTION("""COMPUTED_VALUE"""),2608.02)</f>
        <v>2608.02</v>
      </c>
      <c r="G149" s="6">
        <f>IFERROR(__xludf.DUMMYFUNCTION("""COMPUTED_VALUE"""),56.0)</f>
        <v>56</v>
      </c>
      <c r="H149" s="7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IFERROR(__xludf.DUMMYFUNCTION("""COMPUTED_VALUE"""),2.0)</f>
        <v>2</v>
      </c>
      <c r="E150" s="7">
        <f>IFERROR(__xludf.DUMMYFUNCTION("""COMPUTED_VALUE"""),3926.08)</f>
        <v>3926.08</v>
      </c>
      <c r="F150" s="7">
        <f>IFERROR(__xludf.DUMMYFUNCTION("""COMPUTED_VALUE"""),1925.53)</f>
        <v>1925.53</v>
      </c>
      <c r="G150" s="6">
        <f>IFERROR(__xludf.DUMMYFUNCTION("""COMPUTED_VALUE"""),44.0)</f>
        <v>44</v>
      </c>
      <c r="H150" s="7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IFERROR(__xludf.DUMMYFUNCTION("""COMPUTED_VALUE"""),1.0)</f>
        <v>1</v>
      </c>
      <c r="E151" s="7">
        <f>IFERROR(__xludf.DUMMYFUNCTION("""COMPUTED_VALUE"""),4211.03)</f>
        <v>4211.03</v>
      </c>
      <c r="F151" s="7">
        <f>IFERROR(__xludf.DUMMYFUNCTION("""COMPUTED_VALUE"""),2221.78)</f>
        <v>2221.78</v>
      </c>
      <c r="G151" s="6">
        <f>IFERROR(__xludf.DUMMYFUNCTION("""COMPUTED_VALUE"""),51.0)</f>
        <v>51</v>
      </c>
      <c r="H151" s="7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IFERROR(__xludf.DUMMYFUNCTION("""COMPUTED_VALUE"""),2.0)</f>
        <v>2</v>
      </c>
      <c r="E152" s="7">
        <f>IFERROR(__xludf.DUMMYFUNCTION("""COMPUTED_VALUE"""),5462.33)</f>
        <v>5462.33</v>
      </c>
      <c r="F152" s="7">
        <f>IFERROR(__xludf.DUMMYFUNCTION("""COMPUTED_VALUE"""),4849.76)</f>
        <v>4849.76</v>
      </c>
      <c r="G152" s="6"/>
      <c r="H152" s="7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IFERROR(__xludf.DUMMYFUNCTION("""COMPUTED_VALUE"""),1.0)</f>
        <v>1</v>
      </c>
      <c r="E153" s="7">
        <f>IFERROR(__xludf.DUMMYFUNCTION("""COMPUTED_VALUE"""),4213.65)</f>
        <v>4213.65</v>
      </c>
      <c r="F153" s="7">
        <f>IFERROR(__xludf.DUMMYFUNCTION("""COMPUTED_VALUE"""),4180.83)</f>
        <v>4180.83</v>
      </c>
      <c r="G153" s="6">
        <f>IFERROR(__xludf.DUMMYFUNCTION("""COMPUTED_VALUE"""),98.0)</f>
        <v>98</v>
      </c>
      <c r="H153" s="7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IFERROR(__xludf.DUMMYFUNCTION("""COMPUTED_VALUE"""),2.0)</f>
        <v>2</v>
      </c>
      <c r="E154" s="7">
        <f>IFERROR(__xludf.DUMMYFUNCTION("""COMPUTED_VALUE"""),3046.4)</f>
        <v>3046.4</v>
      </c>
      <c r="F154" s="7">
        <f>IFERROR(__xludf.DUMMYFUNCTION("""COMPUTED_VALUE"""),1793.0)</f>
        <v>1793</v>
      </c>
      <c r="G154" s="6">
        <f>IFERROR(__xludf.DUMMYFUNCTION("""COMPUTED_VALUE"""),41.0)</f>
        <v>41</v>
      </c>
      <c r="H154" s="7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IFERROR(__xludf.DUMMYFUNCTION("""COMPUTED_VALUE"""),1.0)</f>
        <v>1</v>
      </c>
      <c r="E155" s="7">
        <f>IFERROR(__xludf.DUMMYFUNCTION("""COMPUTED_VALUE"""),3196.46)</f>
        <v>3196.46</v>
      </c>
      <c r="F155" s="7">
        <f>IFERROR(__xludf.DUMMYFUNCTION("""COMPUTED_VALUE"""),1909.01)</f>
        <v>1909.01</v>
      </c>
      <c r="G155" s="6">
        <f>IFERROR(__xludf.DUMMYFUNCTION("""COMPUTED_VALUE"""),48.0)</f>
        <v>48</v>
      </c>
      <c r="H155" s="7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IFERROR(__xludf.DUMMYFUNCTION("""COMPUTED_VALUE"""),2.0)</f>
        <v>2</v>
      </c>
      <c r="E156" s="7">
        <f>IFERROR(__xludf.DUMMYFUNCTION("""COMPUTED_VALUE"""),3456.04)</f>
        <v>3456.04</v>
      </c>
      <c r="F156" s="7">
        <f>IFERROR(__xludf.DUMMYFUNCTION("""COMPUTED_VALUE"""),2132.76)</f>
        <v>2132.76</v>
      </c>
      <c r="G156" s="6">
        <f>IFERROR(__xludf.DUMMYFUNCTION("""COMPUTED_VALUE"""),56.0)</f>
        <v>56</v>
      </c>
      <c r="H156" s="7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IFERROR(__xludf.DUMMYFUNCTION("""COMPUTED_VALUE"""),1.0)</f>
        <v>1</v>
      </c>
      <c r="E157" s="7">
        <f>IFERROR(__xludf.DUMMYFUNCTION("""COMPUTED_VALUE"""),3327.22)</f>
        <v>3327.22</v>
      </c>
      <c r="F157" s="7">
        <f>IFERROR(__xludf.DUMMYFUNCTION("""COMPUTED_VALUE"""),1662.76)</f>
        <v>1662.76</v>
      </c>
      <c r="G157" s="6">
        <f>IFERROR(__xludf.DUMMYFUNCTION("""COMPUTED_VALUE"""),43.0)</f>
        <v>43</v>
      </c>
      <c r="H157" s="7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IFERROR(__xludf.DUMMYFUNCTION("""COMPUTED_VALUE"""),2.0)</f>
        <v>2</v>
      </c>
      <c r="E158" s="7">
        <f>IFERROR(__xludf.DUMMYFUNCTION("""COMPUTED_VALUE"""),3504.47)</f>
        <v>3504.47</v>
      </c>
      <c r="F158" s="7">
        <f>IFERROR(__xludf.DUMMYFUNCTION("""COMPUTED_VALUE"""),2939.29)</f>
        <v>2939.29</v>
      </c>
      <c r="G158" s="6">
        <f>IFERROR(__xludf.DUMMYFUNCTION("""COMPUTED_VALUE"""),65.0)</f>
        <v>65</v>
      </c>
      <c r="H158" s="7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IFERROR(__xludf.DUMMYFUNCTION("""COMPUTED_VALUE"""),1.0)</f>
        <v>1</v>
      </c>
      <c r="E159" s="7">
        <f>IFERROR(__xludf.DUMMYFUNCTION("""COMPUTED_VALUE"""),4887.04)</f>
        <v>4887.04</v>
      </c>
      <c r="F159" s="7">
        <f>IFERROR(__xludf.DUMMYFUNCTION("""COMPUTED_VALUE"""),3743.5)</f>
        <v>3743.5</v>
      </c>
      <c r="G159" s="6">
        <f>IFERROR(__xludf.DUMMYFUNCTION("""COMPUTED_VALUE"""),76.0)</f>
        <v>76</v>
      </c>
      <c r="H159" s="7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IFERROR(__xludf.DUMMYFUNCTION("""COMPUTED_VALUE"""),2.0)</f>
        <v>2</v>
      </c>
      <c r="E160" s="7">
        <f>IFERROR(__xludf.DUMMYFUNCTION("""COMPUTED_VALUE"""),4213.65)</f>
        <v>4213.65</v>
      </c>
      <c r="F160" s="7">
        <f>IFERROR(__xludf.DUMMYFUNCTION("""COMPUTED_VALUE"""),4635.29)</f>
        <v>4635.29</v>
      </c>
      <c r="G160" s="6">
        <f>IFERROR(__xludf.DUMMYFUNCTION("""COMPUTED_VALUE"""),66.0)</f>
        <v>66</v>
      </c>
      <c r="H160" s="7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IFERROR(__xludf.DUMMYFUNCTION("""COMPUTED_VALUE"""),1.0)</f>
        <v>1</v>
      </c>
      <c r="E161" s="7">
        <f>IFERROR(__xludf.DUMMYFUNCTION("""COMPUTED_VALUE"""),3046.4)</f>
        <v>3046.4</v>
      </c>
      <c r="F161" s="7">
        <f>IFERROR(__xludf.DUMMYFUNCTION("""COMPUTED_VALUE"""),2026.0)</f>
        <v>2026</v>
      </c>
      <c r="G161" s="6">
        <f>IFERROR(__xludf.DUMMYFUNCTION("""COMPUTED_VALUE"""),48.0)</f>
        <v>48</v>
      </c>
      <c r="H161" s="7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IFERROR(__xludf.DUMMYFUNCTION("""COMPUTED_VALUE"""),2.0)</f>
        <v>2</v>
      </c>
      <c r="E162" s="7">
        <f>IFERROR(__xludf.DUMMYFUNCTION("""COMPUTED_VALUE"""),3196.46)</f>
        <v>3196.46</v>
      </c>
      <c r="F162" s="7">
        <f>IFERROR(__xludf.DUMMYFUNCTION("""COMPUTED_VALUE"""),2123.76)</f>
        <v>2123.76</v>
      </c>
      <c r="G162" s="6">
        <f>IFERROR(__xludf.DUMMYFUNCTION("""COMPUTED_VALUE"""),50.0)</f>
        <v>50</v>
      </c>
      <c r="H162" s="7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IFERROR(__xludf.DUMMYFUNCTION("""COMPUTED_VALUE"""),1.0)</f>
        <v>1</v>
      </c>
      <c r="E163" s="7">
        <f>IFERROR(__xludf.DUMMYFUNCTION("""COMPUTED_VALUE"""),3456.04)</f>
        <v>3456.04</v>
      </c>
      <c r="F163" s="7">
        <f>IFERROR(__xludf.DUMMYFUNCTION("""COMPUTED_VALUE"""),2973.75)</f>
        <v>2973.75</v>
      </c>
      <c r="G163" s="6">
        <f>IFERROR(__xludf.DUMMYFUNCTION("""COMPUTED_VALUE"""),65.0)</f>
        <v>65</v>
      </c>
      <c r="H163" s="7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IFERROR(__xludf.DUMMYFUNCTION("""COMPUTED_VALUE"""),2.0)</f>
        <v>2</v>
      </c>
      <c r="E164" s="7">
        <f>IFERROR(__xludf.DUMMYFUNCTION("""COMPUTED_VALUE"""),3327.22)</f>
        <v>3327.22</v>
      </c>
      <c r="F164" s="7">
        <f>IFERROR(__xludf.DUMMYFUNCTION("""COMPUTED_VALUE"""),3996.29)</f>
        <v>3996.29</v>
      </c>
      <c r="G164" s="6">
        <f>IFERROR(__xludf.DUMMYFUNCTION("""COMPUTED_VALUE"""),79.0)</f>
        <v>79</v>
      </c>
      <c r="H164" s="7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IFERROR(__xludf.DUMMYFUNCTION("""COMPUTED_VALUE"""),1.0)</f>
        <v>1</v>
      </c>
      <c r="E165" s="7">
        <f>IFERROR(__xludf.DUMMYFUNCTION("""COMPUTED_VALUE"""),3504.47)</f>
        <v>3504.47</v>
      </c>
      <c r="F165" s="7">
        <f>IFERROR(__xludf.DUMMYFUNCTION("""COMPUTED_VALUE"""),1930.5)</f>
        <v>1930.5</v>
      </c>
      <c r="G165" s="6">
        <f>IFERROR(__xludf.DUMMYFUNCTION("""COMPUTED_VALUE"""),41.0)</f>
        <v>41</v>
      </c>
      <c r="H165" s="7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IFERROR(__xludf.DUMMYFUNCTION("""COMPUTED_VALUE"""),2.0)</f>
        <v>2</v>
      </c>
      <c r="E166" s="7">
        <f>IFERROR(__xludf.DUMMYFUNCTION("""COMPUTED_VALUE"""),4887.04)</f>
        <v>4887.04</v>
      </c>
      <c r="F166" s="7">
        <f>IFERROR(__xludf.DUMMYFUNCTION("""COMPUTED_VALUE"""),3716.29)</f>
        <v>3716.29</v>
      </c>
      <c r="G166" s="6">
        <f>IFERROR(__xludf.DUMMYFUNCTION("""COMPUTED_VALUE"""),65.0)</f>
        <v>65</v>
      </c>
      <c r="H166" s="7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IFERROR(__xludf.DUMMYFUNCTION("""COMPUTED_VALUE"""),1.0)</f>
        <v>1</v>
      </c>
      <c r="E167" s="7">
        <f>IFERROR(__xludf.DUMMYFUNCTION("""COMPUTED_VALUE"""),4213.65)</f>
        <v>4213.65</v>
      </c>
      <c r="F167" s="7">
        <f>IFERROR(__xludf.DUMMYFUNCTION("""COMPUTED_VALUE"""),2584.02)</f>
        <v>2584.02</v>
      </c>
      <c r="G167" s="6">
        <f>IFERROR(__xludf.DUMMYFUNCTION("""COMPUTED_VALUE"""),53.0)</f>
        <v>53</v>
      </c>
      <c r="H167" s="7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IFERROR(__xludf.DUMMYFUNCTION("""COMPUTED_VALUE"""),2.0)</f>
        <v>2</v>
      </c>
      <c r="E168" s="7">
        <f>IFERROR(__xludf.DUMMYFUNCTION("""COMPUTED_VALUE"""),3046.4)</f>
        <v>3046.4</v>
      </c>
      <c r="F168" s="7">
        <f>IFERROR(__xludf.DUMMYFUNCTION("""COMPUTED_VALUE"""),1500.77)</f>
        <v>1500.77</v>
      </c>
      <c r="G168" s="6">
        <f>IFERROR(__xludf.DUMMYFUNCTION("""COMPUTED_VALUE"""),31.0)</f>
        <v>31</v>
      </c>
      <c r="H168" s="7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IFERROR(__xludf.DUMMYFUNCTION("""COMPUTED_VALUE"""),1.0)</f>
        <v>1</v>
      </c>
      <c r="E169" s="7">
        <f>IFERROR(__xludf.DUMMYFUNCTION("""COMPUTED_VALUE"""),3196.46)</f>
        <v>3196.46</v>
      </c>
      <c r="F169" s="7">
        <f>IFERROR(__xludf.DUMMYFUNCTION("""COMPUTED_VALUE"""),1245.76)</f>
        <v>1245.76</v>
      </c>
      <c r="G169" s="6">
        <f>IFERROR(__xludf.DUMMYFUNCTION("""COMPUTED_VALUE"""),37.0)</f>
        <v>37</v>
      </c>
      <c r="H169" s="7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IFERROR(__xludf.DUMMYFUNCTION("""COMPUTED_VALUE"""),2.0)</f>
        <v>2</v>
      </c>
      <c r="E170" s="7">
        <f>IFERROR(__xludf.DUMMYFUNCTION("""COMPUTED_VALUE"""),3456.04)</f>
        <v>3456.04</v>
      </c>
      <c r="F170" s="7">
        <f>IFERROR(__xludf.DUMMYFUNCTION("""COMPUTED_VALUE"""),2614.03)</f>
        <v>2614.03</v>
      </c>
      <c r="G170" s="6">
        <f>IFERROR(__xludf.DUMMYFUNCTION("""COMPUTED_VALUE"""),53.0)</f>
        <v>53</v>
      </c>
      <c r="H170" s="7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IFERROR(__xludf.DUMMYFUNCTION("""COMPUTED_VALUE"""),1.0)</f>
        <v>1</v>
      </c>
      <c r="E171" s="7">
        <f>IFERROR(__xludf.DUMMYFUNCTION("""COMPUTED_VALUE"""),3327.22)</f>
        <v>3327.22</v>
      </c>
      <c r="F171" s="7">
        <f>IFERROR(__xludf.DUMMYFUNCTION("""COMPUTED_VALUE"""),2282.25)</f>
        <v>2282.25</v>
      </c>
      <c r="G171" s="6">
        <f>IFERROR(__xludf.DUMMYFUNCTION("""COMPUTED_VALUE"""),52.0)</f>
        <v>52</v>
      </c>
      <c r="H171" s="7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IFERROR(__xludf.DUMMYFUNCTION("""COMPUTED_VALUE"""),2.0)</f>
        <v>2</v>
      </c>
      <c r="E172" s="7">
        <f>IFERROR(__xludf.DUMMYFUNCTION("""COMPUTED_VALUE"""),3504.47)</f>
        <v>3504.47</v>
      </c>
      <c r="F172" s="7">
        <f>IFERROR(__xludf.DUMMYFUNCTION("""COMPUTED_VALUE"""),1809.59)</f>
        <v>1809.59</v>
      </c>
      <c r="G172" s="6">
        <f>IFERROR(__xludf.DUMMYFUNCTION("""COMPUTED_VALUE"""),46.0)</f>
        <v>46</v>
      </c>
      <c r="H172" s="7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IFERROR(__xludf.DUMMYFUNCTION("""COMPUTED_VALUE"""),1.0)</f>
        <v>1</v>
      </c>
      <c r="E173" s="7">
        <f>IFERROR(__xludf.DUMMYFUNCTION("""COMPUTED_VALUE"""),4887.04)</f>
        <v>4887.04</v>
      </c>
      <c r="F173" s="7">
        <f>IFERROR(__xludf.DUMMYFUNCTION("""COMPUTED_VALUE"""),2224.0)</f>
        <v>2224</v>
      </c>
      <c r="G173" s="6">
        <f>IFERROR(__xludf.DUMMYFUNCTION("""COMPUTED_VALUE"""),44.0)</f>
        <v>44</v>
      </c>
      <c r="H173" s="7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IFERROR(__xludf.DUMMYFUNCTION("""COMPUTED_VALUE"""),2.0)</f>
        <v>2</v>
      </c>
      <c r="E174" s="7">
        <f>IFERROR(__xludf.DUMMYFUNCTION("""COMPUTED_VALUE"""),4213.65)</f>
        <v>4213.65</v>
      </c>
      <c r="F174" s="7">
        <f>IFERROR(__xludf.DUMMYFUNCTION("""COMPUTED_VALUE"""),2497.59)</f>
        <v>2497.59</v>
      </c>
      <c r="G174" s="6">
        <f>IFERROR(__xludf.DUMMYFUNCTION("""COMPUTED_VALUE"""),45.0)</f>
        <v>45</v>
      </c>
      <c r="H174" s="7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IFERROR(__xludf.DUMMYFUNCTION("""COMPUTED_VALUE"""),1.0)</f>
        <v>1</v>
      </c>
      <c r="E175" s="7">
        <f>IFERROR(__xludf.DUMMYFUNCTION("""COMPUTED_VALUE"""),3046.4)</f>
        <v>3046.4</v>
      </c>
      <c r="F175" s="7">
        <f>IFERROR(__xludf.DUMMYFUNCTION("""COMPUTED_VALUE"""),1438.0)</f>
        <v>1438</v>
      </c>
      <c r="G175" s="6">
        <f>IFERROR(__xludf.DUMMYFUNCTION("""COMPUTED_VALUE"""),37.0)</f>
        <v>37</v>
      </c>
      <c r="H175" s="7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IFERROR(__xludf.DUMMYFUNCTION("""COMPUTED_VALUE"""),2.0)</f>
        <v>2</v>
      </c>
      <c r="E176" s="7">
        <f>IFERROR(__xludf.DUMMYFUNCTION("""COMPUTED_VALUE"""),3196.46)</f>
        <v>3196.46</v>
      </c>
      <c r="F176" s="7">
        <f>IFERROR(__xludf.DUMMYFUNCTION("""COMPUTED_VALUE"""),1397.52)</f>
        <v>1397.52</v>
      </c>
      <c r="G176" s="6">
        <f>IFERROR(__xludf.DUMMYFUNCTION("""COMPUTED_VALUE"""),36.0)</f>
        <v>36</v>
      </c>
      <c r="H176" s="7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IFERROR(__xludf.DUMMYFUNCTION("""COMPUTED_VALUE"""),1.0)</f>
        <v>1</v>
      </c>
      <c r="E177" s="7">
        <f>IFERROR(__xludf.DUMMYFUNCTION("""COMPUTED_VALUE"""),3456.04)</f>
        <v>3456.04</v>
      </c>
      <c r="F177" s="7">
        <f>IFERROR(__xludf.DUMMYFUNCTION("""COMPUTED_VALUE"""),2003.26)</f>
        <v>2003.26</v>
      </c>
      <c r="G177" s="6">
        <f>IFERROR(__xludf.DUMMYFUNCTION("""COMPUTED_VALUE"""),45.0)</f>
        <v>45</v>
      </c>
      <c r="H177" s="7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IFERROR(__xludf.DUMMYFUNCTION("""COMPUTED_VALUE"""),2.0)</f>
        <v>2</v>
      </c>
      <c r="E178" s="7">
        <f>IFERROR(__xludf.DUMMYFUNCTION("""COMPUTED_VALUE"""),3327.22)</f>
        <v>3327.22</v>
      </c>
      <c r="F178" s="7">
        <f>IFERROR(__xludf.DUMMYFUNCTION("""COMPUTED_VALUE"""),1648.5)</f>
        <v>1648.5</v>
      </c>
      <c r="G178" s="6">
        <f>IFERROR(__xludf.DUMMYFUNCTION("""COMPUTED_VALUE"""),45.0)</f>
        <v>45</v>
      </c>
      <c r="H178" s="7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IFERROR(__xludf.DUMMYFUNCTION("""COMPUTED_VALUE"""),1.0)</f>
        <v>1</v>
      </c>
      <c r="E179" s="7">
        <f>IFERROR(__xludf.DUMMYFUNCTION("""COMPUTED_VALUE"""),3504.47)</f>
        <v>3504.47</v>
      </c>
      <c r="F179" s="7">
        <f>IFERROR(__xludf.DUMMYFUNCTION("""COMPUTED_VALUE"""),2246.03)</f>
        <v>2246.03</v>
      </c>
      <c r="G179" s="6">
        <f>IFERROR(__xludf.DUMMYFUNCTION("""COMPUTED_VALUE"""),55.0)</f>
        <v>55</v>
      </c>
      <c r="H179" s="7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IFERROR(__xludf.DUMMYFUNCTION("""COMPUTED_VALUE"""),2.0)</f>
        <v>2</v>
      </c>
      <c r="E180" s="7">
        <f>IFERROR(__xludf.DUMMYFUNCTION("""COMPUTED_VALUE"""),4887.04)</f>
        <v>4887.04</v>
      </c>
      <c r="F180" s="7">
        <f>IFERROR(__xludf.DUMMYFUNCTION("""COMPUTED_VALUE"""),2964.55)</f>
        <v>2964.55</v>
      </c>
      <c r="G180" s="6">
        <f>IFERROR(__xludf.DUMMYFUNCTION("""COMPUTED_VALUE"""),56.0)</f>
        <v>56</v>
      </c>
      <c r="H180" s="7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IFERROR(__xludf.DUMMYFUNCTION("""COMPUTED_VALUE"""),1.0)</f>
        <v>1</v>
      </c>
      <c r="E181" s="7">
        <f>IFERROR(__xludf.DUMMYFUNCTION("""COMPUTED_VALUE"""),4213.65)</f>
        <v>4213.65</v>
      </c>
      <c r="F181" s="7">
        <f>IFERROR(__xludf.DUMMYFUNCTION("""COMPUTED_VALUE"""),3817.25)</f>
        <v>3817.25</v>
      </c>
      <c r="G181" s="6">
        <f>IFERROR(__xludf.DUMMYFUNCTION("""COMPUTED_VALUE"""),69.0)</f>
        <v>69</v>
      </c>
      <c r="H181" s="7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IFERROR(__xludf.DUMMYFUNCTION("""COMPUTED_VALUE"""),2.0)</f>
        <v>2</v>
      </c>
      <c r="E182" s="7">
        <f>IFERROR(__xludf.DUMMYFUNCTION("""COMPUTED_VALUE"""),3046.4)</f>
        <v>3046.4</v>
      </c>
      <c r="F182" s="7">
        <f>IFERROR(__xludf.DUMMYFUNCTION("""COMPUTED_VALUE"""),1606.16)</f>
        <v>1606.16</v>
      </c>
      <c r="G182" s="6">
        <f>IFERROR(__xludf.DUMMYFUNCTION("""COMPUTED_VALUE"""),44.0)</f>
        <v>44</v>
      </c>
      <c r="H182" s="7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IFERROR(__xludf.DUMMYFUNCTION("""COMPUTED_VALUE"""),1.0)</f>
        <v>1</v>
      </c>
      <c r="E183" s="7">
        <f>IFERROR(__xludf.DUMMYFUNCTION("""COMPUTED_VALUE"""),2925.96)</f>
        <v>2925.96</v>
      </c>
      <c r="F183" s="7">
        <f>IFERROR(__xludf.DUMMYFUNCTION("""COMPUTED_VALUE"""),1645.71)</f>
        <v>1645.71</v>
      </c>
      <c r="G183" s="6">
        <f>IFERROR(__xludf.DUMMYFUNCTION("""COMPUTED_VALUE"""),40.0)</f>
        <v>40</v>
      </c>
      <c r="H183" s="7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IFERROR(__xludf.DUMMYFUNCTION("""COMPUTED_VALUE"""),2.0)</f>
        <v>2</v>
      </c>
      <c r="E184" s="7">
        <f>IFERROR(__xludf.DUMMYFUNCTION("""COMPUTED_VALUE"""),3453.13)</f>
        <v>3453.13</v>
      </c>
      <c r="F184" s="7">
        <f>IFERROR(__xludf.DUMMYFUNCTION("""COMPUTED_VALUE"""),2767.5)</f>
        <v>2767.5</v>
      </c>
      <c r="G184" s="6">
        <f>IFERROR(__xludf.DUMMYFUNCTION("""COMPUTED_VALUE"""),49.0)</f>
        <v>49</v>
      </c>
      <c r="H184" s="7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IFERROR(__xludf.DUMMYFUNCTION("""COMPUTED_VALUE"""),1.0)</f>
        <v>1</v>
      </c>
      <c r="E185" s="7">
        <f>IFERROR(__xludf.DUMMYFUNCTION("""COMPUTED_VALUE"""),3309.53)</f>
        <v>3309.53</v>
      </c>
      <c r="F185" s="7">
        <f>IFERROR(__xludf.DUMMYFUNCTION("""COMPUTED_VALUE"""),2230.26)</f>
        <v>2230.26</v>
      </c>
      <c r="G185" s="6">
        <f>IFERROR(__xludf.DUMMYFUNCTION("""COMPUTED_VALUE"""),56.0)</f>
        <v>56</v>
      </c>
      <c r="H185" s="7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IFERROR(__xludf.DUMMYFUNCTION("""COMPUTED_VALUE"""),2.0)</f>
        <v>2</v>
      </c>
      <c r="E186" s="7">
        <f>IFERROR(__xludf.DUMMYFUNCTION("""COMPUTED_VALUE"""),3432.84)</f>
        <v>3432.84</v>
      </c>
      <c r="F186" s="7">
        <f>IFERROR(__xludf.DUMMYFUNCTION("""COMPUTED_VALUE"""),3552.76)</f>
        <v>3552.76</v>
      </c>
      <c r="G186" s="6">
        <f>IFERROR(__xludf.DUMMYFUNCTION("""COMPUTED_VALUE"""),74.0)</f>
        <v>74</v>
      </c>
      <c r="H186" s="7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IFERROR(__xludf.DUMMYFUNCTION("""COMPUTED_VALUE"""),1.0)</f>
        <v>1</v>
      </c>
      <c r="E187" s="7">
        <f>IFERROR(__xludf.DUMMYFUNCTION("""COMPUTED_VALUE"""),4957.45)</f>
        <v>4957.45</v>
      </c>
      <c r="F187" s="7">
        <f>IFERROR(__xludf.DUMMYFUNCTION("""COMPUTED_VALUE"""),2805.0)</f>
        <v>2805</v>
      </c>
      <c r="G187" s="6">
        <f>IFERROR(__xludf.DUMMYFUNCTION("""COMPUTED_VALUE"""),61.0)</f>
        <v>61</v>
      </c>
      <c r="H187" s="7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IFERROR(__xludf.DUMMYFUNCTION("""COMPUTED_VALUE"""),2.0)</f>
        <v>2</v>
      </c>
      <c r="E188" s="7">
        <f>IFERROR(__xludf.DUMMYFUNCTION("""COMPUTED_VALUE"""),4348.39)</f>
        <v>4348.39</v>
      </c>
      <c r="F188" s="7">
        <f>IFERROR(__xludf.DUMMYFUNCTION("""COMPUTED_VALUE"""),3583.24)</f>
        <v>3583.24</v>
      </c>
      <c r="G188" s="6">
        <f>IFERROR(__xludf.DUMMYFUNCTION("""COMPUTED_VALUE"""),75.0)</f>
        <v>75</v>
      </c>
      <c r="H188" s="7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IFERROR(__xludf.DUMMYFUNCTION("""COMPUTED_VALUE"""),1.0)</f>
        <v>1</v>
      </c>
      <c r="E189" s="7">
        <f>IFERROR(__xludf.DUMMYFUNCTION("""COMPUTED_VALUE"""),2816.69)</f>
        <v>2816.69</v>
      </c>
      <c r="F189" s="7">
        <f>IFERROR(__xludf.DUMMYFUNCTION("""COMPUTED_VALUE"""),3226.0)</f>
        <v>3226</v>
      </c>
      <c r="G189" s="6">
        <f>IFERROR(__xludf.DUMMYFUNCTION("""COMPUTED_VALUE"""),65.0)</f>
        <v>65</v>
      </c>
      <c r="H189" s="7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IFERROR(__xludf.DUMMYFUNCTION("""COMPUTED_VALUE"""),2.0)</f>
        <v>2</v>
      </c>
      <c r="E190" s="7">
        <f>IFERROR(__xludf.DUMMYFUNCTION("""COMPUTED_VALUE"""),2925.96)</f>
        <v>2925.96</v>
      </c>
      <c r="F190" s="7">
        <f>IFERROR(__xludf.DUMMYFUNCTION("""COMPUTED_VALUE"""),1465.51)</f>
        <v>1465.51</v>
      </c>
      <c r="G190" s="6">
        <f>IFERROR(__xludf.DUMMYFUNCTION("""COMPUTED_VALUE"""),34.0)</f>
        <v>34</v>
      </c>
      <c r="H190" s="7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IFERROR(__xludf.DUMMYFUNCTION("""COMPUTED_VALUE"""),1.0)</f>
        <v>1</v>
      </c>
      <c r="E191" s="7">
        <f>IFERROR(__xludf.DUMMYFUNCTION("""COMPUTED_VALUE"""),3453.13)</f>
        <v>3453.13</v>
      </c>
      <c r="F191" s="7">
        <f>IFERROR(__xludf.DUMMYFUNCTION("""COMPUTED_VALUE"""),2495.5)</f>
        <v>2495.5</v>
      </c>
      <c r="G191" s="6">
        <f>IFERROR(__xludf.DUMMYFUNCTION("""COMPUTED_VALUE"""),54.0)</f>
        <v>54</v>
      </c>
      <c r="H191" s="7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IFERROR(__xludf.DUMMYFUNCTION("""COMPUTED_VALUE"""),2.0)</f>
        <v>2</v>
      </c>
      <c r="E192" s="7">
        <f>IFERROR(__xludf.DUMMYFUNCTION("""COMPUTED_VALUE"""),3309.53)</f>
        <v>3309.53</v>
      </c>
      <c r="F192" s="7">
        <f>IFERROR(__xludf.DUMMYFUNCTION("""COMPUTED_VALUE"""),3502.02)</f>
        <v>3502.02</v>
      </c>
      <c r="G192" s="6">
        <f>IFERROR(__xludf.DUMMYFUNCTION("""COMPUTED_VALUE"""),68.0)</f>
        <v>68</v>
      </c>
      <c r="H192" s="7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IFERROR(__xludf.DUMMYFUNCTION("""COMPUTED_VALUE"""),1.0)</f>
        <v>1</v>
      </c>
      <c r="E193" s="7">
        <f>IFERROR(__xludf.DUMMYFUNCTION("""COMPUTED_VALUE"""),3432.84)</f>
        <v>3432.84</v>
      </c>
      <c r="F193" s="7">
        <f>IFERROR(__xludf.DUMMYFUNCTION("""COMPUTED_VALUE"""),3388.5)</f>
        <v>3388.5</v>
      </c>
      <c r="G193" s="6">
        <f>IFERROR(__xludf.DUMMYFUNCTION("""COMPUTED_VALUE"""),67.0)</f>
        <v>67</v>
      </c>
      <c r="H193" s="7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IFERROR(__xludf.DUMMYFUNCTION("""COMPUTED_VALUE"""),2.0)</f>
        <v>2</v>
      </c>
      <c r="E194" s="7">
        <f>IFERROR(__xludf.DUMMYFUNCTION("""COMPUTED_VALUE"""),4957.45)</f>
        <v>4957.45</v>
      </c>
      <c r="F194" s="7">
        <f>IFERROR(__xludf.DUMMYFUNCTION("""COMPUTED_VALUE"""),4008.16)</f>
        <v>4008.16</v>
      </c>
      <c r="G194" s="6">
        <f>IFERROR(__xludf.DUMMYFUNCTION("""COMPUTED_VALUE"""),99.0)</f>
        <v>99</v>
      </c>
      <c r="H194" s="7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IFERROR(__xludf.DUMMYFUNCTION("""COMPUTED_VALUE"""),1.0)</f>
        <v>1</v>
      </c>
      <c r="E195" s="7">
        <f>IFERROR(__xludf.DUMMYFUNCTION("""COMPUTED_VALUE"""),4348.39)</f>
        <v>4348.39</v>
      </c>
      <c r="F195" s="7">
        <f>IFERROR(__xludf.DUMMYFUNCTION("""COMPUTED_VALUE"""),2649.07)</f>
        <v>2649.07</v>
      </c>
      <c r="G195" s="6">
        <f>IFERROR(__xludf.DUMMYFUNCTION("""COMPUTED_VALUE"""),31.0)</f>
        <v>31</v>
      </c>
      <c r="H195" s="7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IFERROR(__xludf.DUMMYFUNCTION("""COMPUTED_VALUE"""),2.0)</f>
        <v>2</v>
      </c>
      <c r="E196" s="7">
        <f>IFERROR(__xludf.DUMMYFUNCTION("""COMPUTED_VALUE"""),2816.69)</f>
        <v>2816.69</v>
      </c>
      <c r="F196" s="7">
        <f>IFERROR(__xludf.DUMMYFUNCTION("""COMPUTED_VALUE"""),1470.52)</f>
        <v>1470.52</v>
      </c>
      <c r="G196" s="6">
        <f>IFERROR(__xludf.DUMMYFUNCTION("""COMPUTED_VALUE"""),39.0)</f>
        <v>39</v>
      </c>
      <c r="H196" s="7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IFERROR(__xludf.DUMMYFUNCTION("""COMPUTED_VALUE"""),1.0)</f>
        <v>1</v>
      </c>
      <c r="E197" s="7">
        <f>IFERROR(__xludf.DUMMYFUNCTION("""COMPUTED_VALUE"""),2925.96)</f>
        <v>2925.96</v>
      </c>
      <c r="F197" s="7">
        <f>IFERROR(__xludf.DUMMYFUNCTION("""COMPUTED_VALUE"""),2484.4)</f>
        <v>2484.4</v>
      </c>
      <c r="G197" s="6">
        <f>IFERROR(__xludf.DUMMYFUNCTION("""COMPUTED_VALUE"""),53.0)</f>
        <v>53</v>
      </c>
      <c r="H197" s="7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IFERROR(__xludf.DUMMYFUNCTION("""COMPUTED_VALUE"""),2.0)</f>
        <v>2</v>
      </c>
      <c r="E198" s="7">
        <f>IFERROR(__xludf.DUMMYFUNCTION("""COMPUTED_VALUE"""),3453.13)</f>
        <v>3453.13</v>
      </c>
      <c r="F198" s="7">
        <f>IFERROR(__xludf.DUMMYFUNCTION("""COMPUTED_VALUE"""),2447.5)</f>
        <v>2447.5</v>
      </c>
      <c r="G198" s="6">
        <f>IFERROR(__xludf.DUMMYFUNCTION("""COMPUTED_VALUE"""),53.0)</f>
        <v>53</v>
      </c>
      <c r="H198" s="7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IFERROR(__xludf.DUMMYFUNCTION("""COMPUTED_VALUE"""),1.0)</f>
        <v>1</v>
      </c>
      <c r="E199" s="7">
        <f>IFERROR(__xludf.DUMMYFUNCTION("""COMPUTED_VALUE"""),3309.53)</f>
        <v>3309.53</v>
      </c>
      <c r="F199" s="7">
        <f>IFERROR(__xludf.DUMMYFUNCTION("""COMPUTED_VALUE"""),2762.5)</f>
        <v>2762.5</v>
      </c>
      <c r="G199" s="6">
        <f>IFERROR(__xludf.DUMMYFUNCTION("""COMPUTED_VALUE"""),60.0)</f>
        <v>60</v>
      </c>
      <c r="H199" s="7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IFERROR(__xludf.DUMMYFUNCTION("""COMPUTED_VALUE"""),2.0)</f>
        <v>2</v>
      </c>
      <c r="E200" s="7">
        <f>IFERROR(__xludf.DUMMYFUNCTION("""COMPUTED_VALUE"""),3432.84)</f>
        <v>3432.84</v>
      </c>
      <c r="F200" s="7">
        <f>IFERROR(__xludf.DUMMYFUNCTION("""COMPUTED_VALUE"""),2125.27)</f>
        <v>2125.27</v>
      </c>
      <c r="G200" s="6">
        <f>IFERROR(__xludf.DUMMYFUNCTION("""COMPUTED_VALUE"""),54.0)</f>
        <v>54</v>
      </c>
      <c r="H200" s="7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IFERROR(__xludf.DUMMYFUNCTION("""COMPUTED_VALUE"""),1.0)</f>
        <v>1</v>
      </c>
      <c r="E201" s="7">
        <f>IFERROR(__xludf.DUMMYFUNCTION("""COMPUTED_VALUE"""),4957.45)</f>
        <v>4957.45</v>
      </c>
      <c r="F201" s="7">
        <f>IFERROR(__xludf.DUMMYFUNCTION("""COMPUTED_VALUE"""),2244.5)</f>
        <v>2244.5</v>
      </c>
      <c r="G201" s="6">
        <f>IFERROR(__xludf.DUMMYFUNCTION("""COMPUTED_VALUE"""),45.0)</f>
        <v>45</v>
      </c>
      <c r="H201" s="7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IFERROR(__xludf.DUMMYFUNCTION("""COMPUTED_VALUE"""),2.0)</f>
        <v>2</v>
      </c>
      <c r="E202" s="7">
        <f>IFERROR(__xludf.DUMMYFUNCTION("""COMPUTED_VALUE"""),4348.39)</f>
        <v>4348.39</v>
      </c>
      <c r="F202" s="7">
        <f>IFERROR(__xludf.DUMMYFUNCTION("""COMPUTED_VALUE"""),2142.7)</f>
        <v>2142.7</v>
      </c>
      <c r="G202" s="6">
        <f>IFERROR(__xludf.DUMMYFUNCTION("""COMPUTED_VALUE"""),48.0)</f>
        <v>48</v>
      </c>
      <c r="H202" s="7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IFERROR(__xludf.DUMMYFUNCTION("""COMPUTED_VALUE"""),1.0)</f>
        <v>1</v>
      </c>
      <c r="E203" s="7">
        <f>IFERROR(__xludf.DUMMYFUNCTION("""COMPUTED_VALUE"""),2816.69)</f>
        <v>2816.69</v>
      </c>
      <c r="F203" s="7">
        <f>IFERROR(__xludf.DUMMYFUNCTION("""COMPUTED_VALUE"""),1704.0)</f>
        <v>1704</v>
      </c>
      <c r="G203" s="6">
        <f>IFERROR(__xludf.DUMMYFUNCTION("""COMPUTED_VALUE"""),39.0)</f>
        <v>39</v>
      </c>
      <c r="H203" s="7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IFERROR(__xludf.DUMMYFUNCTION("""COMPUTED_VALUE"""),2.0)</f>
        <v>2</v>
      </c>
      <c r="E204" s="7">
        <f>IFERROR(__xludf.DUMMYFUNCTION("""COMPUTED_VALUE"""),2925.96)</f>
        <v>2925.96</v>
      </c>
      <c r="F204" s="7">
        <f>IFERROR(__xludf.DUMMYFUNCTION("""COMPUTED_VALUE"""),2024.04)</f>
        <v>2024.04</v>
      </c>
      <c r="G204" s="6">
        <f>IFERROR(__xludf.DUMMYFUNCTION("""COMPUTED_VALUE"""),57.0)</f>
        <v>57</v>
      </c>
      <c r="H204" s="7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IFERROR(__xludf.DUMMYFUNCTION("""COMPUTED_VALUE"""),1.0)</f>
        <v>1</v>
      </c>
      <c r="E205" s="7">
        <f>IFERROR(__xludf.DUMMYFUNCTION("""COMPUTED_VALUE"""),3453.13)</f>
        <v>3453.13</v>
      </c>
      <c r="F205" s="7">
        <f>IFERROR(__xludf.DUMMYFUNCTION("""COMPUTED_VALUE"""),2148.03)</f>
        <v>2148.03</v>
      </c>
      <c r="G205" s="6">
        <f>IFERROR(__xludf.DUMMYFUNCTION("""COMPUTED_VALUE"""),49.0)</f>
        <v>49</v>
      </c>
      <c r="H205" s="7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IFERROR(__xludf.DUMMYFUNCTION("""COMPUTED_VALUE"""),2.0)</f>
        <v>2</v>
      </c>
      <c r="E206" s="7">
        <f>IFERROR(__xludf.DUMMYFUNCTION("""COMPUTED_VALUE"""),3309.53)</f>
        <v>3309.53</v>
      </c>
      <c r="F206" s="7">
        <f>IFERROR(__xludf.DUMMYFUNCTION("""COMPUTED_VALUE"""),3617.6)</f>
        <v>3617.6</v>
      </c>
      <c r="G206" s="6">
        <f>IFERROR(__xludf.DUMMYFUNCTION("""COMPUTED_VALUE"""),79.0)</f>
        <v>79</v>
      </c>
      <c r="H206" s="7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IFERROR(__xludf.DUMMYFUNCTION("""COMPUTED_VALUE"""),1.0)</f>
        <v>1</v>
      </c>
      <c r="E207" s="7">
        <f>IFERROR(__xludf.DUMMYFUNCTION("""COMPUTED_VALUE"""),3432.84)</f>
        <v>3432.84</v>
      </c>
      <c r="F207" s="7">
        <f>IFERROR(__xludf.DUMMYFUNCTION("""COMPUTED_VALUE"""),1866.5)</f>
        <v>1866.5</v>
      </c>
      <c r="G207" s="6">
        <f>IFERROR(__xludf.DUMMYFUNCTION("""COMPUTED_VALUE"""),41.0)</f>
        <v>41</v>
      </c>
      <c r="H207" s="7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IFERROR(__xludf.DUMMYFUNCTION("""COMPUTED_VALUE"""),2.0)</f>
        <v>2</v>
      </c>
      <c r="E208" s="7">
        <f>IFERROR(__xludf.DUMMYFUNCTION("""COMPUTED_VALUE"""),4957.45)</f>
        <v>4957.45</v>
      </c>
      <c r="F208" s="7">
        <f>IFERROR(__xludf.DUMMYFUNCTION("""COMPUTED_VALUE"""),2438.5)</f>
        <v>2438.5</v>
      </c>
      <c r="G208" s="6">
        <f>IFERROR(__xludf.DUMMYFUNCTION("""COMPUTED_VALUE"""),68.0)</f>
        <v>68</v>
      </c>
      <c r="H208" s="7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IFERROR(__xludf.DUMMYFUNCTION("""COMPUTED_VALUE"""),1.0)</f>
        <v>1</v>
      </c>
      <c r="E209" s="7">
        <f>IFERROR(__xludf.DUMMYFUNCTION("""COMPUTED_VALUE"""),4348.39)</f>
        <v>4348.39</v>
      </c>
      <c r="F209" s="7">
        <f>IFERROR(__xludf.DUMMYFUNCTION("""COMPUTED_VALUE"""),3170.15)</f>
        <v>3170.15</v>
      </c>
      <c r="G209" s="6">
        <f>IFERROR(__xludf.DUMMYFUNCTION("""COMPUTED_VALUE"""),54.0)</f>
        <v>54</v>
      </c>
      <c r="H209" s="7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IFERROR(__xludf.DUMMYFUNCTION("""COMPUTED_VALUE"""),2.0)</f>
        <v>2</v>
      </c>
      <c r="E210" s="7">
        <f>IFERROR(__xludf.DUMMYFUNCTION("""COMPUTED_VALUE"""),2816.69)</f>
        <v>2816.69</v>
      </c>
      <c r="F210" s="7">
        <f>IFERROR(__xludf.DUMMYFUNCTION("""COMPUTED_VALUE"""),1420.76)</f>
        <v>1420.76</v>
      </c>
      <c r="G210" s="6">
        <f>IFERROR(__xludf.DUMMYFUNCTION("""COMPUTED_VALUE"""),41.0)</f>
        <v>41</v>
      </c>
      <c r="H210" s="7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IFERROR(__xludf.DUMMYFUNCTION("""COMPUTED_VALUE"""),1.0)</f>
        <v>1</v>
      </c>
      <c r="E211" s="7">
        <f>IFERROR(__xludf.DUMMYFUNCTION("""COMPUTED_VALUE"""),2925.96)</f>
        <v>2925.96</v>
      </c>
      <c r="F211" s="7">
        <f>IFERROR(__xludf.DUMMYFUNCTION("""COMPUTED_VALUE"""),2013.26)</f>
        <v>2013.26</v>
      </c>
      <c r="G211" s="6">
        <f>IFERROR(__xludf.DUMMYFUNCTION("""COMPUTED_VALUE"""),46.0)</f>
        <v>46</v>
      </c>
      <c r="H211" s="7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IFERROR(__xludf.DUMMYFUNCTION("""COMPUTED_VALUE"""),2.0)</f>
        <v>2</v>
      </c>
      <c r="E212" s="7">
        <f>IFERROR(__xludf.DUMMYFUNCTION("""COMPUTED_VALUE"""),3453.13)</f>
        <v>3453.13</v>
      </c>
      <c r="F212" s="7">
        <f>IFERROR(__xludf.DUMMYFUNCTION("""COMPUTED_VALUE"""),2285.01)</f>
        <v>2285.01</v>
      </c>
      <c r="G212" s="6">
        <f>IFERROR(__xludf.DUMMYFUNCTION("""COMPUTED_VALUE"""),56.0)</f>
        <v>56</v>
      </c>
      <c r="H212" s="7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IFERROR(__xludf.DUMMYFUNCTION("""COMPUTED_VALUE"""),1.0)</f>
        <v>1</v>
      </c>
      <c r="E213" s="7">
        <f>IFERROR(__xludf.DUMMYFUNCTION("""COMPUTED_VALUE"""),3309.53)</f>
        <v>3309.53</v>
      </c>
      <c r="F213" s="7">
        <f>IFERROR(__xludf.DUMMYFUNCTION("""COMPUTED_VALUE"""),2123.8)</f>
        <v>2123.8</v>
      </c>
      <c r="G213" s="6">
        <f>IFERROR(__xludf.DUMMYFUNCTION("""COMPUTED_VALUE"""),38.0)</f>
        <v>38</v>
      </c>
      <c r="H213" s="7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IFERROR(__xludf.DUMMYFUNCTION("""COMPUTED_VALUE"""),2.0)</f>
        <v>2</v>
      </c>
      <c r="E214" s="7">
        <f>IFERROR(__xludf.DUMMYFUNCTION("""COMPUTED_VALUE"""),3374.19)</f>
        <v>3374.19</v>
      </c>
      <c r="F214" s="7">
        <f>IFERROR(__xludf.DUMMYFUNCTION("""COMPUTED_VALUE"""),1669.0)</f>
        <v>1669</v>
      </c>
      <c r="G214" s="6">
        <f>IFERROR(__xludf.DUMMYFUNCTION("""COMPUTED_VALUE"""),37.0)</f>
        <v>37</v>
      </c>
      <c r="H214" s="7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IFERROR(__xludf.DUMMYFUNCTION("""COMPUTED_VALUE"""),1.0)</f>
        <v>1</v>
      </c>
      <c r="E215" s="7">
        <f>IFERROR(__xludf.DUMMYFUNCTION("""COMPUTED_VALUE"""),4768.5)</f>
        <v>4768.5</v>
      </c>
      <c r="F215" s="7">
        <f>IFERROR(__xludf.DUMMYFUNCTION("""COMPUTED_VALUE"""),3284.15)</f>
        <v>3284.15</v>
      </c>
      <c r="G215" s="6">
        <f>IFERROR(__xludf.DUMMYFUNCTION("""COMPUTED_VALUE"""),78.0)</f>
        <v>78</v>
      </c>
      <c r="H215" s="7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IFERROR(__xludf.DUMMYFUNCTION("""COMPUTED_VALUE"""),2.0)</f>
        <v>2</v>
      </c>
      <c r="E216" s="7">
        <f>IFERROR(__xludf.DUMMYFUNCTION("""COMPUTED_VALUE"""),4265.01)</f>
        <v>4265.01</v>
      </c>
      <c r="F216" s="7">
        <f>IFERROR(__xludf.DUMMYFUNCTION("""COMPUTED_VALUE"""),3350.9)</f>
        <v>3350.9</v>
      </c>
      <c r="G216" s="6">
        <f>IFERROR(__xludf.DUMMYFUNCTION("""COMPUTED_VALUE"""),62.0)</f>
        <v>62</v>
      </c>
      <c r="H216" s="7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IFERROR(__xludf.DUMMYFUNCTION("""COMPUTED_VALUE"""),1.0)</f>
        <v>1</v>
      </c>
      <c r="E217" s="7">
        <f>IFERROR(__xludf.DUMMYFUNCTION("""COMPUTED_VALUE"""),2733.3)</f>
        <v>2733.3</v>
      </c>
      <c r="F217" s="7">
        <f>IFERROR(__xludf.DUMMYFUNCTION("""COMPUTED_VALUE"""),3245.0)</f>
        <v>3245</v>
      </c>
      <c r="G217" s="6">
        <f>IFERROR(__xludf.DUMMYFUNCTION("""COMPUTED_VALUE"""),73.0)</f>
        <v>73</v>
      </c>
      <c r="H217" s="7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IFERROR(__xludf.DUMMYFUNCTION("""COMPUTED_VALUE"""),2.0)</f>
        <v>2</v>
      </c>
      <c r="E218" s="7">
        <f>IFERROR(__xludf.DUMMYFUNCTION("""COMPUTED_VALUE"""),2712.62)</f>
        <v>2712.62</v>
      </c>
      <c r="F218" s="7">
        <f>IFERROR(__xludf.DUMMYFUNCTION("""COMPUTED_VALUE"""),2543.54)</f>
        <v>2543.54</v>
      </c>
      <c r="G218" s="6">
        <f>IFERROR(__xludf.DUMMYFUNCTION("""COMPUTED_VALUE"""),54.0)</f>
        <v>54</v>
      </c>
      <c r="H218" s="7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IFERROR(__xludf.DUMMYFUNCTION("""COMPUTED_VALUE"""),1.0)</f>
        <v>1</v>
      </c>
      <c r="E219" s="7">
        <f>IFERROR(__xludf.DUMMYFUNCTION("""COMPUTED_VALUE"""),3303.3)</f>
        <v>3303.3</v>
      </c>
      <c r="F219" s="7">
        <f>IFERROR(__xludf.DUMMYFUNCTION("""COMPUTED_VALUE"""),2101.01)</f>
        <v>2101.01</v>
      </c>
      <c r="G219" s="6">
        <f>IFERROR(__xludf.DUMMYFUNCTION("""COMPUTED_VALUE"""),43.0)</f>
        <v>43</v>
      </c>
      <c r="H219" s="7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IFERROR(__xludf.DUMMYFUNCTION("""COMPUTED_VALUE"""),2.0)</f>
        <v>2</v>
      </c>
      <c r="E220" s="7">
        <f>IFERROR(__xludf.DUMMYFUNCTION("""COMPUTED_VALUE"""),3318.94)</f>
        <v>3318.94</v>
      </c>
      <c r="F220" s="7">
        <f>IFERROR(__xludf.DUMMYFUNCTION("""COMPUTED_VALUE"""),2547.42)</f>
        <v>2547.42</v>
      </c>
      <c r="G220" s="6">
        <f>IFERROR(__xludf.DUMMYFUNCTION("""COMPUTED_VALUE"""),56.0)</f>
        <v>56</v>
      </c>
      <c r="H220" s="7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IFERROR(__xludf.DUMMYFUNCTION("""COMPUTED_VALUE"""),1.0)</f>
        <v>1</v>
      </c>
      <c r="E221" s="7">
        <f>IFERROR(__xludf.DUMMYFUNCTION("""COMPUTED_VALUE"""),3374.19)</f>
        <v>3374.19</v>
      </c>
      <c r="F221" s="7">
        <f>IFERROR(__xludf.DUMMYFUNCTION("""COMPUTED_VALUE"""),1932.5)</f>
        <v>1932.5</v>
      </c>
      <c r="G221" s="6">
        <f>IFERROR(__xludf.DUMMYFUNCTION("""COMPUTED_VALUE"""),46.0)</f>
        <v>46</v>
      </c>
      <c r="H221" s="7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IFERROR(__xludf.DUMMYFUNCTION("""COMPUTED_VALUE"""),2.0)</f>
        <v>2</v>
      </c>
      <c r="E222" s="7">
        <f>IFERROR(__xludf.DUMMYFUNCTION("""COMPUTED_VALUE"""),4768.5)</f>
        <v>4768.5</v>
      </c>
      <c r="F222" s="7">
        <f>IFERROR(__xludf.DUMMYFUNCTION("""COMPUTED_VALUE"""),3584.42)</f>
        <v>3584.42</v>
      </c>
      <c r="G222" s="6">
        <f>IFERROR(__xludf.DUMMYFUNCTION("""COMPUTED_VALUE"""),73.0)</f>
        <v>73</v>
      </c>
      <c r="H222" s="7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IFERROR(__xludf.DUMMYFUNCTION("""COMPUTED_VALUE"""),1.0)</f>
        <v>1</v>
      </c>
      <c r="E223" s="7">
        <f>IFERROR(__xludf.DUMMYFUNCTION("""COMPUTED_VALUE"""),4265.01)</f>
        <v>4265.01</v>
      </c>
      <c r="F223" s="7">
        <f>IFERROR(__xludf.DUMMYFUNCTION("""COMPUTED_VALUE"""),3536.91)</f>
        <v>3536.91</v>
      </c>
      <c r="G223" s="6">
        <f>IFERROR(__xludf.DUMMYFUNCTION("""COMPUTED_VALUE"""),73.0)</f>
        <v>73</v>
      </c>
      <c r="H223" s="7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IFERROR(__xludf.DUMMYFUNCTION("""COMPUTED_VALUE"""),2.0)</f>
        <v>2</v>
      </c>
      <c r="E224" s="7">
        <f>IFERROR(__xludf.DUMMYFUNCTION("""COMPUTED_VALUE"""),2733.3)</f>
        <v>2733.3</v>
      </c>
      <c r="F224" s="7">
        <f>IFERROR(__xludf.DUMMYFUNCTION("""COMPUTED_VALUE"""),2170.52)</f>
        <v>2170.52</v>
      </c>
      <c r="G224" s="6">
        <f>IFERROR(__xludf.DUMMYFUNCTION("""COMPUTED_VALUE"""),53.0)</f>
        <v>53</v>
      </c>
      <c r="H224" s="7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IFERROR(__xludf.DUMMYFUNCTION("""COMPUTED_VALUE"""),1.0)</f>
        <v>1</v>
      </c>
      <c r="E225" s="7">
        <f>IFERROR(__xludf.DUMMYFUNCTION("""COMPUTED_VALUE"""),2712.62)</f>
        <v>2712.62</v>
      </c>
      <c r="F225" s="7">
        <f>IFERROR(__xludf.DUMMYFUNCTION("""COMPUTED_VALUE"""),3052.0)</f>
        <v>3052</v>
      </c>
      <c r="G225" s="6">
        <f>IFERROR(__xludf.DUMMYFUNCTION("""COMPUTED_VALUE"""),56.0)</f>
        <v>56</v>
      </c>
      <c r="H225" s="7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IFERROR(__xludf.DUMMYFUNCTION("""COMPUTED_VALUE"""),2.0)</f>
        <v>2</v>
      </c>
      <c r="E226" s="7">
        <f>IFERROR(__xludf.DUMMYFUNCTION("""COMPUTED_VALUE"""),3303.3)</f>
        <v>3303.3</v>
      </c>
      <c r="F226" s="7">
        <f>IFERROR(__xludf.DUMMYFUNCTION("""COMPUTED_VALUE"""),3561.52)</f>
        <v>3561.52</v>
      </c>
      <c r="G226" s="6">
        <f>IFERROR(__xludf.DUMMYFUNCTION("""COMPUTED_VALUE"""),78.0)</f>
        <v>78</v>
      </c>
      <c r="H226" s="7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IFERROR(__xludf.DUMMYFUNCTION("""COMPUTED_VALUE"""),1.0)</f>
        <v>1</v>
      </c>
      <c r="E227" s="7">
        <f>IFERROR(__xludf.DUMMYFUNCTION("""COMPUTED_VALUE"""),3318.94)</f>
        <v>3318.94</v>
      </c>
      <c r="F227" s="7">
        <f>IFERROR(__xludf.DUMMYFUNCTION("""COMPUTED_VALUE"""),2677.52)</f>
        <v>2677.52</v>
      </c>
      <c r="G227" s="6">
        <f>IFERROR(__xludf.DUMMYFUNCTION("""COMPUTED_VALUE"""),65.0)</f>
        <v>65</v>
      </c>
      <c r="H227" s="7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IFERROR(__xludf.DUMMYFUNCTION("""COMPUTED_VALUE"""),2.0)</f>
        <v>2</v>
      </c>
      <c r="E228" s="7">
        <f>IFERROR(__xludf.DUMMYFUNCTION("""COMPUTED_VALUE"""),3374.19)</f>
        <v>3374.19</v>
      </c>
      <c r="F228" s="7">
        <f>IFERROR(__xludf.DUMMYFUNCTION("""COMPUTED_VALUE"""),2163.5)</f>
        <v>2163.5</v>
      </c>
      <c r="G228" s="6">
        <f>IFERROR(__xludf.DUMMYFUNCTION("""COMPUTED_VALUE"""),47.0)</f>
        <v>47</v>
      </c>
      <c r="H228" s="7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IFERROR(__xludf.DUMMYFUNCTION("""COMPUTED_VALUE"""),1.0)</f>
        <v>1</v>
      </c>
      <c r="E229" s="7">
        <f>IFERROR(__xludf.DUMMYFUNCTION("""COMPUTED_VALUE"""),4768.5)</f>
        <v>4768.5</v>
      </c>
      <c r="F229" s="7">
        <f>IFERROR(__xludf.DUMMYFUNCTION("""COMPUTED_VALUE"""),3172.9)</f>
        <v>3172.9</v>
      </c>
      <c r="G229" s="6">
        <f>IFERROR(__xludf.DUMMYFUNCTION("""COMPUTED_VALUE"""),73.0)</f>
        <v>73</v>
      </c>
      <c r="H229" s="7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IFERROR(__xludf.DUMMYFUNCTION("""COMPUTED_VALUE"""),2.0)</f>
        <v>2</v>
      </c>
      <c r="E230" s="7">
        <f>IFERROR(__xludf.DUMMYFUNCTION("""COMPUTED_VALUE"""),4265.01)</f>
        <v>4265.01</v>
      </c>
      <c r="F230" s="7">
        <f>IFERROR(__xludf.DUMMYFUNCTION("""COMPUTED_VALUE"""),2686.8)</f>
        <v>2686.8</v>
      </c>
      <c r="G230" s="6">
        <f>IFERROR(__xludf.DUMMYFUNCTION("""COMPUTED_VALUE"""),59.0)</f>
        <v>59</v>
      </c>
      <c r="H230" s="7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IFERROR(__xludf.DUMMYFUNCTION("""COMPUTED_VALUE"""),1.0)</f>
        <v>1</v>
      </c>
      <c r="E231" s="7">
        <f>IFERROR(__xludf.DUMMYFUNCTION("""COMPUTED_VALUE"""),2733.3)</f>
        <v>2733.3</v>
      </c>
      <c r="F231" s="7">
        <f>IFERROR(__xludf.DUMMYFUNCTION("""COMPUTED_VALUE"""),1790.0)</f>
        <v>1790</v>
      </c>
      <c r="G231" s="6">
        <f>IFERROR(__xludf.DUMMYFUNCTION("""COMPUTED_VALUE"""),44.0)</f>
        <v>44</v>
      </c>
      <c r="H231" s="7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IFERROR(__xludf.DUMMYFUNCTION("""COMPUTED_VALUE"""),2.0)</f>
        <v>2</v>
      </c>
      <c r="E232" s="7">
        <f>IFERROR(__xludf.DUMMYFUNCTION("""COMPUTED_VALUE"""),2712.62)</f>
        <v>2712.62</v>
      </c>
      <c r="F232" s="7">
        <f>IFERROR(__xludf.DUMMYFUNCTION("""COMPUTED_VALUE"""),1979.0)</f>
        <v>1979</v>
      </c>
      <c r="G232" s="6">
        <f>IFERROR(__xludf.DUMMYFUNCTION("""COMPUTED_VALUE"""),58.0)</f>
        <v>58</v>
      </c>
      <c r="H232" s="7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IFERROR(__xludf.DUMMYFUNCTION("""COMPUTED_VALUE"""),1.0)</f>
        <v>1</v>
      </c>
      <c r="E233" s="7">
        <f>IFERROR(__xludf.DUMMYFUNCTION("""COMPUTED_VALUE"""),3303.3)</f>
        <v>3303.3</v>
      </c>
      <c r="F233" s="7">
        <f>IFERROR(__xludf.DUMMYFUNCTION("""COMPUTED_VALUE"""),1960.0)</f>
        <v>1960</v>
      </c>
      <c r="G233" s="6">
        <f>IFERROR(__xludf.DUMMYFUNCTION("""COMPUTED_VALUE"""),46.0)</f>
        <v>46</v>
      </c>
      <c r="H233" s="7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IFERROR(__xludf.DUMMYFUNCTION("""COMPUTED_VALUE"""),2.0)</f>
        <v>2</v>
      </c>
      <c r="E234" s="7">
        <f>IFERROR(__xludf.DUMMYFUNCTION("""COMPUTED_VALUE"""),3318.94)</f>
        <v>3318.94</v>
      </c>
      <c r="F234" s="7">
        <f>IFERROR(__xludf.DUMMYFUNCTION("""COMPUTED_VALUE"""),4493.0)</f>
        <v>4493</v>
      </c>
      <c r="G234" s="6">
        <f>IFERROR(__xludf.DUMMYFUNCTION("""COMPUTED_VALUE"""),64.0)</f>
        <v>64</v>
      </c>
      <c r="H234" s="7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IFERROR(__xludf.DUMMYFUNCTION("""COMPUTED_VALUE"""),1.0)</f>
        <v>1</v>
      </c>
      <c r="E235" s="7">
        <f>IFERROR(__xludf.DUMMYFUNCTION("""COMPUTED_VALUE"""),3374.19)</f>
        <v>3374.19</v>
      </c>
      <c r="F235" s="7">
        <f>IFERROR(__xludf.DUMMYFUNCTION("""COMPUTED_VALUE"""),2014.0)</f>
        <v>2014</v>
      </c>
      <c r="G235" s="6">
        <f>IFERROR(__xludf.DUMMYFUNCTION("""COMPUTED_VALUE"""),52.0)</f>
        <v>52</v>
      </c>
      <c r="H235" s="7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IFERROR(__xludf.DUMMYFUNCTION("""COMPUTED_VALUE"""),2.0)</f>
        <v>2</v>
      </c>
      <c r="E236" s="7">
        <f>IFERROR(__xludf.DUMMYFUNCTION("""COMPUTED_VALUE"""),4768.5)</f>
        <v>4768.5</v>
      </c>
      <c r="F236" s="7">
        <f>IFERROR(__xludf.DUMMYFUNCTION("""COMPUTED_VALUE"""),3109.9)</f>
        <v>3109.9</v>
      </c>
      <c r="G236" s="6">
        <f>IFERROR(__xludf.DUMMYFUNCTION("""COMPUTED_VALUE"""),58.0)</f>
        <v>58</v>
      </c>
      <c r="H236" s="7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IFERROR(__xludf.DUMMYFUNCTION("""COMPUTED_VALUE"""),1.0)</f>
        <v>1</v>
      </c>
      <c r="E237" s="7">
        <f>IFERROR(__xludf.DUMMYFUNCTION("""COMPUTED_VALUE"""),4265.01)</f>
        <v>4265.01</v>
      </c>
      <c r="F237" s="7">
        <f>IFERROR(__xludf.DUMMYFUNCTION("""COMPUTED_VALUE"""),1911.5)</f>
        <v>1911.5</v>
      </c>
      <c r="G237" s="6">
        <f>IFERROR(__xludf.DUMMYFUNCTION("""COMPUTED_VALUE"""),49.0)</f>
        <v>49</v>
      </c>
      <c r="H237" s="7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IFERROR(__xludf.DUMMYFUNCTION("""COMPUTED_VALUE"""),2.0)</f>
        <v>2</v>
      </c>
      <c r="E238" s="7">
        <f>IFERROR(__xludf.DUMMYFUNCTION("""COMPUTED_VALUE"""),2733.3)</f>
        <v>2733.3</v>
      </c>
      <c r="F238" s="7">
        <f>IFERROR(__xludf.DUMMYFUNCTION("""COMPUTED_VALUE"""),1665.51)</f>
        <v>1665.51</v>
      </c>
      <c r="G238" s="6">
        <f>IFERROR(__xludf.DUMMYFUNCTION("""COMPUTED_VALUE"""),47.0)</f>
        <v>47</v>
      </c>
      <c r="H238" s="7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IFERROR(__xludf.DUMMYFUNCTION("""COMPUTED_VALUE"""),1.0)</f>
        <v>1</v>
      </c>
      <c r="E239" s="7">
        <f>IFERROR(__xludf.DUMMYFUNCTION("""COMPUTED_VALUE"""),2712.62)</f>
        <v>2712.62</v>
      </c>
      <c r="F239" s="7">
        <f>IFERROR(__xludf.DUMMYFUNCTION("""COMPUTED_VALUE"""),2295.0)</f>
        <v>2295</v>
      </c>
      <c r="G239" s="6">
        <f>IFERROR(__xludf.DUMMYFUNCTION("""COMPUTED_VALUE"""),55.0)</f>
        <v>55</v>
      </c>
      <c r="H239" s="7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IFERROR(__xludf.DUMMYFUNCTION("""COMPUTED_VALUE"""),2.0)</f>
        <v>2</v>
      </c>
      <c r="E240" s="7">
        <f>IFERROR(__xludf.DUMMYFUNCTION("""COMPUTED_VALUE"""),3303.3)</f>
        <v>3303.3</v>
      </c>
      <c r="F240" s="7">
        <f>IFERROR(__xludf.DUMMYFUNCTION("""COMPUTED_VALUE"""),3909.5)</f>
        <v>3909.5</v>
      </c>
      <c r="G240" s="6">
        <f>IFERROR(__xludf.DUMMYFUNCTION("""COMPUTED_VALUE"""),82.0)</f>
        <v>82</v>
      </c>
      <c r="H240" s="7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IFERROR(__xludf.DUMMYFUNCTION("""COMPUTED_VALUE"""),1.0)</f>
        <v>1</v>
      </c>
      <c r="E241" s="7">
        <f>IFERROR(__xludf.DUMMYFUNCTION("""COMPUTED_VALUE"""),3318.94)</f>
        <v>3318.94</v>
      </c>
      <c r="F241" s="7">
        <f>IFERROR(__xludf.DUMMYFUNCTION("""COMPUTED_VALUE"""),2547.0)</f>
        <v>2547</v>
      </c>
      <c r="G241" s="6">
        <f>IFERROR(__xludf.DUMMYFUNCTION("""COMPUTED_VALUE"""),62.0)</f>
        <v>62</v>
      </c>
      <c r="H241" s="7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IFERROR(__xludf.DUMMYFUNCTION("""COMPUTED_VALUE"""),2.0)</f>
        <v>2</v>
      </c>
      <c r="E242" s="7">
        <f>IFERROR(__xludf.DUMMYFUNCTION("""COMPUTED_VALUE"""),3374.19)</f>
        <v>3374.19</v>
      </c>
      <c r="F242" s="7">
        <f>IFERROR(__xludf.DUMMYFUNCTION("""COMPUTED_VALUE"""),3126.91)</f>
        <v>3126.91</v>
      </c>
      <c r="G242" s="6">
        <f>IFERROR(__xludf.DUMMYFUNCTION("""COMPUTED_VALUE"""),78.0)</f>
        <v>78</v>
      </c>
      <c r="H242" s="7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IFERROR(__xludf.DUMMYFUNCTION("""COMPUTED_VALUE"""),1.0)</f>
        <v>1</v>
      </c>
      <c r="E243" s="7">
        <f>IFERROR(__xludf.DUMMYFUNCTION("""COMPUTED_VALUE"""),4768.5)</f>
        <v>4768.5</v>
      </c>
      <c r="F243" s="7">
        <f>IFERROR(__xludf.DUMMYFUNCTION("""COMPUTED_VALUE"""),3429.5)</f>
        <v>3429.5</v>
      </c>
      <c r="G243" s="6">
        <f>IFERROR(__xludf.DUMMYFUNCTION("""COMPUTED_VALUE"""),93.0)</f>
        <v>93</v>
      </c>
      <c r="H243" s="7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IFERROR(__xludf.DUMMYFUNCTION("""COMPUTED_VALUE"""),2.0)</f>
        <v>2</v>
      </c>
      <c r="E244" s="7">
        <f>IFERROR(__xludf.DUMMYFUNCTION("""COMPUTED_VALUE"""),4265.01)</f>
        <v>4265.01</v>
      </c>
      <c r="F244" s="7">
        <f>IFERROR(__xludf.DUMMYFUNCTION("""COMPUTED_VALUE"""),4099.5)</f>
        <v>4099.5</v>
      </c>
      <c r="G244" s="6">
        <f>IFERROR(__xludf.DUMMYFUNCTION("""COMPUTED_VALUE"""),75.0)</f>
        <v>75</v>
      </c>
      <c r="H244" s="7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IFERROR(__xludf.DUMMYFUNCTION("""COMPUTED_VALUE"""),1.0)</f>
        <v>1</v>
      </c>
      <c r="E245" s="7">
        <f>IFERROR(__xludf.DUMMYFUNCTION("""COMPUTED_VALUE"""),2544.12)</f>
        <v>2544.12</v>
      </c>
      <c r="F245" s="7">
        <f>IFERROR(__xludf.DUMMYFUNCTION("""COMPUTED_VALUE"""),3205.01)</f>
        <v>3205.01</v>
      </c>
      <c r="G245" s="6">
        <f>IFERROR(__xludf.DUMMYFUNCTION("""COMPUTED_VALUE"""),73.0)</f>
        <v>73</v>
      </c>
      <c r="H245" s="7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IFERROR(__xludf.DUMMYFUNCTION("""COMPUTED_VALUE"""),2.0)</f>
        <v>2</v>
      </c>
      <c r="E246" s="7">
        <f>IFERROR(__xludf.DUMMYFUNCTION("""COMPUTED_VALUE"""),2506.32)</f>
        <v>2506.32</v>
      </c>
      <c r="F246" s="7">
        <f>IFERROR(__xludf.DUMMYFUNCTION("""COMPUTED_VALUE"""),2619.0)</f>
        <v>2619</v>
      </c>
      <c r="G246" s="6">
        <f>IFERROR(__xludf.DUMMYFUNCTION("""COMPUTED_VALUE"""),63.0)</f>
        <v>63</v>
      </c>
      <c r="H246" s="7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IFERROR(__xludf.DUMMYFUNCTION("""COMPUTED_VALUE"""),1.0)</f>
        <v>1</v>
      </c>
      <c r="E247" s="7">
        <f>IFERROR(__xludf.DUMMYFUNCTION("""COMPUTED_VALUE"""),3098.37)</f>
        <v>3098.37</v>
      </c>
      <c r="F247" s="7">
        <f>IFERROR(__xludf.DUMMYFUNCTION("""COMPUTED_VALUE"""),2668.51)</f>
        <v>2668.51</v>
      </c>
      <c r="G247" s="6">
        <f>IFERROR(__xludf.DUMMYFUNCTION("""COMPUTED_VALUE"""),64.0)</f>
        <v>64</v>
      </c>
      <c r="H247" s="7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IFERROR(__xludf.DUMMYFUNCTION("""COMPUTED_VALUE"""),2.0)</f>
        <v>2</v>
      </c>
      <c r="E248" s="7">
        <f>IFERROR(__xludf.DUMMYFUNCTION("""COMPUTED_VALUE"""),3151.42)</f>
        <v>3151.42</v>
      </c>
      <c r="F248" s="7">
        <f>IFERROR(__xludf.DUMMYFUNCTION("""COMPUTED_VALUE"""),2248.51)</f>
        <v>2248.51</v>
      </c>
      <c r="G248" s="6">
        <f>IFERROR(__xludf.DUMMYFUNCTION("""COMPUTED_VALUE"""),51.0)</f>
        <v>51</v>
      </c>
      <c r="H248" s="7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IFERROR(__xludf.DUMMYFUNCTION("""COMPUTED_VALUE"""),1.0)</f>
        <v>1</v>
      </c>
      <c r="E249" s="7">
        <f>IFERROR(__xludf.DUMMYFUNCTION("""COMPUTED_VALUE"""),3011.92)</f>
        <v>3011.92</v>
      </c>
      <c r="F249" s="7">
        <f>IFERROR(__xludf.DUMMYFUNCTION("""COMPUTED_VALUE"""),1568.0)</f>
        <v>1568</v>
      </c>
      <c r="G249" s="6">
        <f>IFERROR(__xludf.DUMMYFUNCTION("""COMPUTED_VALUE"""),40.0)</f>
        <v>40</v>
      </c>
      <c r="H249" s="7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IFERROR(__xludf.DUMMYFUNCTION("""COMPUTED_VALUE"""),2.0)</f>
        <v>2</v>
      </c>
      <c r="E250" s="7">
        <f>IFERROR(__xludf.DUMMYFUNCTION("""COMPUTED_VALUE"""),4334.4)</f>
        <v>4334.4</v>
      </c>
      <c r="F250" s="7">
        <f>IFERROR(__xludf.DUMMYFUNCTION("""COMPUTED_VALUE"""),3452.51)</f>
        <v>3452.51</v>
      </c>
      <c r="G250" s="6">
        <f>IFERROR(__xludf.DUMMYFUNCTION("""COMPUTED_VALUE"""),64.0)</f>
        <v>64</v>
      </c>
      <c r="H250" s="7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IFERROR(__xludf.DUMMYFUNCTION("""COMPUTED_VALUE"""),1.0)</f>
        <v>1</v>
      </c>
      <c r="E251" s="7">
        <f>IFERROR(__xludf.DUMMYFUNCTION("""COMPUTED_VALUE"""),3846.46)</f>
        <v>3846.46</v>
      </c>
      <c r="F251" s="7">
        <f>IFERROR(__xludf.DUMMYFUNCTION("""COMPUTED_VALUE"""),3052.5)</f>
        <v>3052.5</v>
      </c>
      <c r="G251" s="6">
        <f>IFERROR(__xludf.DUMMYFUNCTION("""COMPUTED_VALUE"""),58.0)</f>
        <v>58</v>
      </c>
      <c r="H251" s="7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IFERROR(__xludf.DUMMYFUNCTION("""COMPUTED_VALUE"""),2.0)</f>
        <v>2</v>
      </c>
      <c r="E252" s="7">
        <f>IFERROR(__xludf.DUMMYFUNCTION("""COMPUTED_VALUE"""),2544.12)</f>
        <v>2544.12</v>
      </c>
      <c r="F252" s="7">
        <f>IFERROR(__xludf.DUMMYFUNCTION("""COMPUTED_VALUE"""),2873.5)</f>
        <v>2873.5</v>
      </c>
      <c r="G252" s="6">
        <f>IFERROR(__xludf.DUMMYFUNCTION("""COMPUTED_VALUE"""),58.0)</f>
        <v>58</v>
      </c>
      <c r="H252" s="7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IFERROR(__xludf.DUMMYFUNCTION("""COMPUTED_VALUE"""),1.0)</f>
        <v>1</v>
      </c>
      <c r="E253" s="7">
        <f>IFERROR(__xludf.DUMMYFUNCTION("""COMPUTED_VALUE"""),2506.32)</f>
        <v>2506.32</v>
      </c>
      <c r="F253" s="7">
        <f>IFERROR(__xludf.DUMMYFUNCTION("""COMPUTED_VALUE"""),1530.5)</f>
        <v>1530.5</v>
      </c>
      <c r="G253" s="6">
        <f>IFERROR(__xludf.DUMMYFUNCTION("""COMPUTED_VALUE"""),28.0)</f>
        <v>28</v>
      </c>
      <c r="H253" s="7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IFERROR(__xludf.DUMMYFUNCTION("""COMPUTED_VALUE"""),2.0)</f>
        <v>2</v>
      </c>
      <c r="E254" s="7">
        <f>IFERROR(__xludf.DUMMYFUNCTION("""COMPUTED_VALUE"""),3098.37)</f>
        <v>3098.37</v>
      </c>
      <c r="F254" s="7">
        <f>IFERROR(__xludf.DUMMYFUNCTION("""COMPUTED_VALUE"""),2097.29)</f>
        <v>2097.29</v>
      </c>
      <c r="G254" s="6">
        <f>IFERROR(__xludf.DUMMYFUNCTION("""COMPUTED_VALUE"""),46.0)</f>
        <v>46</v>
      </c>
      <c r="H254" s="7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IFERROR(__xludf.DUMMYFUNCTION("""COMPUTED_VALUE"""),1.0)</f>
        <v>1</v>
      </c>
      <c r="E255" s="7">
        <f>IFERROR(__xludf.DUMMYFUNCTION("""COMPUTED_VALUE"""),3151.42)</f>
        <v>3151.42</v>
      </c>
      <c r="F255" s="7">
        <f>IFERROR(__xludf.DUMMYFUNCTION("""COMPUTED_VALUE"""),2250.0)</f>
        <v>2250</v>
      </c>
      <c r="G255" s="6">
        <f>IFERROR(__xludf.DUMMYFUNCTION("""COMPUTED_VALUE"""),44.0)</f>
        <v>44</v>
      </c>
      <c r="H255" s="7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IFERROR(__xludf.DUMMYFUNCTION("""COMPUTED_VALUE"""),2.0)</f>
        <v>2</v>
      </c>
      <c r="E256" s="7">
        <f>IFERROR(__xludf.DUMMYFUNCTION("""COMPUTED_VALUE"""),3011.92)</f>
        <v>3011.92</v>
      </c>
      <c r="F256" s="7">
        <f>IFERROR(__xludf.DUMMYFUNCTION("""COMPUTED_VALUE"""),2097.93)</f>
        <v>2097.93</v>
      </c>
      <c r="G256" s="6">
        <f>IFERROR(__xludf.DUMMYFUNCTION("""COMPUTED_VALUE"""),43.0)</f>
        <v>43</v>
      </c>
      <c r="H256" s="7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IFERROR(__xludf.DUMMYFUNCTION("""COMPUTED_VALUE"""),1.0)</f>
        <v>1</v>
      </c>
      <c r="E257" s="7">
        <f>IFERROR(__xludf.DUMMYFUNCTION("""COMPUTED_VALUE"""),4334.4)</f>
        <v>4334.4</v>
      </c>
      <c r="F257" s="7">
        <f>IFERROR(__xludf.DUMMYFUNCTION("""COMPUTED_VALUE"""),3593.8)</f>
        <v>3593.8</v>
      </c>
      <c r="G257" s="6">
        <f>IFERROR(__xludf.DUMMYFUNCTION("""COMPUTED_VALUE"""),69.0)</f>
        <v>69</v>
      </c>
      <c r="H257" s="7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IFERROR(__xludf.DUMMYFUNCTION("""COMPUTED_VALUE"""),2.0)</f>
        <v>2</v>
      </c>
      <c r="E258" s="7">
        <f>IFERROR(__xludf.DUMMYFUNCTION("""COMPUTED_VALUE"""),3846.46)</f>
        <v>3846.46</v>
      </c>
      <c r="F258" s="7">
        <f>IFERROR(__xludf.DUMMYFUNCTION("""COMPUTED_VALUE"""),2751.0)</f>
        <v>2751</v>
      </c>
      <c r="G258" s="6">
        <f>IFERROR(__xludf.DUMMYFUNCTION("""COMPUTED_VALUE"""),67.0)</f>
        <v>67</v>
      </c>
      <c r="H258" s="7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IFERROR(__xludf.DUMMYFUNCTION("""COMPUTED_VALUE"""),1.0)</f>
        <v>1</v>
      </c>
      <c r="E259" s="7">
        <f>IFERROR(__xludf.DUMMYFUNCTION("""COMPUTED_VALUE"""),2544.12)</f>
        <v>2544.12</v>
      </c>
      <c r="F259" s="7">
        <f>IFERROR(__xludf.DUMMYFUNCTION("""COMPUTED_VALUE"""),2154.75)</f>
        <v>2154.75</v>
      </c>
      <c r="G259" s="6">
        <f>IFERROR(__xludf.DUMMYFUNCTION("""COMPUTED_VALUE"""),48.0)</f>
        <v>48</v>
      </c>
      <c r="H259" s="7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IFERROR(__xludf.DUMMYFUNCTION("""COMPUTED_VALUE"""),2.0)</f>
        <v>2</v>
      </c>
      <c r="E260" s="7">
        <f>IFERROR(__xludf.DUMMYFUNCTION("""COMPUTED_VALUE"""),2506.32)</f>
        <v>2506.32</v>
      </c>
      <c r="F260" s="7">
        <f>IFERROR(__xludf.DUMMYFUNCTION("""COMPUTED_VALUE"""),1894.51)</f>
        <v>1894.51</v>
      </c>
      <c r="G260" s="6">
        <f>IFERROR(__xludf.DUMMYFUNCTION("""COMPUTED_VALUE"""),47.0)</f>
        <v>47</v>
      </c>
      <c r="H260" s="7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IFERROR(__xludf.DUMMYFUNCTION("""COMPUTED_VALUE"""),1.0)</f>
        <v>1</v>
      </c>
      <c r="E261" s="7">
        <f>IFERROR(__xludf.DUMMYFUNCTION("""COMPUTED_VALUE"""),3098.37)</f>
        <v>3098.37</v>
      </c>
      <c r="F261" s="7">
        <f>IFERROR(__xludf.DUMMYFUNCTION("""COMPUTED_VALUE"""),2338.51)</f>
        <v>2338.51</v>
      </c>
      <c r="G261" s="6">
        <f>IFERROR(__xludf.DUMMYFUNCTION("""COMPUTED_VALUE"""),57.0)</f>
        <v>57</v>
      </c>
      <c r="H261" s="7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IFERROR(__xludf.DUMMYFUNCTION("""COMPUTED_VALUE"""),2.0)</f>
        <v>2</v>
      </c>
      <c r="E262" s="7">
        <f>IFERROR(__xludf.DUMMYFUNCTION("""COMPUTED_VALUE"""),3151.42)</f>
        <v>3151.42</v>
      </c>
      <c r="F262" s="7">
        <f>IFERROR(__xludf.DUMMYFUNCTION("""COMPUTED_VALUE"""),1838.0)</f>
        <v>1838</v>
      </c>
      <c r="G262" s="6">
        <f>IFERROR(__xludf.DUMMYFUNCTION("""COMPUTED_VALUE"""),38.0)</f>
        <v>38</v>
      </c>
      <c r="H262" s="7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IFERROR(__xludf.DUMMYFUNCTION("""COMPUTED_VALUE"""),1.0)</f>
        <v>1</v>
      </c>
      <c r="E263" s="7">
        <f>IFERROR(__xludf.DUMMYFUNCTION("""COMPUTED_VALUE"""),3011.92)</f>
        <v>3011.92</v>
      </c>
      <c r="F263" s="7">
        <f>IFERROR(__xludf.DUMMYFUNCTION("""COMPUTED_VALUE"""),1633.01)</f>
        <v>1633.01</v>
      </c>
      <c r="G263" s="6">
        <f>IFERROR(__xludf.DUMMYFUNCTION("""COMPUTED_VALUE"""),47.0)</f>
        <v>47</v>
      </c>
      <c r="H263" s="7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IFERROR(__xludf.DUMMYFUNCTION("""COMPUTED_VALUE"""),2.0)</f>
        <v>2</v>
      </c>
      <c r="E264" s="7">
        <f>IFERROR(__xludf.DUMMYFUNCTION("""COMPUTED_VALUE"""),4334.4)</f>
        <v>4334.4</v>
      </c>
      <c r="F264" s="7">
        <f>IFERROR(__xludf.DUMMYFUNCTION("""COMPUTED_VALUE"""),2976.67)</f>
        <v>2976.67</v>
      </c>
      <c r="G264" s="6">
        <f>IFERROR(__xludf.DUMMYFUNCTION("""COMPUTED_VALUE"""),80.0)</f>
        <v>80</v>
      </c>
      <c r="H264" s="7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IFERROR(__xludf.DUMMYFUNCTION("""COMPUTED_VALUE"""),1.0)</f>
        <v>1</v>
      </c>
      <c r="E265" s="7">
        <f>IFERROR(__xludf.DUMMYFUNCTION("""COMPUTED_VALUE"""),3846.46)</f>
        <v>3846.46</v>
      </c>
      <c r="F265" s="7">
        <f>IFERROR(__xludf.DUMMYFUNCTION("""COMPUTED_VALUE"""),2882.9)</f>
        <v>2882.9</v>
      </c>
      <c r="G265" s="6">
        <f>IFERROR(__xludf.DUMMYFUNCTION("""COMPUTED_VALUE"""),38.0)</f>
        <v>38</v>
      </c>
      <c r="H265" s="7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IFERROR(__xludf.DUMMYFUNCTION("""COMPUTED_VALUE"""),2.0)</f>
        <v>2</v>
      </c>
      <c r="E266" s="7">
        <f>IFERROR(__xludf.DUMMYFUNCTION("""COMPUTED_VALUE"""),2544.12)</f>
        <v>2544.12</v>
      </c>
      <c r="F266" s="7">
        <f>IFERROR(__xludf.DUMMYFUNCTION("""COMPUTED_VALUE"""),943.5)</f>
        <v>943.5</v>
      </c>
      <c r="G266" s="6">
        <f>IFERROR(__xludf.DUMMYFUNCTION("""COMPUTED_VALUE"""),24.0)</f>
        <v>24</v>
      </c>
      <c r="H266" s="7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IFERROR(__xludf.DUMMYFUNCTION("""COMPUTED_VALUE"""),1.0)</f>
        <v>1</v>
      </c>
      <c r="E267" s="7">
        <f>IFERROR(__xludf.DUMMYFUNCTION("""COMPUTED_VALUE"""),2506.32)</f>
        <v>2506.32</v>
      </c>
      <c r="F267" s="7">
        <f>IFERROR(__xludf.DUMMYFUNCTION("""COMPUTED_VALUE"""),1312.52)</f>
        <v>1312.52</v>
      </c>
      <c r="G267" s="6">
        <f>IFERROR(__xludf.DUMMYFUNCTION("""COMPUTED_VALUE"""),35.0)</f>
        <v>35</v>
      </c>
      <c r="H267" s="7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IFERROR(__xludf.DUMMYFUNCTION("""COMPUTED_VALUE"""),2.0)</f>
        <v>2</v>
      </c>
      <c r="E268" s="7">
        <f>IFERROR(__xludf.DUMMYFUNCTION("""COMPUTED_VALUE"""),3098.37)</f>
        <v>3098.37</v>
      </c>
      <c r="F268" s="7">
        <f>IFERROR(__xludf.DUMMYFUNCTION("""COMPUTED_VALUE"""),2002.04)</f>
        <v>2002.04</v>
      </c>
      <c r="G268" s="6">
        <f>IFERROR(__xludf.DUMMYFUNCTION("""COMPUTED_VALUE"""),44.0)</f>
        <v>44</v>
      </c>
      <c r="H268" s="7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IFERROR(__xludf.DUMMYFUNCTION("""COMPUTED_VALUE"""),1.0)</f>
        <v>1</v>
      </c>
      <c r="E269" s="7">
        <f>IFERROR(__xludf.DUMMYFUNCTION("""COMPUTED_VALUE"""),3151.42)</f>
        <v>3151.42</v>
      </c>
      <c r="F269" s="7">
        <f>IFERROR(__xludf.DUMMYFUNCTION("""COMPUTED_VALUE"""),2439.0)</f>
        <v>2439</v>
      </c>
      <c r="G269" s="6">
        <f>IFERROR(__xludf.DUMMYFUNCTION("""COMPUTED_VALUE"""),43.0)</f>
        <v>43</v>
      </c>
      <c r="H269" s="7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IFERROR(__xludf.DUMMYFUNCTION("""COMPUTED_VALUE"""),2.0)</f>
        <v>2</v>
      </c>
      <c r="E270" s="7">
        <f>IFERROR(__xludf.DUMMYFUNCTION("""COMPUTED_VALUE"""),3011.92)</f>
        <v>3011.92</v>
      </c>
      <c r="F270" s="7">
        <f>IFERROR(__xludf.DUMMYFUNCTION("""COMPUTED_VALUE"""),2878.92)</f>
        <v>2878.92</v>
      </c>
      <c r="G270" s="6">
        <f>IFERROR(__xludf.DUMMYFUNCTION("""COMPUTED_VALUE"""),57.0)</f>
        <v>57</v>
      </c>
      <c r="H270" s="7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IFERROR(__xludf.DUMMYFUNCTION("""COMPUTED_VALUE"""),1.0)</f>
        <v>1</v>
      </c>
      <c r="E271" s="7">
        <f>IFERROR(__xludf.DUMMYFUNCTION("""COMPUTED_VALUE"""),4334.4)</f>
        <v>4334.4</v>
      </c>
      <c r="F271" s="7">
        <f>IFERROR(__xludf.DUMMYFUNCTION("""COMPUTED_VALUE"""),3228.5)</f>
        <v>3228.5</v>
      </c>
      <c r="G271" s="6">
        <f>IFERROR(__xludf.DUMMYFUNCTION("""COMPUTED_VALUE"""),61.0)</f>
        <v>61</v>
      </c>
      <c r="H271" s="7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IFERROR(__xludf.DUMMYFUNCTION("""COMPUTED_VALUE"""),2.0)</f>
        <v>2</v>
      </c>
      <c r="E272" s="7">
        <f>IFERROR(__xludf.DUMMYFUNCTION("""COMPUTED_VALUE"""),3846.46)</f>
        <v>3846.46</v>
      </c>
      <c r="F272" s="7">
        <f>IFERROR(__xludf.DUMMYFUNCTION("""COMPUTED_VALUE"""),3071.0)</f>
        <v>3071</v>
      </c>
      <c r="G272" s="6">
        <f>IFERROR(__xludf.DUMMYFUNCTION("""COMPUTED_VALUE"""),77.0)</f>
        <v>77</v>
      </c>
      <c r="H272" s="7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IFERROR(__xludf.DUMMYFUNCTION("""COMPUTED_VALUE"""),1.0)</f>
        <v>1</v>
      </c>
      <c r="E273" s="7">
        <f>IFERROR(__xludf.DUMMYFUNCTION("""COMPUTED_VALUE"""),2544.12)</f>
        <v>2544.12</v>
      </c>
      <c r="F273" s="7">
        <f>IFERROR(__xludf.DUMMYFUNCTION("""COMPUTED_VALUE"""),2091.01)</f>
        <v>2091.01</v>
      </c>
      <c r="G273" s="6">
        <f>IFERROR(__xludf.DUMMYFUNCTION("""COMPUTED_VALUE"""),38.0)</f>
        <v>38</v>
      </c>
      <c r="H273" s="7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IFERROR(__xludf.DUMMYFUNCTION("""COMPUTED_VALUE"""),2.0)</f>
        <v>2</v>
      </c>
      <c r="E274" s="7">
        <f>IFERROR(__xludf.DUMMYFUNCTION("""COMPUTED_VALUE"""),2506.32)</f>
        <v>2506.32</v>
      </c>
      <c r="F274" s="7">
        <f>IFERROR(__xludf.DUMMYFUNCTION("""COMPUTED_VALUE"""),2125.52)</f>
        <v>2125.52</v>
      </c>
      <c r="G274" s="6">
        <f>IFERROR(__xludf.DUMMYFUNCTION("""COMPUTED_VALUE"""),46.0)</f>
        <v>46</v>
      </c>
      <c r="H274" s="7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IFERROR(__xludf.DUMMYFUNCTION("""COMPUTED_VALUE"""),1.0)</f>
        <v>1</v>
      </c>
      <c r="E275" s="7">
        <f>IFERROR(__xludf.DUMMYFUNCTION("""COMPUTED_VALUE"""),3098.37)</f>
        <v>3098.37</v>
      </c>
      <c r="F275" s="7">
        <f>IFERROR(__xludf.DUMMYFUNCTION("""COMPUTED_VALUE"""),1866.01)</f>
        <v>1866.01</v>
      </c>
      <c r="G275" s="6">
        <f>IFERROR(__xludf.DUMMYFUNCTION("""COMPUTED_VALUE"""),49.0)</f>
        <v>49</v>
      </c>
      <c r="H275" s="7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IFERROR(__xludf.DUMMYFUNCTION("""COMPUTED_VALUE"""),2.0)</f>
        <v>2</v>
      </c>
      <c r="E276" s="7">
        <f>IFERROR(__xludf.DUMMYFUNCTION("""COMPUTED_VALUE"""),3151.42)</f>
        <v>3151.42</v>
      </c>
      <c r="F276" s="7">
        <f>IFERROR(__xludf.DUMMYFUNCTION("""COMPUTED_VALUE"""),3476.5)</f>
        <v>3476.5</v>
      </c>
      <c r="G276" s="6">
        <f>IFERROR(__xludf.DUMMYFUNCTION("""COMPUTED_VALUE"""),85.0)</f>
        <v>85</v>
      </c>
      <c r="H276" s="7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IFERROR(__xludf.DUMMYFUNCTION("""COMPUTED_VALUE"""),1.0)</f>
        <v>1</v>
      </c>
      <c r="E277" s="7">
        <f>IFERROR(__xludf.DUMMYFUNCTION("""COMPUTED_VALUE"""),3011.92)</f>
        <v>3011.92</v>
      </c>
      <c r="F277" s="7">
        <f>IFERROR(__xludf.DUMMYFUNCTION("""COMPUTED_VALUE"""),5068.51)</f>
        <v>5068.51</v>
      </c>
      <c r="G277" s="6">
        <f>IFERROR(__xludf.DUMMYFUNCTION("""COMPUTED_VALUE"""),112.0)</f>
        <v>112</v>
      </c>
      <c r="H277" s="7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IFERROR(__xludf.DUMMYFUNCTION("""COMPUTED_VALUE"""),2.0)</f>
        <v>2</v>
      </c>
      <c r="E278" s="7">
        <f>IFERROR(__xludf.DUMMYFUNCTION("""COMPUTED_VALUE"""),4334.4)</f>
        <v>4334.4</v>
      </c>
      <c r="F278" s="7">
        <f>IFERROR(__xludf.DUMMYFUNCTION("""COMPUTED_VALUE"""),5921.51)</f>
        <v>5921.51</v>
      </c>
      <c r="G278" s="6">
        <f>IFERROR(__xludf.DUMMYFUNCTION("""COMPUTED_VALUE"""),144.0)</f>
        <v>144</v>
      </c>
      <c r="H278" s="7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IFERROR(__xludf.DUMMYFUNCTION("""COMPUTED_VALUE"""),1.0)</f>
        <v>1</v>
      </c>
      <c r="E279" s="7">
        <f>IFERROR(__xludf.DUMMYFUNCTION("""COMPUTED_VALUE"""),3846.46)</f>
        <v>3846.46</v>
      </c>
      <c r="F279" s="7">
        <f>IFERROR(__xludf.DUMMYFUNCTION("""COMPUTED_VALUE"""),6536.4)</f>
        <v>6536.4</v>
      </c>
      <c r="G279" s="6">
        <f>IFERROR(__xludf.DUMMYFUNCTION("""COMPUTED_VALUE"""),115.0)</f>
        <v>115</v>
      </c>
      <c r="H279" s="7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IFERROR(__xludf.DUMMYFUNCTION("""COMPUTED_VALUE"""),2.0)</f>
        <v>2</v>
      </c>
      <c r="E280" s="7">
        <f>IFERROR(__xludf.DUMMYFUNCTION("""COMPUTED_VALUE"""),2544.12)</f>
        <v>2544.12</v>
      </c>
      <c r="F280" s="7">
        <f>IFERROR(__xludf.DUMMYFUNCTION("""COMPUTED_VALUE"""),4037.02)</f>
        <v>4037.02</v>
      </c>
      <c r="G280" s="6">
        <f>IFERROR(__xludf.DUMMYFUNCTION("""COMPUTED_VALUE"""),108.0)</f>
        <v>108</v>
      </c>
      <c r="H280" s="7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IFERROR(__xludf.DUMMYFUNCTION("""COMPUTED_VALUE"""),1.0)</f>
        <v>1</v>
      </c>
      <c r="E281" s="7">
        <f>IFERROR(__xludf.DUMMYFUNCTION("""COMPUTED_VALUE"""),2506.32)</f>
        <v>2506.32</v>
      </c>
      <c r="F281" s="7">
        <f>IFERROR(__xludf.DUMMYFUNCTION("""COMPUTED_VALUE"""),5475.01)</f>
        <v>5475.01</v>
      </c>
      <c r="G281" s="6">
        <f>IFERROR(__xludf.DUMMYFUNCTION("""COMPUTED_VALUE"""),138.0)</f>
        <v>138</v>
      </c>
      <c r="H281" s="7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IFERROR(__xludf.DUMMYFUNCTION("""COMPUTED_VALUE"""),2.0)</f>
        <v>2</v>
      </c>
      <c r="E282" s="7">
        <f>IFERROR(__xludf.DUMMYFUNCTION("""COMPUTED_VALUE"""),3098.37)</f>
        <v>3098.37</v>
      </c>
      <c r="F282" s="7">
        <f>IFERROR(__xludf.DUMMYFUNCTION("""COMPUTED_VALUE"""),7205.5)</f>
        <v>7205.5</v>
      </c>
      <c r="G282" s="6">
        <f>IFERROR(__xludf.DUMMYFUNCTION("""COMPUTED_VALUE"""),159.0)</f>
        <v>159</v>
      </c>
      <c r="H282" s="7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IFERROR(__xludf.DUMMYFUNCTION("""COMPUTED_VALUE"""),1.0)</f>
        <v>1</v>
      </c>
      <c r="E283" s="7">
        <f>IFERROR(__xludf.DUMMYFUNCTION("""COMPUTED_VALUE"""),3151.42)</f>
        <v>3151.42</v>
      </c>
      <c r="F283" s="7">
        <f>IFERROR(__xludf.DUMMYFUNCTION("""COMPUTED_VALUE"""),7879.81)</f>
        <v>7879.81</v>
      </c>
      <c r="G283" s="6">
        <f>IFERROR(__xludf.DUMMYFUNCTION("""COMPUTED_VALUE"""),181.0)</f>
        <v>181</v>
      </c>
      <c r="H283" s="7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IFERROR(__xludf.DUMMYFUNCTION("""COMPUTED_VALUE"""),2.0)</f>
        <v>2</v>
      </c>
      <c r="E284" s="7">
        <f>IFERROR(__xludf.DUMMYFUNCTION("""COMPUTED_VALUE"""),3011.92)</f>
        <v>3011.92</v>
      </c>
      <c r="F284" s="7">
        <f>IFERROR(__xludf.DUMMYFUNCTION("""COMPUTED_VALUE"""),6661.76)</f>
        <v>6661.76</v>
      </c>
      <c r="G284" s="6">
        <f>IFERROR(__xludf.DUMMYFUNCTION("""COMPUTED_VALUE"""),173.0)</f>
        <v>173</v>
      </c>
      <c r="H284" s="7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IFERROR(__xludf.DUMMYFUNCTION("""COMPUTED_VALUE"""),1.0)</f>
        <v>1</v>
      </c>
      <c r="E285" s="7">
        <f>IFERROR(__xludf.DUMMYFUNCTION("""COMPUTED_VALUE"""),4334.4)</f>
        <v>4334.4</v>
      </c>
      <c r="F285" s="7">
        <f>IFERROR(__xludf.DUMMYFUNCTION("""COMPUTED_VALUE"""),8622.0)</f>
        <v>8622</v>
      </c>
      <c r="G285" s="6">
        <f>IFERROR(__xludf.DUMMYFUNCTION("""COMPUTED_VALUE"""),191.0)</f>
        <v>191</v>
      </c>
      <c r="H285" s="7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IFERROR(__xludf.DUMMYFUNCTION("""COMPUTED_VALUE"""),2.0)</f>
        <v>2</v>
      </c>
      <c r="E286" s="7">
        <f>IFERROR(__xludf.DUMMYFUNCTION("""COMPUTED_VALUE"""),3846.46)</f>
        <v>3846.46</v>
      </c>
      <c r="F286" s="7">
        <f>IFERROR(__xludf.DUMMYFUNCTION("""COMPUTED_VALUE"""),7934.7)</f>
        <v>7934.7</v>
      </c>
      <c r="G286" s="6">
        <f>IFERROR(__xludf.DUMMYFUNCTION("""COMPUTED_VALUE"""),190.0)</f>
        <v>190</v>
      </c>
      <c r="H286" s="7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IFERROR(__xludf.DUMMYFUNCTION("""COMPUTED_VALUE"""),1.0)</f>
        <v>1</v>
      </c>
      <c r="E287" s="7">
        <f>IFERROR(__xludf.DUMMYFUNCTION("""COMPUTED_VALUE"""),2544.12)</f>
        <v>2544.12</v>
      </c>
      <c r="F287" s="7">
        <f>IFERROR(__xludf.DUMMYFUNCTION("""COMPUTED_VALUE"""),1076.01)</f>
        <v>1076.01</v>
      </c>
      <c r="G287" s="6">
        <f>IFERROR(__xludf.DUMMYFUNCTION("""COMPUTED_VALUE"""),30.0)</f>
        <v>30</v>
      </c>
      <c r="H287" s="7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IFERROR(__xludf.DUMMYFUNCTION("""COMPUTED_VALUE"""),2.0)</f>
        <v>2</v>
      </c>
      <c r="E288" s="7">
        <f>IFERROR(__xludf.DUMMYFUNCTION("""COMPUTED_VALUE"""),2506.32)</f>
        <v>2506.32</v>
      </c>
      <c r="F288" s="7">
        <f>IFERROR(__xludf.DUMMYFUNCTION("""COMPUTED_VALUE"""),2593.01)</f>
        <v>2593.01</v>
      </c>
      <c r="G288" s="6">
        <f>IFERROR(__xludf.DUMMYFUNCTION("""COMPUTED_VALUE"""),51.0)</f>
        <v>51</v>
      </c>
      <c r="H288" s="7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IFERROR(__xludf.DUMMYFUNCTION("""COMPUTED_VALUE"""),1.0)</f>
        <v>1</v>
      </c>
      <c r="E289" s="7">
        <f>IFERROR(__xludf.DUMMYFUNCTION("""COMPUTED_VALUE"""),3098.37)</f>
        <v>3098.37</v>
      </c>
      <c r="F289" s="7">
        <f>IFERROR(__xludf.DUMMYFUNCTION("""COMPUTED_VALUE"""),2003.52)</f>
        <v>2003.52</v>
      </c>
      <c r="G289" s="6">
        <f>IFERROR(__xludf.DUMMYFUNCTION("""COMPUTED_VALUE"""),42.0)</f>
        <v>42</v>
      </c>
      <c r="H289" s="7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IFERROR(__xludf.DUMMYFUNCTION("""COMPUTED_VALUE"""),2.0)</f>
        <v>2</v>
      </c>
      <c r="E290" s="7">
        <f>IFERROR(__xludf.DUMMYFUNCTION("""COMPUTED_VALUE"""),3151.42)</f>
        <v>3151.42</v>
      </c>
      <c r="F290" s="7">
        <f>IFERROR(__xludf.DUMMYFUNCTION("""COMPUTED_VALUE"""),2930.52)</f>
        <v>2930.52</v>
      </c>
      <c r="G290" s="6">
        <f>IFERROR(__xludf.DUMMYFUNCTION("""COMPUTED_VALUE"""),64.0)</f>
        <v>64</v>
      </c>
      <c r="H290" s="7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IFERROR(__xludf.DUMMYFUNCTION("""COMPUTED_VALUE"""),1.0)</f>
        <v>1</v>
      </c>
      <c r="E291" s="7">
        <f>IFERROR(__xludf.DUMMYFUNCTION("""COMPUTED_VALUE"""),3011.92)</f>
        <v>3011.92</v>
      </c>
      <c r="F291" s="7">
        <f>IFERROR(__xludf.DUMMYFUNCTION("""COMPUTED_VALUE"""),1796.5)</f>
        <v>1796.5</v>
      </c>
      <c r="G291" s="6">
        <f>IFERROR(__xludf.DUMMYFUNCTION("""COMPUTED_VALUE"""),49.0)</f>
        <v>49</v>
      </c>
      <c r="H291" s="7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IFERROR(__xludf.DUMMYFUNCTION("""COMPUTED_VALUE"""),2.0)</f>
        <v>2</v>
      </c>
      <c r="E292" s="7">
        <f>IFERROR(__xludf.DUMMYFUNCTION("""COMPUTED_VALUE"""),4334.4)</f>
        <v>4334.4</v>
      </c>
      <c r="F292" s="7">
        <f>IFERROR(__xludf.DUMMYFUNCTION("""COMPUTED_VALUE"""),3029.9)</f>
        <v>3029.9</v>
      </c>
      <c r="G292" s="6">
        <f>IFERROR(__xludf.DUMMYFUNCTION("""COMPUTED_VALUE"""),64.0)</f>
        <v>64</v>
      </c>
      <c r="H292" s="7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IFERROR(__xludf.DUMMYFUNCTION("""COMPUTED_VALUE"""),1.0)</f>
        <v>1</v>
      </c>
      <c r="E293" s="7">
        <f>IFERROR(__xludf.DUMMYFUNCTION("""COMPUTED_VALUE"""),3846.46)</f>
        <v>3846.46</v>
      </c>
      <c r="F293" s="7">
        <f>IFERROR(__xludf.DUMMYFUNCTION("""COMPUTED_VALUE"""),4194.4)</f>
        <v>4194.4</v>
      </c>
      <c r="G293" s="6">
        <f>IFERROR(__xludf.DUMMYFUNCTION("""COMPUTED_VALUE"""),81.0)</f>
        <v>81</v>
      </c>
      <c r="H293" s="7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IFERROR(__xludf.DUMMYFUNCTION("""COMPUTED_VALUE"""),2.0)</f>
        <v>2</v>
      </c>
      <c r="E294" s="7">
        <f>IFERROR(__xludf.DUMMYFUNCTION("""COMPUTED_VALUE"""),2544.12)</f>
        <v>2544.12</v>
      </c>
      <c r="F294" s="7">
        <f>IFERROR(__xludf.DUMMYFUNCTION("""COMPUTED_VALUE"""),2376.5)</f>
        <v>2376.5</v>
      </c>
      <c r="G294" s="6">
        <f>IFERROR(__xludf.DUMMYFUNCTION("""COMPUTED_VALUE"""),54.0)</f>
        <v>54</v>
      </c>
      <c r="H294" s="7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IFERROR(__xludf.DUMMYFUNCTION("""COMPUTED_VALUE"""),1.0)</f>
        <v>1</v>
      </c>
      <c r="E295" s="7">
        <f>IFERROR(__xludf.DUMMYFUNCTION("""COMPUTED_VALUE"""),2506.32)</f>
        <v>2506.32</v>
      </c>
      <c r="F295" s="7">
        <f>IFERROR(__xludf.DUMMYFUNCTION("""COMPUTED_VALUE"""),2089.5)</f>
        <v>2089.5</v>
      </c>
      <c r="G295" s="6">
        <f>IFERROR(__xludf.DUMMYFUNCTION("""COMPUTED_VALUE"""),48.0)</f>
        <v>48</v>
      </c>
      <c r="H295" s="7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IFERROR(__xludf.DUMMYFUNCTION("""COMPUTED_VALUE"""),2.0)</f>
        <v>2</v>
      </c>
      <c r="E296" s="7">
        <f>IFERROR(__xludf.DUMMYFUNCTION("""COMPUTED_VALUE"""),3098.37)</f>
        <v>3098.37</v>
      </c>
      <c r="F296" s="7">
        <f>IFERROR(__xludf.DUMMYFUNCTION("""COMPUTED_VALUE"""),2055.5)</f>
        <v>2055.5</v>
      </c>
      <c r="G296" s="6">
        <f>IFERROR(__xludf.DUMMYFUNCTION("""COMPUTED_VALUE"""),52.0)</f>
        <v>52</v>
      </c>
      <c r="H296" s="7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IFERROR(__xludf.DUMMYFUNCTION("""COMPUTED_VALUE"""),1.0)</f>
        <v>1</v>
      </c>
      <c r="E297" s="7">
        <f>IFERROR(__xludf.DUMMYFUNCTION("""COMPUTED_VALUE"""),3151.42)</f>
        <v>3151.42</v>
      </c>
      <c r="F297" s="7">
        <f>IFERROR(__xludf.DUMMYFUNCTION("""COMPUTED_VALUE"""),1910.5)</f>
        <v>1910.5</v>
      </c>
      <c r="G297" s="6">
        <f>IFERROR(__xludf.DUMMYFUNCTION("""COMPUTED_VALUE"""),51.0)</f>
        <v>51</v>
      </c>
      <c r="H297" s="7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IFERROR(__xludf.DUMMYFUNCTION("""COMPUTED_VALUE"""),2.0)</f>
        <v>2</v>
      </c>
      <c r="E298" s="7">
        <f>IFERROR(__xludf.DUMMYFUNCTION("""COMPUTED_VALUE"""),3011.92)</f>
        <v>3011.92</v>
      </c>
      <c r="F298" s="7">
        <f>IFERROR(__xludf.DUMMYFUNCTION("""COMPUTED_VALUE"""),2070.75)</f>
        <v>2070.75</v>
      </c>
      <c r="G298" s="6">
        <f>IFERROR(__xludf.DUMMYFUNCTION("""COMPUTED_VALUE"""),54.0)</f>
        <v>54</v>
      </c>
      <c r="H298" s="7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IFERROR(__xludf.DUMMYFUNCTION("""COMPUTED_VALUE"""),1.0)</f>
        <v>1</v>
      </c>
      <c r="E299" s="7">
        <f>IFERROR(__xludf.DUMMYFUNCTION("""COMPUTED_VALUE"""),4334.4)</f>
        <v>4334.4</v>
      </c>
      <c r="F299" s="7">
        <f>IFERROR(__xludf.DUMMYFUNCTION("""COMPUTED_VALUE"""),4417.25)</f>
        <v>4417.25</v>
      </c>
      <c r="G299" s="6">
        <f>IFERROR(__xludf.DUMMYFUNCTION("""COMPUTED_VALUE"""),100.0)</f>
        <v>100</v>
      </c>
      <c r="H299" s="7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IFERROR(__xludf.DUMMYFUNCTION("""COMPUTED_VALUE"""),2.0)</f>
        <v>2</v>
      </c>
      <c r="E300" s="7">
        <f>IFERROR(__xludf.DUMMYFUNCTION("""COMPUTED_VALUE"""),3846.46)</f>
        <v>3846.46</v>
      </c>
      <c r="F300" s="7">
        <f>IFERROR(__xludf.DUMMYFUNCTION("""COMPUTED_VALUE"""),2996.41)</f>
        <v>2996.41</v>
      </c>
      <c r="G300" s="6">
        <f>IFERROR(__xludf.DUMMYFUNCTION("""COMPUTED_VALUE"""),65.0)</f>
        <v>65</v>
      </c>
      <c r="H300" s="7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IFERROR(__xludf.DUMMYFUNCTION("""COMPUTED_VALUE"""),1.0)</f>
        <v>1</v>
      </c>
      <c r="E301" s="7">
        <f>IFERROR(__xludf.DUMMYFUNCTION("""COMPUTED_VALUE"""),2544.12)</f>
        <v>2544.12</v>
      </c>
      <c r="F301" s="7">
        <f>IFERROR(__xludf.DUMMYFUNCTION("""COMPUTED_VALUE"""),1874.5)</f>
        <v>1874.5</v>
      </c>
      <c r="G301" s="6">
        <f>IFERROR(__xludf.DUMMYFUNCTION("""COMPUTED_VALUE"""),52.0)</f>
        <v>52</v>
      </c>
      <c r="H301" s="7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IFERROR(__xludf.DUMMYFUNCTION("""COMPUTED_VALUE"""),2.0)</f>
        <v>2</v>
      </c>
      <c r="E302" s="7">
        <f>IFERROR(__xludf.DUMMYFUNCTION("""COMPUTED_VALUE"""),2506.32)</f>
        <v>2506.32</v>
      </c>
      <c r="F302" s="7">
        <f>IFERROR(__xludf.DUMMYFUNCTION("""COMPUTED_VALUE"""),835.0)</f>
        <v>835</v>
      </c>
      <c r="G302" s="6">
        <f>IFERROR(__xludf.DUMMYFUNCTION("""COMPUTED_VALUE"""),21.0)</f>
        <v>21</v>
      </c>
      <c r="H302" s="7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IFERROR(__xludf.DUMMYFUNCTION("""COMPUTED_VALUE"""),1.0)</f>
        <v>1</v>
      </c>
      <c r="E303" s="7">
        <f>IFERROR(__xludf.DUMMYFUNCTION("""COMPUTED_VALUE"""),3098.37)</f>
        <v>3098.37</v>
      </c>
      <c r="F303" s="7">
        <f>IFERROR(__xludf.DUMMYFUNCTION("""COMPUTED_VALUE"""),2232.03)</f>
        <v>2232.03</v>
      </c>
      <c r="G303" s="6">
        <f>IFERROR(__xludf.DUMMYFUNCTION("""COMPUTED_VALUE"""),48.0)</f>
        <v>48</v>
      </c>
      <c r="H303" s="7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IFERROR(__xludf.DUMMYFUNCTION("""COMPUTED_VALUE"""),2.0)</f>
        <v>2</v>
      </c>
      <c r="E304" s="7">
        <f>IFERROR(__xludf.DUMMYFUNCTION("""COMPUTED_VALUE"""),3151.42)</f>
        <v>3151.42</v>
      </c>
      <c r="F304" s="7">
        <f>IFERROR(__xludf.DUMMYFUNCTION("""COMPUTED_VALUE"""),1986.0)</f>
        <v>1986</v>
      </c>
      <c r="G304" s="6">
        <f>IFERROR(__xludf.DUMMYFUNCTION("""COMPUTED_VALUE"""),42.0)</f>
        <v>42</v>
      </c>
      <c r="H304" s="7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IFERROR(__xludf.DUMMYFUNCTION("""COMPUTED_VALUE"""),1.0)</f>
        <v>1</v>
      </c>
      <c r="E305" s="7">
        <f>IFERROR(__xludf.DUMMYFUNCTION("""COMPUTED_VALUE"""),3011.92)</f>
        <v>3011.92</v>
      </c>
      <c r="F305" s="7">
        <f>IFERROR(__xludf.DUMMYFUNCTION("""COMPUTED_VALUE"""),1075.0)</f>
        <v>1075</v>
      </c>
      <c r="G305" s="6">
        <f>IFERROR(__xludf.DUMMYFUNCTION("""COMPUTED_VALUE"""),20.0)</f>
        <v>20</v>
      </c>
      <c r="H305" s="7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IFERROR(__xludf.DUMMYFUNCTION("""COMPUTED_VALUE"""),2.0)</f>
        <v>2</v>
      </c>
      <c r="E306" s="7">
        <f>IFERROR(__xludf.DUMMYFUNCTION("""COMPUTED_VALUE"""),4984.56)</f>
        <v>4984.56</v>
      </c>
      <c r="F306" s="7">
        <f>IFERROR(__xludf.DUMMYFUNCTION("""COMPUTED_VALUE"""),4149.5)</f>
        <v>4149.5</v>
      </c>
      <c r="G306" s="6">
        <f>IFERROR(__xludf.DUMMYFUNCTION("""COMPUTED_VALUE"""),91.0)</f>
        <v>91</v>
      </c>
      <c r="H306" s="7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IFERROR(__xludf.DUMMYFUNCTION("""COMPUTED_VALUE"""),1.0)</f>
        <v>1</v>
      </c>
      <c r="E307" s="7">
        <f>IFERROR(__xludf.DUMMYFUNCTION("""COMPUTED_VALUE"""),4423.43)</f>
        <v>4423.43</v>
      </c>
      <c r="F307" s="7">
        <f>IFERROR(__xludf.DUMMYFUNCTION("""COMPUTED_VALUE"""),3339.9)</f>
        <v>3339.9</v>
      </c>
      <c r="G307" s="6">
        <f>IFERROR(__xludf.DUMMYFUNCTION("""COMPUTED_VALUE"""),73.0)</f>
        <v>73</v>
      </c>
      <c r="H307" s="7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IFERROR(__xludf.DUMMYFUNCTION("""COMPUTED_VALUE"""),2.0)</f>
        <v>2</v>
      </c>
      <c r="E308" s="7">
        <f>IFERROR(__xludf.DUMMYFUNCTION("""COMPUTED_VALUE"""),2925.74)</f>
        <v>2925.74</v>
      </c>
      <c r="F308" s="7">
        <f>IFERROR(__xludf.DUMMYFUNCTION("""COMPUTED_VALUE"""),2232.0)</f>
        <v>2232</v>
      </c>
      <c r="G308" s="6">
        <f>IFERROR(__xludf.DUMMYFUNCTION("""COMPUTED_VALUE"""),54.0)</f>
        <v>54</v>
      </c>
      <c r="H308" s="7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IFERROR(__xludf.DUMMYFUNCTION("""COMPUTED_VALUE"""),1.0)</f>
        <v>1</v>
      </c>
      <c r="E309" s="7">
        <f>IFERROR(__xludf.DUMMYFUNCTION("""COMPUTED_VALUE"""),2882.27)</f>
        <v>2882.27</v>
      </c>
      <c r="F309" s="7">
        <f>IFERROR(__xludf.DUMMYFUNCTION("""COMPUTED_VALUE"""),1153.25)</f>
        <v>1153.25</v>
      </c>
      <c r="G309" s="6">
        <f>IFERROR(__xludf.DUMMYFUNCTION("""COMPUTED_VALUE"""),35.0)</f>
        <v>35</v>
      </c>
      <c r="H309" s="7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IFERROR(__xludf.DUMMYFUNCTION("""COMPUTED_VALUE"""),2.0)</f>
        <v>2</v>
      </c>
      <c r="E310" s="7">
        <f>IFERROR(__xludf.DUMMYFUNCTION("""COMPUTED_VALUE"""),3563.13)</f>
        <v>3563.13</v>
      </c>
      <c r="F310" s="7">
        <f>IFERROR(__xludf.DUMMYFUNCTION("""COMPUTED_VALUE"""),2083.5)</f>
        <v>2083.5</v>
      </c>
      <c r="G310" s="6">
        <f>IFERROR(__xludf.DUMMYFUNCTION("""COMPUTED_VALUE"""),52.0)</f>
        <v>52</v>
      </c>
      <c r="H310" s="7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IFERROR(__xludf.DUMMYFUNCTION("""COMPUTED_VALUE"""),1.0)</f>
        <v>1</v>
      </c>
      <c r="E311" s="7">
        <f>IFERROR(__xludf.DUMMYFUNCTION("""COMPUTED_VALUE"""),3624.14)</f>
        <v>3624.14</v>
      </c>
      <c r="F311" s="7">
        <f>IFERROR(__xludf.DUMMYFUNCTION("""COMPUTED_VALUE"""),3006.26)</f>
        <v>3006.26</v>
      </c>
      <c r="G311" s="6">
        <f>IFERROR(__xludf.DUMMYFUNCTION("""COMPUTED_VALUE"""),65.0)</f>
        <v>65</v>
      </c>
      <c r="H311" s="7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IFERROR(__xludf.DUMMYFUNCTION("""COMPUTED_VALUE"""),2.0)</f>
        <v>2</v>
      </c>
      <c r="E312" s="7">
        <f>IFERROR(__xludf.DUMMYFUNCTION("""COMPUTED_VALUE"""),3463.7)</f>
        <v>3463.7</v>
      </c>
      <c r="F312" s="7">
        <f>IFERROR(__xludf.DUMMYFUNCTION("""COMPUTED_VALUE"""),3303.75)</f>
        <v>3303.75</v>
      </c>
      <c r="G312" s="6">
        <f>IFERROR(__xludf.DUMMYFUNCTION("""COMPUTED_VALUE"""),80.0)</f>
        <v>80</v>
      </c>
      <c r="H312" s="7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IFERROR(__xludf.DUMMYFUNCTION("""COMPUTED_VALUE"""),1.0)</f>
        <v>1</v>
      </c>
      <c r="E313" s="7">
        <f>IFERROR(__xludf.DUMMYFUNCTION("""COMPUTED_VALUE"""),4984.56)</f>
        <v>4984.56</v>
      </c>
      <c r="F313" s="7">
        <f>IFERROR(__xludf.DUMMYFUNCTION("""COMPUTED_VALUE"""),5357.5)</f>
        <v>5357.5</v>
      </c>
      <c r="G313" s="6">
        <f>IFERROR(__xludf.DUMMYFUNCTION("""COMPUTED_VALUE"""),113.0)</f>
        <v>113</v>
      </c>
      <c r="H313" s="7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IFERROR(__xludf.DUMMYFUNCTION("""COMPUTED_VALUE"""),2.0)</f>
        <v>2</v>
      </c>
      <c r="E314" s="7">
        <f>IFERROR(__xludf.DUMMYFUNCTION("""COMPUTED_VALUE"""),4423.43)</f>
        <v>4423.43</v>
      </c>
      <c r="F314" s="7">
        <f>IFERROR(__xludf.DUMMYFUNCTION("""COMPUTED_VALUE"""),5717.4)</f>
        <v>5717.4</v>
      </c>
      <c r="G314" s="6">
        <f>IFERROR(__xludf.DUMMYFUNCTION("""COMPUTED_VALUE"""),119.0)</f>
        <v>119</v>
      </c>
      <c r="H314" s="7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IFERROR(__xludf.DUMMYFUNCTION("""COMPUTED_VALUE"""),1.0)</f>
        <v>1</v>
      </c>
      <c r="E315" s="7">
        <f>IFERROR(__xludf.DUMMYFUNCTION("""COMPUTED_VALUE"""),2925.74)</f>
        <v>2925.74</v>
      </c>
      <c r="F315" s="7">
        <f>IFERROR(__xludf.DUMMYFUNCTION("""COMPUTED_VALUE"""),2552.0)</f>
        <v>2552</v>
      </c>
      <c r="G315" s="6">
        <f>IFERROR(__xludf.DUMMYFUNCTION("""COMPUTED_VALUE"""),45.0)</f>
        <v>45</v>
      </c>
      <c r="H315" s="7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IFERROR(__xludf.DUMMYFUNCTION("""COMPUTED_VALUE"""),2.0)</f>
        <v>2</v>
      </c>
      <c r="E316" s="7">
        <f>IFERROR(__xludf.DUMMYFUNCTION("""COMPUTED_VALUE"""),2882.27)</f>
        <v>2882.27</v>
      </c>
      <c r="F316" s="7">
        <f>IFERROR(__xludf.DUMMYFUNCTION("""COMPUTED_VALUE"""),3252.5)</f>
        <v>3252.5</v>
      </c>
      <c r="G316" s="6">
        <f>IFERROR(__xludf.DUMMYFUNCTION("""COMPUTED_VALUE"""),77.0)</f>
        <v>77</v>
      </c>
      <c r="H316" s="7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IFERROR(__xludf.DUMMYFUNCTION("""COMPUTED_VALUE"""),1.0)</f>
        <v>1</v>
      </c>
      <c r="E317" s="7">
        <f>IFERROR(__xludf.DUMMYFUNCTION("""COMPUTED_VALUE"""),3563.13)</f>
        <v>3563.13</v>
      </c>
      <c r="F317" s="7">
        <f>IFERROR(__xludf.DUMMYFUNCTION("""COMPUTED_VALUE"""),1830.5)</f>
        <v>1830.5</v>
      </c>
      <c r="G317" s="6">
        <f>IFERROR(__xludf.DUMMYFUNCTION("""COMPUTED_VALUE"""),41.0)</f>
        <v>41</v>
      </c>
      <c r="H317" s="7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IFERROR(__xludf.DUMMYFUNCTION("""COMPUTED_VALUE"""),2.0)</f>
        <v>2</v>
      </c>
      <c r="E318" s="7">
        <f>IFERROR(__xludf.DUMMYFUNCTION("""COMPUTED_VALUE"""),3624.14)</f>
        <v>3624.14</v>
      </c>
      <c r="F318" s="7">
        <f>IFERROR(__xludf.DUMMYFUNCTION("""COMPUTED_VALUE"""),2209.0)</f>
        <v>2209</v>
      </c>
      <c r="G318" s="6">
        <f>IFERROR(__xludf.DUMMYFUNCTION("""COMPUTED_VALUE"""),53.0)</f>
        <v>53</v>
      </c>
      <c r="H318" s="7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IFERROR(__xludf.DUMMYFUNCTION("""COMPUTED_VALUE"""),1.0)</f>
        <v>1</v>
      </c>
      <c r="E319" s="7">
        <f>IFERROR(__xludf.DUMMYFUNCTION("""COMPUTED_VALUE"""),3463.7)</f>
        <v>3463.7</v>
      </c>
      <c r="F319" s="7">
        <f>IFERROR(__xludf.DUMMYFUNCTION("""COMPUTED_VALUE"""),2235.0)</f>
        <v>2235</v>
      </c>
      <c r="G319" s="6">
        <f>IFERROR(__xludf.DUMMYFUNCTION("""COMPUTED_VALUE"""),44.0)</f>
        <v>44</v>
      </c>
      <c r="H319" s="7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IFERROR(__xludf.DUMMYFUNCTION("""COMPUTED_VALUE"""),2.0)</f>
        <v>2</v>
      </c>
      <c r="E320" s="7">
        <f>IFERROR(__xludf.DUMMYFUNCTION("""COMPUTED_VALUE"""),4984.56)</f>
        <v>4984.56</v>
      </c>
      <c r="F320" s="7">
        <f>IFERROR(__xludf.DUMMYFUNCTION("""COMPUTED_VALUE"""),3360.5)</f>
        <v>3360.5</v>
      </c>
      <c r="G320" s="6">
        <f>IFERROR(__xludf.DUMMYFUNCTION("""COMPUTED_VALUE"""),94.0)</f>
        <v>94</v>
      </c>
      <c r="H320" s="7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IFERROR(__xludf.DUMMYFUNCTION("""COMPUTED_VALUE"""),1.0)</f>
        <v>1</v>
      </c>
      <c r="E321" s="7">
        <f>IFERROR(__xludf.DUMMYFUNCTION("""COMPUTED_VALUE"""),4423.43)</f>
        <v>4423.43</v>
      </c>
      <c r="F321" s="7">
        <f>IFERROR(__xludf.DUMMYFUNCTION("""COMPUTED_VALUE"""),3765.41)</f>
        <v>3765.41</v>
      </c>
      <c r="G321" s="6">
        <f>IFERROR(__xludf.DUMMYFUNCTION("""COMPUTED_VALUE"""),90.0)</f>
        <v>90</v>
      </c>
      <c r="H321" s="7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IFERROR(__xludf.DUMMYFUNCTION("""COMPUTED_VALUE"""),2.0)</f>
        <v>2</v>
      </c>
      <c r="E322" s="7">
        <f>IFERROR(__xludf.DUMMYFUNCTION("""COMPUTED_VALUE"""),2925.74)</f>
        <v>2925.74</v>
      </c>
      <c r="F322" s="7">
        <f>IFERROR(__xludf.DUMMYFUNCTION("""COMPUTED_VALUE"""),1562.5)</f>
        <v>1562.5</v>
      </c>
      <c r="G322" s="6">
        <f>IFERROR(__xludf.DUMMYFUNCTION("""COMPUTED_VALUE"""),38.0)</f>
        <v>38</v>
      </c>
      <c r="H322" s="7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IFERROR(__xludf.DUMMYFUNCTION("""COMPUTED_VALUE"""),1.0)</f>
        <v>1</v>
      </c>
      <c r="E323" s="7">
        <f>IFERROR(__xludf.DUMMYFUNCTION("""COMPUTED_VALUE"""),2882.27)</f>
        <v>2882.27</v>
      </c>
      <c r="F323" s="7">
        <f>IFERROR(__xludf.DUMMYFUNCTION("""COMPUTED_VALUE"""),1135.01)</f>
        <v>1135.01</v>
      </c>
      <c r="G323" s="6">
        <f>IFERROR(__xludf.DUMMYFUNCTION("""COMPUTED_VALUE"""),32.0)</f>
        <v>32</v>
      </c>
      <c r="H323" s="7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IFERROR(__xludf.DUMMYFUNCTION("""COMPUTED_VALUE"""),2.0)</f>
        <v>2</v>
      </c>
      <c r="E324" s="7">
        <f>IFERROR(__xludf.DUMMYFUNCTION("""COMPUTED_VALUE"""),3563.13)</f>
        <v>3563.13</v>
      </c>
      <c r="F324" s="7">
        <f>IFERROR(__xludf.DUMMYFUNCTION("""COMPUTED_VALUE"""),2343.01)</f>
        <v>2343.01</v>
      </c>
      <c r="G324" s="6">
        <f>IFERROR(__xludf.DUMMYFUNCTION("""COMPUTED_VALUE"""),58.0)</f>
        <v>58</v>
      </c>
      <c r="H324" s="7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IFERROR(__xludf.DUMMYFUNCTION("""COMPUTED_VALUE"""),1.0)</f>
        <v>1</v>
      </c>
      <c r="E325" s="7">
        <f>IFERROR(__xludf.DUMMYFUNCTION("""COMPUTED_VALUE"""),3624.14)</f>
        <v>3624.14</v>
      </c>
      <c r="F325" s="7">
        <f>IFERROR(__xludf.DUMMYFUNCTION("""COMPUTED_VALUE"""),3377.51)</f>
        <v>3377.51</v>
      </c>
      <c r="G325" s="6">
        <f>IFERROR(__xludf.DUMMYFUNCTION("""COMPUTED_VALUE"""),64.0)</f>
        <v>64</v>
      </c>
      <c r="H325" s="7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IFERROR(__xludf.DUMMYFUNCTION("""COMPUTED_VALUE"""),2.0)</f>
        <v>2</v>
      </c>
      <c r="E326" s="7">
        <f>IFERROR(__xludf.DUMMYFUNCTION("""COMPUTED_VALUE"""),3463.7)</f>
        <v>3463.7</v>
      </c>
      <c r="F326" s="7">
        <f>IFERROR(__xludf.DUMMYFUNCTION("""COMPUTED_VALUE"""),2239.0)</f>
        <v>2239</v>
      </c>
      <c r="G326" s="6">
        <f>IFERROR(__xludf.DUMMYFUNCTION("""COMPUTED_VALUE"""),46.0)</f>
        <v>46</v>
      </c>
      <c r="H326" s="7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IFERROR(__xludf.DUMMYFUNCTION("""COMPUTED_VALUE"""),1.0)</f>
        <v>1</v>
      </c>
      <c r="E327" s="7">
        <f>IFERROR(__xludf.DUMMYFUNCTION("""COMPUTED_VALUE"""),4984.56)</f>
        <v>4984.56</v>
      </c>
      <c r="F327" s="7">
        <f>IFERROR(__xludf.DUMMYFUNCTION("""COMPUTED_VALUE"""),2282.5)</f>
        <v>2282.5</v>
      </c>
      <c r="G327" s="6">
        <f>IFERROR(__xludf.DUMMYFUNCTION("""COMPUTED_VALUE"""),55.0)</f>
        <v>55</v>
      </c>
      <c r="H327" s="7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IFERROR(__xludf.DUMMYFUNCTION("""COMPUTED_VALUE"""),2.0)</f>
        <v>2</v>
      </c>
      <c r="E328" s="7">
        <f>IFERROR(__xludf.DUMMYFUNCTION("""COMPUTED_VALUE"""),4423.43)</f>
        <v>4423.43</v>
      </c>
      <c r="F328" s="7">
        <f>IFERROR(__xludf.DUMMYFUNCTION("""COMPUTED_VALUE"""),2556.5)</f>
        <v>2556.5</v>
      </c>
      <c r="G328" s="6">
        <f>IFERROR(__xludf.DUMMYFUNCTION("""COMPUTED_VALUE"""),61.0)</f>
        <v>61</v>
      </c>
      <c r="H328" s="7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IFERROR(__xludf.DUMMYFUNCTION("""COMPUTED_VALUE"""),1.0)</f>
        <v>1</v>
      </c>
      <c r="E329" s="7">
        <f>IFERROR(__xludf.DUMMYFUNCTION("""COMPUTED_VALUE"""),2925.74)</f>
        <v>2925.74</v>
      </c>
      <c r="F329" s="7">
        <f>IFERROR(__xludf.DUMMYFUNCTION("""COMPUTED_VALUE"""),1871.0)</f>
        <v>1871</v>
      </c>
      <c r="G329" s="6">
        <f>IFERROR(__xludf.DUMMYFUNCTION("""COMPUTED_VALUE"""),38.0)</f>
        <v>38</v>
      </c>
      <c r="H329" s="7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IFERROR(__xludf.DUMMYFUNCTION("""COMPUTED_VALUE"""),2.0)</f>
        <v>2</v>
      </c>
      <c r="E330" s="7">
        <f>IFERROR(__xludf.DUMMYFUNCTION("""COMPUTED_VALUE"""),2882.27)</f>
        <v>2882.27</v>
      </c>
      <c r="F330" s="7">
        <f>IFERROR(__xludf.DUMMYFUNCTION("""COMPUTED_VALUE"""),1636.0)</f>
        <v>1636</v>
      </c>
      <c r="G330" s="6">
        <f>IFERROR(__xludf.DUMMYFUNCTION("""COMPUTED_VALUE"""),44.0)</f>
        <v>44</v>
      </c>
      <c r="H330" s="7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IFERROR(__xludf.DUMMYFUNCTION("""COMPUTED_VALUE"""),1.0)</f>
        <v>1</v>
      </c>
      <c r="E331" s="7">
        <f>IFERROR(__xludf.DUMMYFUNCTION("""COMPUTED_VALUE"""),3563.13)</f>
        <v>3563.13</v>
      </c>
      <c r="F331" s="7">
        <f>IFERROR(__xludf.DUMMYFUNCTION("""COMPUTED_VALUE"""),2386.0)</f>
        <v>2386</v>
      </c>
      <c r="G331" s="6">
        <f>IFERROR(__xludf.DUMMYFUNCTION("""COMPUTED_VALUE"""),55.0)</f>
        <v>55</v>
      </c>
      <c r="H331" s="7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IFERROR(__xludf.DUMMYFUNCTION("""COMPUTED_VALUE"""),2.0)</f>
        <v>2</v>
      </c>
      <c r="E332" s="7">
        <f>IFERROR(__xludf.DUMMYFUNCTION("""COMPUTED_VALUE"""),3624.14)</f>
        <v>3624.14</v>
      </c>
      <c r="F332" s="7">
        <f>IFERROR(__xludf.DUMMYFUNCTION("""COMPUTED_VALUE"""),3025.52)</f>
        <v>3025.52</v>
      </c>
      <c r="G332" s="6">
        <f>IFERROR(__xludf.DUMMYFUNCTION("""COMPUTED_VALUE"""),67.0)</f>
        <v>67</v>
      </c>
      <c r="H332" s="7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IFERROR(__xludf.DUMMYFUNCTION("""COMPUTED_VALUE"""),1.0)</f>
        <v>1</v>
      </c>
      <c r="E333" s="7">
        <f>IFERROR(__xludf.DUMMYFUNCTION("""COMPUTED_VALUE"""),3463.7)</f>
        <v>3463.7</v>
      </c>
      <c r="F333" s="7">
        <f>IFERROR(__xludf.DUMMYFUNCTION("""COMPUTED_VALUE"""),3165.5)</f>
        <v>3165.5</v>
      </c>
      <c r="G333" s="6">
        <f>IFERROR(__xludf.DUMMYFUNCTION("""COMPUTED_VALUE"""),66.0)</f>
        <v>66</v>
      </c>
      <c r="H333" s="7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IFERROR(__xludf.DUMMYFUNCTION("""COMPUTED_VALUE"""),2.0)</f>
        <v>2</v>
      </c>
      <c r="E334" s="7">
        <f>IFERROR(__xludf.DUMMYFUNCTION("""COMPUTED_VALUE"""),4984.56)</f>
        <v>4984.56</v>
      </c>
      <c r="F334" s="7">
        <f>IFERROR(__xludf.DUMMYFUNCTION("""COMPUTED_VALUE"""),2383.5)</f>
        <v>2383.5</v>
      </c>
      <c r="G334" s="6">
        <f>IFERROR(__xludf.DUMMYFUNCTION("""COMPUTED_VALUE"""),61.0)</f>
        <v>61</v>
      </c>
      <c r="H334" s="7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IFERROR(__xludf.DUMMYFUNCTION("""COMPUTED_VALUE"""),1.0)</f>
        <v>1</v>
      </c>
      <c r="E335" s="7">
        <f>IFERROR(__xludf.DUMMYFUNCTION("""COMPUTED_VALUE"""),4423.43)</f>
        <v>4423.43</v>
      </c>
      <c r="F335" s="7">
        <f>IFERROR(__xludf.DUMMYFUNCTION("""COMPUTED_VALUE"""),4227.5)</f>
        <v>4227.5</v>
      </c>
      <c r="G335" s="6">
        <f>IFERROR(__xludf.DUMMYFUNCTION("""COMPUTED_VALUE"""),84.0)</f>
        <v>84</v>
      </c>
      <c r="H335" s="7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IFERROR(__xludf.DUMMYFUNCTION("""COMPUTED_VALUE"""),2.0)</f>
        <v>2</v>
      </c>
      <c r="E336" s="7">
        <f>IFERROR(__xludf.DUMMYFUNCTION("""COMPUTED_VALUE"""),2356.85)</f>
        <v>2356.85</v>
      </c>
      <c r="F336" s="7">
        <f>IFERROR(__xludf.DUMMYFUNCTION("""COMPUTED_VALUE"""),3679.0)</f>
        <v>3679</v>
      </c>
      <c r="G336" s="6">
        <f>IFERROR(__xludf.DUMMYFUNCTION("""COMPUTED_VALUE"""),81.0)</f>
        <v>81</v>
      </c>
      <c r="H336" s="7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IFERROR(__xludf.DUMMYFUNCTION("""COMPUTED_VALUE"""),1.0)</f>
        <v>1</v>
      </c>
      <c r="E337" s="7">
        <f>IFERROR(__xludf.DUMMYFUNCTION("""COMPUTED_VALUE"""),2287.03)</f>
        <v>2287.03</v>
      </c>
      <c r="F337" s="7">
        <f>IFERROR(__xludf.DUMMYFUNCTION("""COMPUTED_VALUE"""),2380.0)</f>
        <v>2380</v>
      </c>
      <c r="G337" s="6">
        <f>IFERROR(__xludf.DUMMYFUNCTION("""COMPUTED_VALUE"""),49.0)</f>
        <v>49</v>
      </c>
      <c r="H337" s="7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IFERROR(__xludf.DUMMYFUNCTION("""COMPUTED_VALUE"""),2.0)</f>
        <v>2</v>
      </c>
      <c r="E338" s="7">
        <f>IFERROR(__xludf.DUMMYFUNCTION("""COMPUTED_VALUE"""),2757.4)</f>
        <v>2757.4</v>
      </c>
      <c r="F338" s="7">
        <f>IFERROR(__xludf.DUMMYFUNCTION("""COMPUTED_VALUE"""),3015.02)</f>
        <v>3015.02</v>
      </c>
      <c r="G338" s="6">
        <f>IFERROR(__xludf.DUMMYFUNCTION("""COMPUTED_VALUE"""),71.0)</f>
        <v>71</v>
      </c>
      <c r="H338" s="7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IFERROR(__xludf.DUMMYFUNCTION("""COMPUTED_VALUE"""),1.0)</f>
        <v>1</v>
      </c>
      <c r="E339" s="7">
        <f>IFERROR(__xludf.DUMMYFUNCTION("""COMPUTED_VALUE"""),3129.21)</f>
        <v>3129.21</v>
      </c>
      <c r="F339" s="7">
        <f>IFERROR(__xludf.DUMMYFUNCTION("""COMPUTED_VALUE"""),3900.5)</f>
        <v>3900.5</v>
      </c>
      <c r="G339" s="6">
        <f>IFERROR(__xludf.DUMMYFUNCTION("""COMPUTED_VALUE"""),90.0)</f>
        <v>90</v>
      </c>
      <c r="H339" s="7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IFERROR(__xludf.DUMMYFUNCTION("""COMPUTED_VALUE"""),2.0)</f>
        <v>2</v>
      </c>
      <c r="E340" s="7">
        <f>IFERROR(__xludf.DUMMYFUNCTION("""COMPUTED_VALUE"""),2824.96)</f>
        <v>2824.96</v>
      </c>
      <c r="F340" s="7">
        <f>IFERROR(__xludf.DUMMYFUNCTION("""COMPUTED_VALUE"""),2976.01)</f>
        <v>2976.01</v>
      </c>
      <c r="G340" s="6">
        <f>IFERROR(__xludf.DUMMYFUNCTION("""COMPUTED_VALUE"""),65.0)</f>
        <v>65</v>
      </c>
      <c r="H340" s="7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IFERROR(__xludf.DUMMYFUNCTION("""COMPUTED_VALUE"""),1.0)</f>
        <v>1</v>
      </c>
      <c r="E341" s="7">
        <f>IFERROR(__xludf.DUMMYFUNCTION("""COMPUTED_VALUE"""),3969.19)</f>
        <v>3969.19</v>
      </c>
      <c r="F341" s="7">
        <f>IFERROR(__xludf.DUMMYFUNCTION("""COMPUTED_VALUE"""),4037.5)</f>
        <v>4037.5</v>
      </c>
      <c r="G341" s="6">
        <f>IFERROR(__xludf.DUMMYFUNCTION("""COMPUTED_VALUE"""),89.0)</f>
        <v>89</v>
      </c>
      <c r="H341" s="7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IFERROR(__xludf.DUMMYFUNCTION("""COMPUTED_VALUE"""),2.0)</f>
        <v>2</v>
      </c>
      <c r="E342" s="7">
        <f>IFERROR(__xludf.DUMMYFUNCTION("""COMPUTED_VALUE"""),4064.6)</f>
        <v>4064.6</v>
      </c>
      <c r="F342" s="7">
        <f>IFERROR(__xludf.DUMMYFUNCTION("""COMPUTED_VALUE"""),3251.01)</f>
        <v>3251.01</v>
      </c>
      <c r="G342" s="6">
        <f>IFERROR(__xludf.DUMMYFUNCTION("""COMPUTED_VALUE"""),87.0)</f>
        <v>87</v>
      </c>
      <c r="H342" s="7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IFERROR(__xludf.DUMMYFUNCTION("""COMPUTED_VALUE"""),1.0)</f>
        <v>1</v>
      </c>
      <c r="E343" s="7">
        <f>IFERROR(__xludf.DUMMYFUNCTION("""COMPUTED_VALUE"""),2356.85)</f>
        <v>2356.85</v>
      </c>
      <c r="F343" s="7">
        <f>IFERROR(__xludf.DUMMYFUNCTION("""COMPUTED_VALUE"""),2690.5)</f>
        <v>2690.5</v>
      </c>
      <c r="G343" s="6">
        <f>IFERROR(__xludf.DUMMYFUNCTION("""COMPUTED_VALUE"""),62.0)</f>
        <v>62</v>
      </c>
      <c r="H343" s="7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IFERROR(__xludf.DUMMYFUNCTION("""COMPUTED_VALUE"""),2.0)</f>
        <v>2</v>
      </c>
      <c r="E344" s="7">
        <f>IFERROR(__xludf.DUMMYFUNCTION("""COMPUTED_VALUE"""),2287.03)</f>
        <v>2287.03</v>
      </c>
      <c r="F344" s="7">
        <f>IFERROR(__xludf.DUMMYFUNCTION("""COMPUTED_VALUE"""),3328.5)</f>
        <v>3328.5</v>
      </c>
      <c r="G344" s="6">
        <f>IFERROR(__xludf.DUMMYFUNCTION("""COMPUTED_VALUE"""),64.0)</f>
        <v>64</v>
      </c>
      <c r="H344" s="7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IFERROR(__xludf.DUMMYFUNCTION("""COMPUTED_VALUE"""),1.0)</f>
        <v>1</v>
      </c>
      <c r="E345" s="7">
        <f>IFERROR(__xludf.DUMMYFUNCTION("""COMPUTED_VALUE"""),2757.4)</f>
        <v>2757.4</v>
      </c>
      <c r="F345" s="7">
        <f>IFERROR(__xludf.DUMMYFUNCTION("""COMPUTED_VALUE"""),2934.01)</f>
        <v>2934.01</v>
      </c>
      <c r="G345" s="6">
        <f>IFERROR(__xludf.DUMMYFUNCTION("""COMPUTED_VALUE"""),63.0)</f>
        <v>63</v>
      </c>
      <c r="H345" s="7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IFERROR(__xludf.DUMMYFUNCTION("""COMPUTED_VALUE"""),2.0)</f>
        <v>2</v>
      </c>
      <c r="E346" s="7">
        <f>IFERROR(__xludf.DUMMYFUNCTION("""COMPUTED_VALUE"""),3129.21)</f>
        <v>3129.21</v>
      </c>
      <c r="F346" s="7">
        <f>IFERROR(__xludf.DUMMYFUNCTION("""COMPUTED_VALUE"""),2524.0)</f>
        <v>2524</v>
      </c>
      <c r="G346" s="6">
        <f>IFERROR(__xludf.DUMMYFUNCTION("""COMPUTED_VALUE"""),47.0)</f>
        <v>47</v>
      </c>
      <c r="H346" s="7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IFERROR(__xludf.DUMMYFUNCTION("""COMPUTED_VALUE"""),1.0)</f>
        <v>1</v>
      </c>
      <c r="E347" s="7">
        <f>IFERROR(__xludf.DUMMYFUNCTION("""COMPUTED_VALUE"""),2824.96)</f>
        <v>2824.96</v>
      </c>
      <c r="F347" s="7">
        <f>IFERROR(__xludf.DUMMYFUNCTION("""COMPUTED_VALUE"""),2651.0)</f>
        <v>2651</v>
      </c>
      <c r="G347" s="6">
        <f>IFERROR(__xludf.DUMMYFUNCTION("""COMPUTED_VALUE"""),70.0)</f>
        <v>70</v>
      </c>
      <c r="H347" s="7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IFERROR(__xludf.DUMMYFUNCTION("""COMPUTED_VALUE"""),2.0)</f>
        <v>2</v>
      </c>
      <c r="E348" s="7">
        <f>IFERROR(__xludf.DUMMYFUNCTION("""COMPUTED_VALUE"""),3969.19)</f>
        <v>3969.19</v>
      </c>
      <c r="F348" s="7">
        <f>IFERROR(__xludf.DUMMYFUNCTION("""COMPUTED_VALUE"""),4429.01)</f>
        <v>4429.01</v>
      </c>
      <c r="G348" s="6">
        <f>IFERROR(__xludf.DUMMYFUNCTION("""COMPUTED_VALUE"""),99.0)</f>
        <v>99</v>
      </c>
      <c r="H348" s="7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IFERROR(__xludf.DUMMYFUNCTION("""COMPUTED_VALUE"""),1.0)</f>
        <v>1</v>
      </c>
      <c r="E349" s="7">
        <f>IFERROR(__xludf.DUMMYFUNCTION("""COMPUTED_VALUE"""),4064.6)</f>
        <v>4064.6</v>
      </c>
      <c r="F349" s="7">
        <f>IFERROR(__xludf.DUMMYFUNCTION("""COMPUTED_VALUE"""),2350.5)</f>
        <v>2350.5</v>
      </c>
      <c r="G349" s="6">
        <f>IFERROR(__xludf.DUMMYFUNCTION("""COMPUTED_VALUE"""),49.0)</f>
        <v>49</v>
      </c>
      <c r="H349" s="7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IFERROR(__xludf.DUMMYFUNCTION("""COMPUTED_VALUE"""),2.0)</f>
        <v>2</v>
      </c>
      <c r="E350" s="7">
        <f>IFERROR(__xludf.DUMMYFUNCTION("""COMPUTED_VALUE"""),2356.85)</f>
        <v>2356.85</v>
      </c>
      <c r="F350" s="7">
        <f>IFERROR(__xludf.DUMMYFUNCTION("""COMPUTED_VALUE"""),1849.0)</f>
        <v>1849</v>
      </c>
      <c r="G350" s="6">
        <f>IFERROR(__xludf.DUMMYFUNCTION("""COMPUTED_VALUE"""),38.0)</f>
        <v>38</v>
      </c>
      <c r="H350" s="7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IFERROR(__xludf.DUMMYFUNCTION("""COMPUTED_VALUE"""),1.0)</f>
        <v>1</v>
      </c>
      <c r="E351" s="7">
        <f>IFERROR(__xludf.DUMMYFUNCTION("""COMPUTED_VALUE"""),2287.03)</f>
        <v>2287.03</v>
      </c>
      <c r="F351" s="7">
        <f>IFERROR(__xludf.DUMMYFUNCTION("""COMPUTED_VALUE"""),1986.51)</f>
        <v>1986.51</v>
      </c>
      <c r="G351" s="6">
        <f>IFERROR(__xludf.DUMMYFUNCTION("""COMPUTED_VALUE"""),49.0)</f>
        <v>49</v>
      </c>
      <c r="H351" s="7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IFERROR(__xludf.DUMMYFUNCTION("""COMPUTED_VALUE"""),2.0)</f>
        <v>2</v>
      </c>
      <c r="E352" s="7">
        <f>IFERROR(__xludf.DUMMYFUNCTION("""COMPUTED_VALUE"""),2757.4)</f>
        <v>2757.4</v>
      </c>
      <c r="F352" s="7">
        <f>IFERROR(__xludf.DUMMYFUNCTION("""COMPUTED_VALUE"""),1610.0)</f>
        <v>1610</v>
      </c>
      <c r="G352" s="6">
        <f>IFERROR(__xludf.DUMMYFUNCTION("""COMPUTED_VALUE"""),38.0)</f>
        <v>38</v>
      </c>
      <c r="H352" s="7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IFERROR(__xludf.DUMMYFUNCTION("""COMPUTED_VALUE"""),1.0)</f>
        <v>1</v>
      </c>
      <c r="E353" s="7">
        <f>IFERROR(__xludf.DUMMYFUNCTION("""COMPUTED_VALUE"""),3129.21)</f>
        <v>3129.21</v>
      </c>
      <c r="F353" s="7">
        <f>IFERROR(__xludf.DUMMYFUNCTION("""COMPUTED_VALUE"""),2127.5)</f>
        <v>2127.5</v>
      </c>
      <c r="G353" s="6">
        <f>IFERROR(__xludf.DUMMYFUNCTION("""COMPUTED_VALUE"""),44.0)</f>
        <v>44</v>
      </c>
      <c r="H353" s="7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IFERROR(__xludf.DUMMYFUNCTION("""COMPUTED_VALUE"""),2.0)</f>
        <v>2</v>
      </c>
      <c r="E354" s="7">
        <f>IFERROR(__xludf.DUMMYFUNCTION("""COMPUTED_VALUE"""),2824.96)</f>
        <v>2824.96</v>
      </c>
      <c r="F354" s="7">
        <f>IFERROR(__xludf.DUMMYFUNCTION("""COMPUTED_VALUE"""),1266.0)</f>
        <v>1266</v>
      </c>
      <c r="G354" s="6">
        <f>IFERROR(__xludf.DUMMYFUNCTION("""COMPUTED_VALUE"""),33.0)</f>
        <v>33</v>
      </c>
      <c r="H354" s="7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IFERROR(__xludf.DUMMYFUNCTION("""COMPUTED_VALUE"""),1.0)</f>
        <v>1</v>
      </c>
      <c r="E355" s="7">
        <f>IFERROR(__xludf.DUMMYFUNCTION("""COMPUTED_VALUE"""),3969.19)</f>
        <v>3969.19</v>
      </c>
      <c r="F355" s="7">
        <f>IFERROR(__xludf.DUMMYFUNCTION("""COMPUTED_VALUE"""),3522.0)</f>
        <v>3522</v>
      </c>
      <c r="G355" s="6">
        <f>IFERROR(__xludf.DUMMYFUNCTION("""COMPUTED_VALUE"""),66.0)</f>
        <v>66</v>
      </c>
      <c r="H355" s="7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IFERROR(__xludf.DUMMYFUNCTION("""COMPUTED_VALUE"""),2.0)</f>
        <v>2</v>
      </c>
      <c r="E356" s="7">
        <f>IFERROR(__xludf.DUMMYFUNCTION("""COMPUTED_VALUE"""),4064.6)</f>
        <v>4064.6</v>
      </c>
      <c r="F356" s="7">
        <f>IFERROR(__xludf.DUMMYFUNCTION("""COMPUTED_VALUE"""),2802.5)</f>
        <v>2802.5</v>
      </c>
      <c r="G356" s="6">
        <f>IFERROR(__xludf.DUMMYFUNCTION("""COMPUTED_VALUE"""),70.0)</f>
        <v>70</v>
      </c>
      <c r="H356" s="7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IFERROR(__xludf.DUMMYFUNCTION("""COMPUTED_VALUE"""),1.0)</f>
        <v>1</v>
      </c>
      <c r="E357" s="7">
        <f>IFERROR(__xludf.DUMMYFUNCTION("""COMPUTED_VALUE"""),2356.85)</f>
        <v>2356.85</v>
      </c>
      <c r="F357" s="7">
        <f>IFERROR(__xludf.DUMMYFUNCTION("""COMPUTED_VALUE"""),2690.5)</f>
        <v>2690.5</v>
      </c>
      <c r="G357" s="6">
        <f>IFERROR(__xludf.DUMMYFUNCTION("""COMPUTED_VALUE"""),62.0)</f>
        <v>62</v>
      </c>
      <c r="H357" s="7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IFERROR(__xludf.DUMMYFUNCTION("""COMPUTED_VALUE"""),2.0)</f>
        <v>2</v>
      </c>
      <c r="E358" s="7">
        <f>IFERROR(__xludf.DUMMYFUNCTION("""COMPUTED_VALUE"""),2287.03)</f>
        <v>2287.03</v>
      </c>
      <c r="F358" s="7">
        <f>IFERROR(__xludf.DUMMYFUNCTION("""COMPUTED_VALUE"""),1277.02)</f>
        <v>1277.02</v>
      </c>
      <c r="G358" s="6">
        <f>IFERROR(__xludf.DUMMYFUNCTION("""COMPUTED_VALUE"""),39.0)</f>
        <v>39</v>
      </c>
      <c r="H358" s="7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IFERROR(__xludf.DUMMYFUNCTION("""COMPUTED_VALUE"""),1.0)</f>
        <v>1</v>
      </c>
      <c r="E359" s="7">
        <f>IFERROR(__xludf.DUMMYFUNCTION("""COMPUTED_VALUE"""),0.0)</f>
        <v>0</v>
      </c>
      <c r="F359" s="7">
        <f>IFERROR(__xludf.DUMMYFUNCTION("""COMPUTED_VALUE"""),0.01)</f>
        <v>0.01</v>
      </c>
      <c r="G359" s="6">
        <f>IFERROR(__xludf.DUMMYFUNCTION("""COMPUTED_VALUE"""),1.0)</f>
        <v>1</v>
      </c>
      <c r="H359" s="7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IFERROR(__xludf.DUMMYFUNCTION("""COMPUTED_VALUE"""),2.0)</f>
        <v>2</v>
      </c>
      <c r="E360" s="7">
        <f>IFERROR(__xludf.DUMMYFUNCTION("""COMPUTED_VALUE"""),3129.21)</f>
        <v>3129.21</v>
      </c>
      <c r="F360" s="7">
        <f>IFERROR(__xludf.DUMMYFUNCTION("""COMPUTED_VALUE"""),941.02)</f>
        <v>941.02</v>
      </c>
      <c r="G360" s="6">
        <f>IFERROR(__xludf.DUMMYFUNCTION("""COMPUTED_VALUE"""),31.0)</f>
        <v>31</v>
      </c>
      <c r="H360" s="7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IFERROR(__xludf.DUMMYFUNCTION("""COMPUTED_VALUE"""),1.0)</f>
        <v>1</v>
      </c>
      <c r="E361" s="7">
        <f>IFERROR(__xludf.DUMMYFUNCTION("""COMPUTED_VALUE"""),2824.96)</f>
        <v>2824.96</v>
      </c>
      <c r="F361" s="7">
        <f>IFERROR(__xludf.DUMMYFUNCTION("""COMPUTED_VALUE"""),1994.01)</f>
        <v>1994.01</v>
      </c>
      <c r="G361" s="6">
        <f>IFERROR(__xludf.DUMMYFUNCTION("""COMPUTED_VALUE"""),52.0)</f>
        <v>52</v>
      </c>
      <c r="H361" s="7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IFERROR(__xludf.DUMMYFUNCTION("""COMPUTED_VALUE"""),2.0)</f>
        <v>2</v>
      </c>
      <c r="E362" s="7">
        <f>IFERROR(__xludf.DUMMYFUNCTION("""COMPUTED_VALUE"""),3969.19)</f>
        <v>3969.19</v>
      </c>
      <c r="F362" s="7">
        <f>IFERROR(__xludf.DUMMYFUNCTION("""COMPUTED_VALUE"""),2806.51)</f>
        <v>2806.51</v>
      </c>
      <c r="G362" s="6">
        <f>IFERROR(__xludf.DUMMYFUNCTION("""COMPUTED_VALUE"""),68.0)</f>
        <v>68</v>
      </c>
      <c r="H362" s="7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IFERROR(__xludf.DUMMYFUNCTION("""COMPUTED_VALUE"""),1.0)</f>
        <v>1</v>
      </c>
      <c r="E363" s="7">
        <f>IFERROR(__xludf.DUMMYFUNCTION("""COMPUTED_VALUE"""),4064.6)</f>
        <v>4064.6</v>
      </c>
      <c r="F363" s="7">
        <f>IFERROR(__xludf.DUMMYFUNCTION("""COMPUTED_VALUE"""),3695.5)</f>
        <v>3695.5</v>
      </c>
      <c r="G363" s="6">
        <f>IFERROR(__xludf.DUMMYFUNCTION("""COMPUTED_VALUE"""),81.0)</f>
        <v>81</v>
      </c>
      <c r="H363" s="7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IFERROR(__xludf.DUMMYFUNCTION("""COMPUTED_VALUE"""),2.0)</f>
        <v>2</v>
      </c>
      <c r="E364" s="7">
        <f>IFERROR(__xludf.DUMMYFUNCTION("""COMPUTED_VALUE"""),2356.85)</f>
        <v>2356.85</v>
      </c>
      <c r="F364" s="7">
        <f>IFERROR(__xludf.DUMMYFUNCTION("""COMPUTED_VALUE"""),3029.0)</f>
        <v>3029</v>
      </c>
      <c r="G364" s="6">
        <f>IFERROR(__xludf.DUMMYFUNCTION("""COMPUTED_VALUE"""),69.0)</f>
        <v>69</v>
      </c>
      <c r="H364" s="7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IFERROR(__xludf.DUMMYFUNCTION("""COMPUTED_VALUE"""),1.0)</f>
        <v>1</v>
      </c>
      <c r="E365" s="7">
        <f>IFERROR(__xludf.DUMMYFUNCTION("""COMPUTED_VALUE"""),2287.03)</f>
        <v>2287.03</v>
      </c>
      <c r="F365" s="7">
        <f>IFERROR(__xludf.DUMMYFUNCTION("""COMPUTED_VALUE"""),2334.51)</f>
        <v>2334.51</v>
      </c>
      <c r="G365" s="6">
        <f>IFERROR(__xludf.DUMMYFUNCTION("""COMPUTED_VALUE"""),57.0)</f>
        <v>57</v>
      </c>
      <c r="H365" s="7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IFERROR(__xludf.DUMMYFUNCTION("""COMPUTED_VALUE"""),2.0)</f>
        <v>2</v>
      </c>
      <c r="E366" s="7">
        <f>IFERROR(__xludf.DUMMYFUNCTION("""COMPUTED_VALUE"""),0.0)</f>
        <v>0</v>
      </c>
      <c r="F366" s="7">
        <f>IFERROR(__xludf.DUMMYFUNCTION("""COMPUTED_VALUE"""),0.01)</f>
        <v>0.01</v>
      </c>
      <c r="G366" s="6">
        <f>IFERROR(__xludf.DUMMYFUNCTION("""COMPUTED_VALUE"""),1.0)</f>
        <v>1</v>
      </c>
      <c r="H366" s="7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IFERROR(__xludf.DUMMYFUNCTION("""COMPUTED_VALUE"""),1.0)</f>
        <v>1</v>
      </c>
      <c r="E367" s="7">
        <f>IFERROR(__xludf.DUMMYFUNCTION("""COMPUTED_VALUE"""),3129.21)</f>
        <v>3129.21</v>
      </c>
      <c r="F367" s="7">
        <f>IFERROR(__xludf.DUMMYFUNCTION("""COMPUTED_VALUE"""),2674.0)</f>
        <v>2674</v>
      </c>
      <c r="G367" s="6">
        <f>IFERROR(__xludf.DUMMYFUNCTION("""COMPUTED_VALUE"""),50.0)</f>
        <v>50</v>
      </c>
      <c r="H367" s="7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IFERROR(__xludf.DUMMYFUNCTION("""COMPUTED_VALUE"""),2.0)</f>
        <v>2</v>
      </c>
      <c r="E368" s="7">
        <f>IFERROR(__xludf.DUMMYFUNCTION("""COMPUTED_VALUE"""),2824.96)</f>
        <v>2824.96</v>
      </c>
      <c r="F368" s="7">
        <f>IFERROR(__xludf.DUMMYFUNCTION("""COMPUTED_VALUE"""),4655.5)</f>
        <v>4655.5</v>
      </c>
      <c r="G368" s="6">
        <f>IFERROR(__xludf.DUMMYFUNCTION("""COMPUTED_VALUE"""),78.0)</f>
        <v>78</v>
      </c>
      <c r="H368" s="7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IFERROR(__xludf.DUMMYFUNCTION("""COMPUTED_VALUE"""),1.0)</f>
        <v>1</v>
      </c>
      <c r="E369" s="7">
        <f>IFERROR(__xludf.DUMMYFUNCTION("""COMPUTED_VALUE"""),3969.19)</f>
        <v>3969.19</v>
      </c>
      <c r="F369" s="7">
        <f>IFERROR(__xludf.DUMMYFUNCTION("""COMPUTED_VALUE"""),5409.5)</f>
        <v>5409.5</v>
      </c>
      <c r="G369" s="6">
        <f>IFERROR(__xludf.DUMMYFUNCTION("""COMPUTED_VALUE"""),121.0)</f>
        <v>121</v>
      </c>
      <c r="H369" s="7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IFERROR(__xludf.DUMMYFUNCTION("""COMPUTED_VALUE"""),2.0)</f>
        <v>2</v>
      </c>
      <c r="E370" s="7">
        <f>IFERROR(__xludf.DUMMYFUNCTION("""COMPUTED_VALUE"""),4064.6)</f>
        <v>4064.6</v>
      </c>
      <c r="F370" s="7">
        <f>IFERROR(__xludf.DUMMYFUNCTION("""COMPUTED_VALUE"""),5360.01)</f>
        <v>5360.01</v>
      </c>
      <c r="G370" s="6">
        <f>IFERROR(__xludf.DUMMYFUNCTION("""COMPUTED_VALUE"""),110.0)</f>
        <v>110</v>
      </c>
      <c r="H370" s="7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IFERROR(__xludf.DUMMYFUNCTION("""COMPUTED_VALUE"""),1.0)</f>
        <v>1</v>
      </c>
      <c r="E371" s="7">
        <f>IFERROR(__xludf.DUMMYFUNCTION("""COMPUTED_VALUE"""),2356.85)</f>
        <v>2356.85</v>
      </c>
      <c r="F371" s="7">
        <f>IFERROR(__xludf.DUMMYFUNCTION("""COMPUTED_VALUE"""),2465.0)</f>
        <v>2465</v>
      </c>
      <c r="G371" s="6">
        <f>IFERROR(__xludf.DUMMYFUNCTION("""COMPUTED_VALUE"""),56.0)</f>
        <v>56</v>
      </c>
      <c r="H371" s="7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IFERROR(__xludf.DUMMYFUNCTION("""COMPUTED_VALUE"""),2.0)</f>
        <v>2</v>
      </c>
      <c r="E372" s="7">
        <f>IFERROR(__xludf.DUMMYFUNCTION("""COMPUTED_VALUE"""),2287.03)</f>
        <v>2287.03</v>
      </c>
      <c r="F372" s="7">
        <f>IFERROR(__xludf.DUMMYFUNCTION("""COMPUTED_VALUE"""),2457.51)</f>
        <v>2457.51</v>
      </c>
      <c r="G372" s="6">
        <f>IFERROR(__xludf.DUMMYFUNCTION("""COMPUTED_VALUE"""),56.0)</f>
        <v>56</v>
      </c>
      <c r="H372" s="7">
        <f>IFERROR(__xludf.DUMMYFUNCTION("""COMPUTED_VALUE"""),43.88410714285715)</f>
        <v>43.88410714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IFERROR(__xludf.DUMMYFUNCTION("""COMPUTED_VALUE"""),1.0)</f>
        <v>1</v>
      </c>
      <c r="E373" s="7">
        <f>IFERROR(__xludf.DUMMYFUNCTION("""COMPUTED_VALUE"""),2757.4)</f>
        <v>2757.4</v>
      </c>
      <c r="F373" s="7">
        <f>IFERROR(__xludf.DUMMYFUNCTION("""COMPUTED_VALUE"""),3659.0)</f>
        <v>3659</v>
      </c>
      <c r="G373" s="6">
        <f>IFERROR(__xludf.DUMMYFUNCTION("""COMPUTED_VALUE"""),79.0)</f>
        <v>79</v>
      </c>
      <c r="H373" s="7">
        <f>IFERROR(__xludf.DUMMYFUNCTION("""COMPUTED_VALUE"""),46.31645569620253)</f>
        <v>46.3164557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IFERROR(__xludf.DUMMYFUNCTION("""COMPUTED_VALUE"""),2.0)</f>
        <v>2</v>
      </c>
      <c r="E374" s="7">
        <f>IFERROR(__xludf.DUMMYFUNCTION("""COMPUTED_VALUE"""),3129.21)</f>
        <v>3129.21</v>
      </c>
      <c r="F374" s="7">
        <f>IFERROR(__xludf.DUMMYFUNCTION("""COMPUTED_VALUE"""),2701.5)</f>
        <v>2701.5</v>
      </c>
      <c r="G374" s="6">
        <f>IFERROR(__xludf.DUMMYFUNCTION("""COMPUTED_VALUE"""),57.0)</f>
        <v>57</v>
      </c>
      <c r="H374" s="7">
        <f>IFERROR(__xludf.DUMMYFUNCTION("""COMPUTED_VALUE"""),47.39473684210526)</f>
        <v>47.39473684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IFERROR(__xludf.DUMMYFUNCTION("""COMPUTED_VALUE"""),1.0)</f>
        <v>1</v>
      </c>
      <c r="E375" s="7">
        <f>IFERROR(__xludf.DUMMYFUNCTION("""COMPUTED_VALUE"""),2824.96)</f>
        <v>2824.96</v>
      </c>
      <c r="F375" s="7">
        <f>IFERROR(__xludf.DUMMYFUNCTION("""COMPUTED_VALUE"""),3397.5)</f>
        <v>3397.5</v>
      </c>
      <c r="G375" s="6">
        <f>IFERROR(__xludf.DUMMYFUNCTION("""COMPUTED_VALUE"""),79.0)</f>
        <v>79</v>
      </c>
      <c r="H375" s="7">
        <f>IFERROR(__xludf.DUMMYFUNCTION("""COMPUTED_VALUE"""),43.00632911392405)</f>
        <v>43.00632911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IFERROR(__xludf.DUMMYFUNCTION("""COMPUTED_VALUE"""),2.0)</f>
        <v>2</v>
      </c>
      <c r="E376" s="7">
        <f>IFERROR(__xludf.DUMMYFUNCTION("""COMPUTED_VALUE"""),3969.19)</f>
        <v>3969.19</v>
      </c>
      <c r="F376" s="7">
        <f>IFERROR(__xludf.DUMMYFUNCTION("""COMPUTED_VALUE"""),5844.01)</f>
        <v>5844.01</v>
      </c>
      <c r="G376" s="6">
        <f>IFERROR(__xludf.DUMMYFUNCTION("""COMPUTED_VALUE"""),117.0)</f>
        <v>117</v>
      </c>
      <c r="H376" s="7">
        <f>IFERROR(__xludf.DUMMYFUNCTION("""COMPUTED_VALUE"""),49.94880341880342)</f>
        <v>49.94880342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IFERROR(__xludf.DUMMYFUNCTION("""COMPUTED_VALUE"""),1.0)</f>
        <v>1</v>
      </c>
      <c r="E377" s="7">
        <f>IFERROR(__xludf.DUMMYFUNCTION("""COMPUTED_VALUE"""),4064.6)</f>
        <v>4064.6</v>
      </c>
      <c r="F377" s="7">
        <f>IFERROR(__xludf.DUMMYFUNCTION("""COMPUTED_VALUE"""),5247.0)</f>
        <v>5247</v>
      </c>
      <c r="G377" s="6">
        <f>IFERROR(__xludf.DUMMYFUNCTION("""COMPUTED_VALUE"""),98.0)</f>
        <v>98</v>
      </c>
      <c r="H377" s="7">
        <f>IFERROR(__xludf.DUMMYFUNCTION("""COMPUTED_VALUE"""),53.54081632653061)</f>
        <v>53.54081633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IFERROR(__xludf.DUMMYFUNCTION("""COMPUTED_VALUE"""),2.0)</f>
        <v>2</v>
      </c>
      <c r="E378" s="7">
        <f>IFERROR(__xludf.DUMMYFUNCTION("""COMPUTED_VALUE"""),2356.85)</f>
        <v>2356.85</v>
      </c>
      <c r="F378" s="7">
        <f>IFERROR(__xludf.DUMMYFUNCTION("""COMPUTED_VALUE"""),2547.5)</f>
        <v>2547.5</v>
      </c>
      <c r="G378" s="6">
        <f>IFERROR(__xludf.DUMMYFUNCTION("""COMPUTED_VALUE"""),62.0)</f>
        <v>62</v>
      </c>
      <c r="H378" s="7">
        <f>IFERROR(__xludf.DUMMYFUNCTION("""COMPUTED_VALUE"""),41.08870967741935)</f>
        <v>41.08870968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IFERROR(__xludf.DUMMYFUNCTION("""COMPUTED_VALUE"""),1.0)</f>
        <v>1</v>
      </c>
      <c r="E379" s="7">
        <f>IFERROR(__xludf.DUMMYFUNCTION("""COMPUTED_VALUE"""),2287.03)</f>
        <v>2287.03</v>
      </c>
      <c r="F379" s="7">
        <f>IFERROR(__xludf.DUMMYFUNCTION("""COMPUTED_VALUE"""),1989.0)</f>
        <v>1989</v>
      </c>
      <c r="G379" s="6">
        <f>IFERROR(__xludf.DUMMYFUNCTION("""COMPUTED_VALUE"""),47.0)</f>
        <v>47</v>
      </c>
      <c r="H379" s="7">
        <f>IFERROR(__xludf.DUMMYFUNCTION("""COMPUTED_VALUE"""),42.319148936170215)</f>
        <v>42.31914894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IFERROR(__xludf.DUMMYFUNCTION("""COMPUTED_VALUE"""),2.0)</f>
        <v>2</v>
      </c>
      <c r="E380" s="7">
        <f>IFERROR(__xludf.DUMMYFUNCTION("""COMPUTED_VALUE"""),2757.4)</f>
        <v>2757.4</v>
      </c>
      <c r="F380" s="7">
        <f>IFERROR(__xludf.DUMMYFUNCTION("""COMPUTED_VALUE"""),3473.04)</f>
        <v>3473.04</v>
      </c>
      <c r="G380" s="6">
        <f>IFERROR(__xludf.DUMMYFUNCTION("""COMPUTED_VALUE"""),68.0)</f>
        <v>68</v>
      </c>
      <c r="H380" s="7">
        <f>IFERROR(__xludf.DUMMYFUNCTION("""COMPUTED_VALUE"""),51.07411764705882)</f>
        <v>51.07411765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IFERROR(__xludf.DUMMYFUNCTION("""COMPUTED_VALUE"""),1.0)</f>
        <v>1</v>
      </c>
      <c r="E381" s="7">
        <f>IFERROR(__xludf.DUMMYFUNCTION("""COMPUTED_VALUE"""),3129.21)</f>
        <v>3129.21</v>
      </c>
      <c r="F381" s="7">
        <f>IFERROR(__xludf.DUMMYFUNCTION("""COMPUTED_VALUE"""),2970.0)</f>
        <v>2970</v>
      </c>
      <c r="G381" s="6">
        <f>IFERROR(__xludf.DUMMYFUNCTION("""COMPUTED_VALUE"""),73.0)</f>
        <v>73</v>
      </c>
      <c r="H381" s="7">
        <f>IFERROR(__xludf.DUMMYFUNCTION("""COMPUTED_VALUE"""),40.68493150684932)</f>
        <v>40.68493151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IFERROR(__xludf.DUMMYFUNCTION("""COMPUTED_VALUE"""),2.0)</f>
        <v>2</v>
      </c>
      <c r="E382" s="7">
        <f>IFERROR(__xludf.DUMMYFUNCTION("""COMPUTED_VALUE"""),2824.96)</f>
        <v>2824.96</v>
      </c>
      <c r="F382" s="7">
        <f>IFERROR(__xludf.DUMMYFUNCTION("""COMPUTED_VALUE"""),3421.5)</f>
        <v>3421.5</v>
      </c>
      <c r="G382" s="6">
        <f>IFERROR(__xludf.DUMMYFUNCTION("""COMPUTED_VALUE"""),84.0)</f>
        <v>84</v>
      </c>
      <c r="H382" s="7">
        <f>IFERROR(__xludf.DUMMYFUNCTION("""COMPUTED_VALUE"""),40.732142857142854)</f>
        <v>40.73214286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IFERROR(__xludf.DUMMYFUNCTION("""COMPUTED_VALUE"""),1.0)</f>
        <v>1</v>
      </c>
      <c r="E383" s="7">
        <f>IFERROR(__xludf.DUMMYFUNCTION("""COMPUTED_VALUE"""),3969.19)</f>
        <v>3969.19</v>
      </c>
      <c r="F383" s="7">
        <f>IFERROR(__xludf.DUMMYFUNCTION("""COMPUTED_VALUE"""),5946.0)</f>
        <v>5946</v>
      </c>
      <c r="G383" s="6">
        <f>IFERROR(__xludf.DUMMYFUNCTION("""COMPUTED_VALUE"""),129.0)</f>
        <v>129</v>
      </c>
      <c r="H383" s="7">
        <f>IFERROR(__xludf.DUMMYFUNCTION("""COMPUTED_VALUE"""),46.093023255813954)</f>
        <v>46.09302326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IFERROR(__xludf.DUMMYFUNCTION("""COMPUTED_VALUE"""),2.0)</f>
        <v>2</v>
      </c>
      <c r="E384" s="7">
        <f>IFERROR(__xludf.DUMMYFUNCTION("""COMPUTED_VALUE"""),4064.6)</f>
        <v>4064.6</v>
      </c>
      <c r="F384" s="7">
        <f>IFERROR(__xludf.DUMMYFUNCTION("""COMPUTED_VALUE"""),6474.0)</f>
        <v>6474</v>
      </c>
      <c r="G384" s="6">
        <f>IFERROR(__xludf.DUMMYFUNCTION("""COMPUTED_VALUE"""),140.0)</f>
        <v>140</v>
      </c>
      <c r="H384" s="7">
        <f>IFERROR(__xludf.DUMMYFUNCTION("""COMPUTED_VALUE"""),46.24285714285714)</f>
        <v>46.24285714</v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IFERROR(__xludf.DUMMYFUNCTION("""COMPUTED_VALUE"""),1.0)</f>
        <v>1</v>
      </c>
      <c r="E385" s="7">
        <f>IFERROR(__xludf.DUMMYFUNCTION("""COMPUTED_VALUE"""),2356.85)</f>
        <v>2356.85</v>
      </c>
      <c r="F385" s="7">
        <f>IFERROR(__xludf.DUMMYFUNCTION("""COMPUTED_VALUE"""),2201.51)</f>
        <v>2201.51</v>
      </c>
      <c r="G385" s="6">
        <f>IFERROR(__xludf.DUMMYFUNCTION("""COMPUTED_VALUE"""),62.0)</f>
        <v>62</v>
      </c>
      <c r="H385" s="7">
        <f>IFERROR(__xludf.DUMMYFUNCTION("""COMPUTED_VALUE"""),35.50822580645162)</f>
        <v>35.50822581</v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IFERROR(__xludf.DUMMYFUNCTION("""COMPUTED_VALUE"""),2.0)</f>
        <v>2</v>
      </c>
      <c r="E386" s="7">
        <f>IFERROR(__xludf.DUMMYFUNCTION("""COMPUTED_VALUE"""),2287.03)</f>
        <v>2287.03</v>
      </c>
      <c r="F386" s="7">
        <f>IFERROR(__xludf.DUMMYFUNCTION("""COMPUTED_VALUE"""),7027.02)</f>
        <v>7027.02</v>
      </c>
      <c r="G386" s="6">
        <f>IFERROR(__xludf.DUMMYFUNCTION("""COMPUTED_VALUE"""),167.0)</f>
        <v>167</v>
      </c>
      <c r="H386" s="7">
        <f>IFERROR(__xludf.DUMMYFUNCTION("""COMPUTED_VALUE"""),42.07796407185629)</f>
        <v>42.07796407</v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IFERROR(__xludf.DUMMYFUNCTION("""COMPUTED_VALUE"""),1.0)</f>
        <v>1</v>
      </c>
      <c r="E387" s="7">
        <f>IFERROR(__xludf.DUMMYFUNCTION("""COMPUTED_VALUE"""),2757.4)</f>
        <v>2757.4</v>
      </c>
      <c r="F387" s="7">
        <f>IFERROR(__xludf.DUMMYFUNCTION("""COMPUTED_VALUE"""),1784.0)</f>
        <v>1784</v>
      </c>
      <c r="G387" s="6">
        <f>IFERROR(__xludf.DUMMYFUNCTION("""COMPUTED_VALUE"""),50.0)</f>
        <v>50</v>
      </c>
      <c r="H387" s="7">
        <f>IFERROR(__xludf.DUMMYFUNCTION("""COMPUTED_VALUE"""),35.68)</f>
        <v>35.68</v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IFERROR(__xludf.DUMMYFUNCTION("""COMPUTED_VALUE"""),2.0)</f>
        <v>2</v>
      </c>
      <c r="E388" s="7">
        <f>IFERROR(__xludf.DUMMYFUNCTION("""COMPUTED_VALUE"""),3129.21)</f>
        <v>3129.21</v>
      </c>
      <c r="F388" s="7">
        <f>IFERROR(__xludf.DUMMYFUNCTION("""COMPUTED_VALUE"""),4027.53)</f>
        <v>4027.53</v>
      </c>
      <c r="G388" s="6">
        <f>IFERROR(__xludf.DUMMYFUNCTION("""COMPUTED_VALUE"""),67.0)</f>
        <v>67</v>
      </c>
      <c r="H388" s="7">
        <f>IFERROR(__xludf.DUMMYFUNCTION("""COMPUTED_VALUE"""),60.112388059701495)</f>
        <v>60.11238806</v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IFERROR(__xludf.DUMMYFUNCTION("""COMPUTED_VALUE"""),1.0)</f>
        <v>1</v>
      </c>
      <c r="E389" s="7">
        <f>IFERROR(__xludf.DUMMYFUNCTION("""COMPUTED_VALUE"""),2824.96)</f>
        <v>2824.96</v>
      </c>
      <c r="F389" s="7">
        <f>IFERROR(__xludf.DUMMYFUNCTION("""COMPUTED_VALUE"""),3482.0)</f>
        <v>3482</v>
      </c>
      <c r="G389" s="6">
        <f>IFERROR(__xludf.DUMMYFUNCTION("""COMPUTED_VALUE"""),151.0)</f>
        <v>151</v>
      </c>
      <c r="H389" s="7">
        <f>IFERROR(__xludf.DUMMYFUNCTION("""COMPUTED_VALUE"""),23.05960264900662)</f>
        <v>23.05960265</v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IFERROR(__xludf.DUMMYFUNCTION("""COMPUTED_VALUE"""),2.0)</f>
        <v>2</v>
      </c>
      <c r="E390" s="7">
        <f>IFERROR(__xludf.DUMMYFUNCTION("""COMPUTED_VALUE"""),3969.19)</f>
        <v>3969.19</v>
      </c>
      <c r="F390" s="7" t="str">
        <f>IFERROR(__xludf.DUMMYFUNCTION("""COMPUTED_VALUE"""),"  ")</f>
        <v/>
      </c>
      <c r="G390" s="6" t="str">
        <f>IFERROR(__xludf.DUMMYFUNCTION("""COMPUTED_VALUE"""),"")</f>
        <v/>
      </c>
      <c r="H390" s="7" t="str">
        <f>IFERROR(__xludf.DUMMYFUNCTION("""COMPUTED_VALUE"""),"  ")</f>
        <v/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IFERROR(__xludf.DUMMYFUNCTION("""COMPUTED_VALUE"""),1.0)</f>
        <v>1</v>
      </c>
      <c r="E391" s="7">
        <f>IFERROR(__xludf.DUMMYFUNCTION("""COMPUTED_VALUE"""),4064.6)</f>
        <v>4064.6</v>
      </c>
      <c r="F391" s="7" t="str">
        <f>IFERROR(__xludf.DUMMYFUNCTION("""COMPUTED_VALUE"""),"  ")</f>
        <v/>
      </c>
      <c r="G391" s="6" t="str">
        <f>IFERROR(__xludf.DUMMYFUNCTION("""COMPUTED_VALUE"""),"")</f>
        <v/>
      </c>
      <c r="H391" s="7" t="str">
        <f>IFERROR(__xludf.DUMMYFUNCTION("""COMPUTED_VALUE"""),"  ")</f>
        <v/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IFERROR(__xludf.DUMMYFUNCTION("""COMPUTED_VALUE"""),2.0)</f>
        <v>2</v>
      </c>
      <c r="E392" s="7">
        <f>IFERROR(__xludf.DUMMYFUNCTION("""COMPUTED_VALUE"""),2356.85)</f>
        <v>2356.85</v>
      </c>
      <c r="F392" s="7" t="str">
        <f>IFERROR(__xludf.DUMMYFUNCTION("""COMPUTED_VALUE"""),"  ")</f>
        <v/>
      </c>
      <c r="G392" s="6" t="str">
        <f>IFERROR(__xludf.DUMMYFUNCTION("""COMPUTED_VALUE"""),"")</f>
        <v/>
      </c>
      <c r="H392" s="7" t="str">
        <f>IFERROR(__xludf.DUMMYFUNCTION("""COMPUTED_VALUE"""),"  ")</f>
        <v/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IFERROR(__xludf.DUMMYFUNCTION("""COMPUTED_VALUE"""),1.0)</f>
        <v>1</v>
      </c>
      <c r="E393" s="7">
        <f>IFERROR(__xludf.DUMMYFUNCTION("""COMPUTED_VALUE"""),2287.03)</f>
        <v>2287.03</v>
      </c>
      <c r="F393" s="7" t="str">
        <f>IFERROR(__xludf.DUMMYFUNCTION("""COMPUTED_VALUE"""),"  ")</f>
        <v/>
      </c>
      <c r="G393" s="6" t="str">
        <f>IFERROR(__xludf.DUMMYFUNCTION("""COMPUTED_VALUE"""),"")</f>
        <v/>
      </c>
      <c r="H393" s="7" t="str">
        <f>IFERROR(__xludf.DUMMYFUNCTION("""COMPUTED_VALUE"""),"  ")</f>
        <v/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IFERROR(__xludf.DUMMYFUNCTION("""COMPUTED_VALUE"""),2.0)</f>
        <v>2</v>
      </c>
      <c r="E394" s="7">
        <f>IFERROR(__xludf.DUMMYFUNCTION("""COMPUTED_VALUE"""),2757.4)</f>
        <v>2757.4</v>
      </c>
      <c r="F394" s="7" t="str">
        <f>IFERROR(__xludf.DUMMYFUNCTION("""COMPUTED_VALUE"""),"  ")</f>
        <v/>
      </c>
      <c r="G394" s="6" t="str">
        <f>IFERROR(__xludf.DUMMYFUNCTION("""COMPUTED_VALUE"""),"")</f>
        <v/>
      </c>
      <c r="H394" s="7" t="str">
        <f>IFERROR(__xludf.DUMMYFUNCTION("""COMPUTED_VALUE"""),"  ")</f>
        <v/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IFERROR(__xludf.DUMMYFUNCTION("""COMPUTED_VALUE"""),1.0)</f>
        <v>1</v>
      </c>
      <c r="E395" s="7">
        <f>IFERROR(__xludf.DUMMYFUNCTION("""COMPUTED_VALUE"""),3129.21)</f>
        <v>3129.21</v>
      </c>
      <c r="F395" s="7" t="str">
        <f>IFERROR(__xludf.DUMMYFUNCTION("""COMPUTED_VALUE"""),"  ")</f>
        <v/>
      </c>
      <c r="G395" s="6" t="str">
        <f>IFERROR(__xludf.DUMMYFUNCTION("""COMPUTED_VALUE"""),"")</f>
        <v/>
      </c>
      <c r="H395" s="7" t="str">
        <f>IFERROR(__xludf.DUMMYFUNCTION("""COMPUTED_VALUE"""),"  ")</f>
        <v/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IFERROR(__xludf.DUMMYFUNCTION("""COMPUTED_VALUE"""),2.0)</f>
        <v>2</v>
      </c>
      <c r="E396" s="7">
        <f>IFERROR(__xludf.DUMMYFUNCTION("""COMPUTED_VALUE"""),2824.96)</f>
        <v>2824.96</v>
      </c>
      <c r="F396" s="7" t="str">
        <f>IFERROR(__xludf.DUMMYFUNCTION("""COMPUTED_VALUE"""),"  ")</f>
        <v/>
      </c>
      <c r="G396" s="6" t="str">
        <f>IFERROR(__xludf.DUMMYFUNCTION("""COMPUTED_VALUE"""),"")</f>
        <v/>
      </c>
      <c r="H396" s="7" t="str">
        <f>IFERROR(__xludf.DUMMYFUNCTION("""COMPUTED_VALUE"""),"  ")</f>
        <v/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IFERROR(__xludf.DUMMYFUNCTION("""COMPUTED_VALUE"""),1.0)</f>
        <v>1</v>
      </c>
      <c r="E397" s="7">
        <f>IFERROR(__xludf.DUMMYFUNCTION("""COMPUTED_VALUE"""),3969.19)</f>
        <v>3969.19</v>
      </c>
      <c r="F397" s="7" t="str">
        <f>IFERROR(__xludf.DUMMYFUNCTION("""COMPUTED_VALUE"""),"  ")</f>
        <v/>
      </c>
      <c r="G397" s="6" t="str">
        <f>IFERROR(__xludf.DUMMYFUNCTION("""COMPUTED_VALUE"""),"")</f>
        <v/>
      </c>
      <c r="H397" s="7" t="str">
        <f>IFERROR(__xludf.DUMMYFUNCTION("""COMPUTED_VALUE"""),"  ")</f>
        <v/>
      </c>
    </row>
    <row r="398">
      <c r="A398" s="6"/>
      <c r="B398" s="6"/>
      <c r="C398" s="8" t="str">
        <f>IFERROR(__xludf.DUMMYFUNCTION("""COMPUTED_VALUE"""),"")</f>
        <v/>
      </c>
      <c r="D398" s="6"/>
      <c r="E398" s="6"/>
      <c r="F398" s="7" t="str">
        <f>IFERROR(__xludf.DUMMYFUNCTION("""COMPUTED_VALUE"""),"  ")</f>
        <v/>
      </c>
      <c r="G398" s="6" t="str">
        <f>IFERROR(__xludf.DUMMYFUNCTION("""COMPUTED_VALUE"""),"")</f>
        <v/>
      </c>
      <c r="H398" s="7" t="str">
        <f>IFERROR(__xludf.DUMMYFUNCTION("""COMPUTED_VALUE"""),"  ")</f>
        <v/>
      </c>
    </row>
    <row r="399">
      <c r="A399" s="6"/>
      <c r="B399" s="6"/>
      <c r="C399" s="8" t="str">
        <f>IFERROR(__xludf.DUMMYFUNCTION("""COMPUTED_VALUE"""),"")</f>
        <v/>
      </c>
      <c r="D399" s="6"/>
      <c r="E399" s="6"/>
      <c r="F399" s="7" t="str">
        <f>IFERROR(__xludf.DUMMYFUNCTION("""COMPUTED_VALUE"""),"  ")</f>
        <v/>
      </c>
      <c r="G399" s="6" t="str">
        <f>IFERROR(__xludf.DUMMYFUNCTION("""COMPUTED_VALUE"""),"")</f>
        <v/>
      </c>
      <c r="H399" s="7" t="str">
        <f>IFERROR(__xludf.DUMMYFUNCTION("""COMPUTED_VALUE"""),"  ")</f>
        <v/>
      </c>
    </row>
    <row r="400">
      <c r="A400" s="6"/>
      <c r="B400" s="6"/>
      <c r="C400" s="8" t="str">
        <f>IFERROR(__xludf.DUMMYFUNCTION("""COMPUTED_VALUE"""),"")</f>
        <v/>
      </c>
      <c r="D400" s="6"/>
      <c r="E400" s="6"/>
      <c r="F400" s="7" t="str">
        <f>IFERROR(__xludf.DUMMYFUNCTION("""COMPUTED_VALUE"""),"  ")</f>
        <v/>
      </c>
      <c r="G400" s="6" t="str">
        <f>IFERROR(__xludf.DUMMYFUNCTION("""COMPUTED_VALUE"""),"")</f>
        <v/>
      </c>
      <c r="H400" s="7" t="str">
        <f>IFERROR(__xludf.DUMMYFUNCTION("""COMPUTED_VALUE"""),"  ")</f>
        <v/>
      </c>
    </row>
    <row r="401">
      <c r="A401" s="6"/>
      <c r="B401" s="6"/>
      <c r="C401" s="8" t="str">
        <f>IFERROR(__xludf.DUMMYFUNCTION("""COMPUTED_VALUE"""),"")</f>
        <v/>
      </c>
      <c r="D401" s="6"/>
      <c r="E401" s="6"/>
      <c r="F401" s="7" t="str">
        <f>IFERROR(__xludf.DUMMYFUNCTION("""COMPUTED_VALUE"""),"  ")</f>
        <v/>
      </c>
      <c r="G401" s="6" t="str">
        <f>IFERROR(__xludf.DUMMYFUNCTION("""COMPUTED_VALUE"""),"")</f>
        <v/>
      </c>
      <c r="H401" s="7" t="str">
        <f>IFERROR(__xludf.DUMMYFUNCTION("""COMPUTED_VALUE"""),"  ")</f>
        <v/>
      </c>
    </row>
    <row r="402">
      <c r="A402" s="6"/>
      <c r="B402" s="6"/>
      <c r="C402" s="8" t="str">
        <f>IFERROR(__xludf.DUMMYFUNCTION("""COMPUTED_VALUE"""),"")</f>
        <v/>
      </c>
      <c r="D402" s="6"/>
      <c r="E402" s="6"/>
      <c r="F402" s="7" t="str">
        <f>IFERROR(__xludf.DUMMYFUNCTION("""COMPUTED_VALUE"""),"  ")</f>
        <v/>
      </c>
      <c r="G402" s="6" t="str">
        <f>IFERROR(__xludf.DUMMYFUNCTION("""COMPUTED_VALUE"""),"")</f>
        <v/>
      </c>
      <c r="H402" s="7" t="str">
        <f>IFERROR(__xludf.DUMMYFUNCTION("""COMPUTED_VALUE"""),"  ")</f>
        <v/>
      </c>
    </row>
    <row r="403">
      <c r="A403" s="6"/>
      <c r="B403" s="6"/>
      <c r="C403" s="8" t="str">
        <f>IFERROR(__xludf.DUMMYFUNCTION("""COMPUTED_VALUE"""),"")</f>
        <v/>
      </c>
      <c r="D403" s="6"/>
      <c r="E403" s="6"/>
      <c r="F403" s="7" t="str">
        <f>IFERROR(__xludf.DUMMYFUNCTION("""COMPUTED_VALUE"""),"  ")</f>
        <v/>
      </c>
      <c r="G403" s="6" t="str">
        <f>IFERROR(__xludf.DUMMYFUNCTION("""COMPUTED_VALUE"""),"")</f>
        <v/>
      </c>
      <c r="H403" s="7" t="str">
        <f>IFERROR(__xludf.DUMMYFUNCTION("""COMPUTED_VALUE"""),"  ")</f>
        <v/>
      </c>
    </row>
    <row r="404">
      <c r="A404" s="6"/>
      <c r="B404" s="6"/>
      <c r="C404" s="8" t="str">
        <f>IFERROR(__xludf.DUMMYFUNCTION("""COMPUTED_VALUE"""),"")</f>
        <v/>
      </c>
      <c r="D404" s="6"/>
      <c r="E404" s="6"/>
      <c r="F404" s="7" t="str">
        <f>IFERROR(__xludf.DUMMYFUNCTION("""COMPUTED_VALUE"""),"  ")</f>
        <v/>
      </c>
      <c r="G404" s="6" t="str">
        <f>IFERROR(__xludf.DUMMYFUNCTION("""COMPUTED_VALUE"""),"")</f>
        <v/>
      </c>
      <c r="H404" s="7" t="str">
        <f>IFERROR(__xludf.DUMMYFUNCTION("""COMPUTED_VALUE"""),"  ")</f>
        <v/>
      </c>
    </row>
    <row r="405">
      <c r="A405" s="6"/>
      <c r="B405" s="6"/>
      <c r="C405" s="8" t="str">
        <f>IFERROR(__xludf.DUMMYFUNCTION("""COMPUTED_VALUE"""),"")</f>
        <v/>
      </c>
      <c r="D405" s="6"/>
      <c r="E405" s="6"/>
      <c r="F405" s="7" t="str">
        <f>IFERROR(__xludf.DUMMYFUNCTION("""COMPUTED_VALUE"""),"  ")</f>
        <v/>
      </c>
      <c r="G405" s="6" t="str">
        <f>IFERROR(__xludf.DUMMYFUNCTION("""COMPUTED_VALUE"""),"")</f>
        <v/>
      </c>
      <c r="H405" s="7" t="str">
        <f>IFERROR(__xludf.DUMMYFUNCTION("""COMPUTED_VALUE"""),"  ")</f>
        <v/>
      </c>
    </row>
    <row r="406">
      <c r="A406" s="6"/>
      <c r="B406" s="6"/>
      <c r="C406" s="8" t="str">
        <f>IFERROR(__xludf.DUMMYFUNCTION("""COMPUTED_VALUE"""),"")</f>
        <v/>
      </c>
      <c r="D406" s="6"/>
      <c r="E406" s="6"/>
      <c r="F406" s="7" t="str">
        <f>IFERROR(__xludf.DUMMYFUNCTION("""COMPUTED_VALUE"""),"  ")</f>
        <v/>
      </c>
      <c r="G406" s="6" t="str">
        <f>IFERROR(__xludf.DUMMYFUNCTION("""COMPUTED_VALUE"""),"")</f>
        <v/>
      </c>
      <c r="H406" s="7" t="str">
        <f>IFERROR(__xludf.DUMMYFUNCTION("""COMPUTED_VALUE"""),"  ")</f>
        <v/>
      </c>
    </row>
    <row r="407">
      <c r="A407" s="6"/>
      <c r="B407" s="6"/>
      <c r="C407" s="8" t="str">
        <f>IFERROR(__xludf.DUMMYFUNCTION("""COMPUTED_VALUE"""),"")</f>
        <v/>
      </c>
      <c r="D407" s="6"/>
      <c r="E407" s="6"/>
      <c r="F407" s="7" t="str">
        <f>IFERROR(__xludf.DUMMYFUNCTION("""COMPUTED_VALUE"""),"  ")</f>
        <v/>
      </c>
      <c r="G407" s="6" t="str">
        <f>IFERROR(__xludf.DUMMYFUNCTION("""COMPUTED_VALUE"""),"")</f>
        <v/>
      </c>
      <c r="H407" s="7" t="str">
        <f>IFERROR(__xludf.DUMMYFUNCTION("""COMPUTED_VALUE"""),"  ")</f>
        <v/>
      </c>
    </row>
    <row r="408">
      <c r="A408" s="6"/>
      <c r="B408" s="6"/>
      <c r="C408" s="8" t="str">
        <f>IFERROR(__xludf.DUMMYFUNCTION("""COMPUTED_VALUE"""),"")</f>
        <v/>
      </c>
      <c r="D408" s="6"/>
      <c r="E408" s="6"/>
      <c r="F408" s="7" t="str">
        <f>IFERROR(__xludf.DUMMYFUNCTION("""COMPUTED_VALUE"""),"  ")</f>
        <v/>
      </c>
      <c r="G408" s="6" t="str">
        <f>IFERROR(__xludf.DUMMYFUNCTION("""COMPUTED_VALUE"""),"")</f>
        <v/>
      </c>
      <c r="H408" s="7" t="str">
        <f>IFERROR(__xludf.DUMMYFUNCTION("""COMPUTED_VALUE"""),"  ")</f>
        <v/>
      </c>
    </row>
    <row r="409">
      <c r="A409" s="6"/>
      <c r="B409" s="6"/>
      <c r="C409" s="8" t="str">
        <f>IFERROR(__xludf.DUMMYFUNCTION("""COMPUTED_VALUE"""),"")</f>
        <v/>
      </c>
      <c r="D409" s="6"/>
      <c r="E409" s="6"/>
      <c r="F409" s="7" t="str">
        <f>IFERROR(__xludf.DUMMYFUNCTION("""COMPUTED_VALUE"""),"  ")</f>
        <v/>
      </c>
      <c r="G409" s="6" t="str">
        <f>IFERROR(__xludf.DUMMYFUNCTION("""COMPUTED_VALUE"""),"")</f>
        <v/>
      </c>
      <c r="H409" s="7" t="str">
        <f>IFERROR(__xludf.DUMMYFUNCTION("""COMPUTED_VALUE"""),"  ")</f>
        <v/>
      </c>
    </row>
    <row r="410">
      <c r="A410" s="6"/>
      <c r="B410" s="6"/>
      <c r="C410" s="8" t="str">
        <f>IFERROR(__xludf.DUMMYFUNCTION("""COMPUTED_VALUE"""),"")</f>
        <v/>
      </c>
      <c r="D410" s="6"/>
      <c r="E410" s="6"/>
      <c r="F410" s="7" t="str">
        <f>IFERROR(__xludf.DUMMYFUNCTION("""COMPUTED_VALUE"""),"  ")</f>
        <v/>
      </c>
      <c r="G410" s="6" t="str">
        <f>IFERROR(__xludf.DUMMYFUNCTION("""COMPUTED_VALUE"""),"")</f>
        <v/>
      </c>
      <c r="H410" s="7" t="str">
        <f>IFERROR(__xludf.DUMMYFUNCTION("""COMPUTED_VALUE"""),"  ")</f>
        <v/>
      </c>
    </row>
    <row r="411">
      <c r="A411" s="6"/>
      <c r="B411" s="6"/>
      <c r="C411" s="8" t="str">
        <f>IFERROR(__xludf.DUMMYFUNCTION("""COMPUTED_VALUE"""),"")</f>
        <v/>
      </c>
      <c r="D411" s="6"/>
      <c r="E411" s="6"/>
      <c r="F411" s="7" t="str">
        <f>IFERROR(__xludf.DUMMYFUNCTION("""COMPUTED_VALUE"""),"  ")</f>
        <v/>
      </c>
      <c r="G411" s="6" t="str">
        <f>IFERROR(__xludf.DUMMYFUNCTION("""COMPUTED_VALUE"""),"")</f>
        <v/>
      </c>
      <c r="H411" s="7" t="str">
        <f>IFERROR(__xludf.DUMMYFUNCTION("""COMPUTED_VALUE"""),"  ")</f>
        <v/>
      </c>
    </row>
    <row r="412">
      <c r="A412" s="6"/>
      <c r="B412" s="6"/>
      <c r="C412" s="8" t="str">
        <f>IFERROR(__xludf.DUMMYFUNCTION("""COMPUTED_VALUE"""),"")</f>
        <v/>
      </c>
      <c r="D412" s="6"/>
      <c r="E412" s="6"/>
      <c r="F412" s="7" t="str">
        <f>IFERROR(__xludf.DUMMYFUNCTION("""COMPUTED_VALUE"""),"  ")</f>
        <v/>
      </c>
      <c r="G412" s="6" t="str">
        <f>IFERROR(__xludf.DUMMYFUNCTION("""COMPUTED_VALUE"""),"")</f>
        <v/>
      </c>
      <c r="H412" s="7" t="str">
        <f>IFERROR(__xludf.DUMMYFUNCTION("""COMPUTED_VALUE"""),"  ")</f>
        <v/>
      </c>
    </row>
    <row r="413">
      <c r="A413" s="6"/>
      <c r="B413" s="6"/>
      <c r="C413" s="8" t="str">
        <f>IFERROR(__xludf.DUMMYFUNCTION("""COMPUTED_VALUE"""),"")</f>
        <v/>
      </c>
      <c r="D413" s="6"/>
      <c r="E413" s="6"/>
      <c r="F413" s="7" t="str">
        <f>IFERROR(__xludf.DUMMYFUNCTION("""COMPUTED_VALUE"""),"  ")</f>
        <v/>
      </c>
      <c r="G413" s="6" t="str">
        <f>IFERROR(__xludf.DUMMYFUNCTION("""COMPUTED_VALUE"""),"")</f>
        <v/>
      </c>
      <c r="H413" s="7" t="str">
        <f>IFERROR(__xludf.DUMMYFUNCTION("""COMPUTED_VALUE"""),"  ")</f>
        <v/>
      </c>
    </row>
    <row r="414">
      <c r="A414" s="6"/>
      <c r="B414" s="6"/>
      <c r="C414" s="8" t="str">
        <f>IFERROR(__xludf.DUMMYFUNCTION("""COMPUTED_VALUE"""),"")</f>
        <v/>
      </c>
      <c r="D414" s="6"/>
      <c r="E414" s="6"/>
      <c r="F414" s="7" t="str">
        <f>IFERROR(__xludf.DUMMYFUNCTION("""COMPUTED_VALUE"""),"  ")</f>
        <v/>
      </c>
      <c r="G414" s="6" t="str">
        <f>IFERROR(__xludf.DUMMYFUNCTION("""COMPUTED_VALUE"""),"")</f>
        <v/>
      </c>
      <c r="H414" s="7" t="str">
        <f>IFERROR(__xludf.DUMMYFUNCTION("""COMPUTED_VALUE"""),"  ")</f>
        <v/>
      </c>
    </row>
    <row r="415">
      <c r="A415" s="6"/>
      <c r="B415" s="6"/>
      <c r="C415" s="8" t="str">
        <f>IFERROR(__xludf.DUMMYFUNCTION("""COMPUTED_VALUE"""),"")</f>
        <v/>
      </c>
      <c r="D415" s="6"/>
      <c r="E415" s="6"/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6"/>
      <c r="B416" s="6"/>
      <c r="C416" s="8" t="str">
        <f>IFERROR(__xludf.DUMMYFUNCTION("""COMPUTED_VALUE"""),"")</f>
        <v/>
      </c>
      <c r="D416" s="6"/>
      <c r="E416" s="6"/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6"/>
      <c r="B417" s="6"/>
      <c r="C417" s="8" t="str">
        <f>IFERROR(__xludf.DUMMYFUNCTION("""COMPUTED_VALUE"""),"")</f>
        <v/>
      </c>
      <c r="D417" s="6"/>
      <c r="E417" s="6"/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6"/>
      <c r="B418" s="6"/>
      <c r="C418" s="8" t="str">
        <f>IFERROR(__xludf.DUMMYFUNCTION("""COMPUTED_VALUE"""),"")</f>
        <v/>
      </c>
      <c r="D418" s="6"/>
      <c r="E418" s="6"/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6"/>
      <c r="B419" s="6"/>
      <c r="C419" s="8" t="str">
        <f>IFERROR(__xludf.DUMMYFUNCTION("""COMPUTED_VALUE"""),"")</f>
        <v/>
      </c>
      <c r="D419" s="6"/>
      <c r="E419" s="6"/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6"/>
      <c r="B420" s="6"/>
      <c r="C420" s="8" t="str">
        <f>IFERROR(__xludf.DUMMYFUNCTION("""COMPUTED_VALUE"""),"")</f>
        <v/>
      </c>
      <c r="D420" s="6"/>
      <c r="E420" s="6"/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6"/>
      <c r="B421" s="6"/>
      <c r="C421" s="8" t="str">
        <f>IFERROR(__xludf.DUMMYFUNCTION("""COMPUTED_VALUE"""),"")</f>
        <v/>
      </c>
      <c r="D421" s="6"/>
      <c r="E421" s="6"/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6"/>
      <c r="B422" s="6"/>
      <c r="C422" s="8" t="str">
        <f>IFERROR(__xludf.DUMMYFUNCTION("""COMPUTED_VALUE"""),"")</f>
        <v/>
      </c>
      <c r="D422" s="6"/>
      <c r="E422" s="6"/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6"/>
      <c r="B423" s="6"/>
      <c r="C423" s="8" t="str">
        <f>IFERROR(__xludf.DUMMYFUNCTION("""COMPUTED_VALUE"""),"")</f>
        <v/>
      </c>
      <c r="D423" s="6"/>
      <c r="E423" s="6"/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6"/>
      <c r="B424" s="6"/>
      <c r="C424" s="8" t="str">
        <f>IFERROR(__xludf.DUMMYFUNCTION("""COMPUTED_VALUE"""),"")</f>
        <v/>
      </c>
      <c r="D424" s="6"/>
      <c r="E424" s="6"/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6"/>
      <c r="B425" s="6"/>
      <c r="C425" s="8" t="str">
        <f>IFERROR(__xludf.DUMMYFUNCTION("""COMPUTED_VALUE"""),"")</f>
        <v/>
      </c>
      <c r="D425" s="6"/>
      <c r="E425" s="6"/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