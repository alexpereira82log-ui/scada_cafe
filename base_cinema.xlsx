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IFERROR(__xludf.DUMMYFUNCTION("""COMPUTED_VALUE"""),3522.0)</f>
        <v>3522</v>
      </c>
      <c r="G355" s="1">
        <f>IFERROR(__xludf.DUMMYFUNCTION("""COMPUTED_VALUE"""),66.0)</f>
        <v>66</v>
      </c>
      <c r="H355" s="6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>
        <f>IFERROR(__xludf.DUMMYFUNCTION("""COMPUTED_VALUE"""),2334.51)</f>
        <v>2334.51</v>
      </c>
      <c r="G365" s="1">
        <f>IFERROR(__xludf.DUMMYFUNCTION("""COMPUTED_VALUE"""),57.0)</f>
        <v>57</v>
      </c>
      <c r="H365" s="6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>
        <f>IFERROR(__xludf.DUMMYFUNCTION("""COMPUTED_VALUE"""),0.01)</f>
        <v>0.01</v>
      </c>
      <c r="G366" s="1">
        <f>IFERROR(__xludf.DUMMYFUNCTION("""COMPUTED_VALUE"""),1.0)</f>
        <v>1</v>
      </c>
      <c r="H366" s="6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2" t="str">
        <f>IFERROR(__xludf.DUMMYFUNCTION("""COMPUTED_VALUE"""),"quinta-feira")</f>
        <v>quinta-feira</v>
      </c>
      <c r="D367" s="1">
        <f>IFERROR(__xludf.DUMMYFUNCTION("""COMPUTED_VALUE"""),1.0)</f>
        <v>1</v>
      </c>
      <c r="E367" s="6">
        <f>IFERROR(__xludf.DUMMYFUNCTION("""COMPUTED_VALUE"""),3129.21)</f>
        <v>3129.21</v>
      </c>
      <c r="F367" s="6">
        <f>IFERROR(__xludf.DUMMYFUNCTION("""COMPUTED_VALUE"""),2674.0)</f>
        <v>2674</v>
      </c>
      <c r="G367" s="1">
        <f>IFERROR(__xludf.DUMMYFUNCTION("""COMPUTED_VALUE"""),50.0)</f>
        <v>50</v>
      </c>
      <c r="H367" s="6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2" t="str">
        <f>IFERROR(__xludf.DUMMYFUNCTION("""COMPUTED_VALUE"""),"sexta-feira")</f>
        <v>sexta-feira</v>
      </c>
      <c r="D368" s="1">
        <f>IFERROR(__xludf.DUMMYFUNCTION("""COMPUTED_VALUE"""),2.0)</f>
        <v>2</v>
      </c>
      <c r="E368" s="6">
        <f>IFERROR(__xludf.DUMMYFUNCTION("""COMPUTED_VALUE"""),2824.96)</f>
        <v>2824.96</v>
      </c>
      <c r="F368" s="6">
        <f>IFERROR(__xludf.DUMMYFUNCTION("""COMPUTED_VALUE"""),4655.5)</f>
        <v>4655.5</v>
      </c>
      <c r="G368" s="1">
        <f>IFERROR(__xludf.DUMMYFUNCTION("""COMPUTED_VALUE"""),78.0)</f>
        <v>78</v>
      </c>
      <c r="H368" s="6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2" t="str">
        <f>IFERROR(__xludf.DUMMYFUNCTION("""COMPUTED_VALUE"""),"sábado")</f>
        <v>sábado</v>
      </c>
      <c r="D369" s="1">
        <f>IFERROR(__xludf.DUMMYFUNCTION("""COMPUTED_VALUE"""),1.0)</f>
        <v>1</v>
      </c>
      <c r="E369" s="6">
        <f>IFERROR(__xludf.DUMMYFUNCTION("""COMPUTED_VALUE"""),3969.19)</f>
        <v>3969.19</v>
      </c>
      <c r="F369" s="6">
        <f>IFERROR(__xludf.DUMMYFUNCTION("""COMPUTED_VALUE"""),5409.5)</f>
        <v>5409.5</v>
      </c>
      <c r="G369" s="1">
        <f>IFERROR(__xludf.DUMMYFUNCTION("""COMPUTED_VALUE"""),121.0)</f>
        <v>121</v>
      </c>
      <c r="H369" s="6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2" t="str">
        <f>IFERROR(__xludf.DUMMYFUNCTION("""COMPUTED_VALUE"""),"domingo")</f>
        <v>domingo</v>
      </c>
      <c r="D370" s="1">
        <f>IFERROR(__xludf.DUMMYFUNCTION("""COMPUTED_VALUE"""),2.0)</f>
        <v>2</v>
      </c>
      <c r="E370" s="6">
        <f>IFERROR(__xludf.DUMMYFUNCTION("""COMPUTED_VALUE"""),4064.6)</f>
        <v>4064.6</v>
      </c>
      <c r="F370" s="6">
        <f>IFERROR(__xludf.DUMMYFUNCTION("""COMPUTED_VALUE"""),5360.01)</f>
        <v>5360.01</v>
      </c>
      <c r="G370" s="1">
        <f>IFERROR(__xludf.DUMMYFUNCTION("""COMPUTED_VALUE"""),110.0)</f>
        <v>110</v>
      </c>
      <c r="H370" s="6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2" t="str">
        <f>IFERROR(__xludf.DUMMYFUNCTION("""COMPUTED_VALUE"""),"segunda-feira")</f>
        <v>segunda-feira</v>
      </c>
      <c r="D371" s="1">
        <f>IFERROR(__xludf.DUMMYFUNCTION("""COMPUTED_VALUE"""),1.0)</f>
        <v>1</v>
      </c>
      <c r="E371" s="6">
        <f>IFERROR(__xludf.DUMMYFUNCTION("""COMPUTED_VALUE"""),2356.85)</f>
        <v>2356.85</v>
      </c>
      <c r="F371" s="6">
        <f>IFERROR(__xludf.DUMMYFUNCTION("""COMPUTED_VALUE"""),2465.0)</f>
        <v>2465</v>
      </c>
      <c r="G371" s="1">
        <f>IFERROR(__xludf.DUMMYFUNCTION("""COMPUTED_VALUE"""),56.0)</f>
        <v>56</v>
      </c>
      <c r="H371" s="6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2" t="str">
        <f>IFERROR(__xludf.DUMMYFUNCTION("""COMPUTED_VALUE"""),"terça-feira")</f>
        <v>terça-feira</v>
      </c>
      <c r="D372" s="1">
        <f>IFERROR(__xludf.DUMMYFUNCTION("""COMPUTED_VALUE"""),2.0)</f>
        <v>2</v>
      </c>
      <c r="E372" s="6">
        <f>IFERROR(__xludf.DUMMYFUNCTION("""COMPUTED_VALUE"""),2287.03)</f>
        <v>2287.03</v>
      </c>
      <c r="F372" s="6">
        <f>IFERROR(__xludf.DUMMYFUNCTION("""COMPUTED_VALUE"""),2457.51)</f>
        <v>2457.51</v>
      </c>
      <c r="G372" s="1">
        <f>IFERROR(__xludf.DUMMYFUNCTION("""COMPUTED_VALUE"""),56.0)</f>
        <v>56</v>
      </c>
      <c r="H372" s="6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2" t="str">
        <f>IFERROR(__xludf.DUMMYFUNCTION("""COMPUTED_VALUE"""),"quarta-feira")</f>
        <v>quarta-feira</v>
      </c>
      <c r="D373" s="1">
        <f>IFERROR(__xludf.DUMMYFUNCTION("""COMPUTED_VALUE"""),1.0)</f>
        <v>1</v>
      </c>
      <c r="E373" s="6">
        <f>IFERROR(__xludf.DUMMYFUNCTION("""COMPUTED_VALUE"""),2757.4)</f>
        <v>2757.4</v>
      </c>
      <c r="F373" s="6">
        <f>IFERROR(__xludf.DUMMYFUNCTION("""COMPUTED_VALUE"""),3659.0)</f>
        <v>3659</v>
      </c>
      <c r="G373" s="1">
        <f>IFERROR(__xludf.DUMMYFUNCTION("""COMPUTED_VALUE"""),79.0)</f>
        <v>79</v>
      </c>
      <c r="H373" s="6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2" t="str">
        <f>IFERROR(__xludf.DUMMYFUNCTION("""COMPUTED_VALUE"""),"quinta-feira")</f>
        <v>quinta-feira</v>
      </c>
      <c r="D374" s="1">
        <f>IFERROR(__xludf.DUMMYFUNCTION("""COMPUTED_VALUE"""),2.0)</f>
        <v>2</v>
      </c>
      <c r="E374" s="6">
        <f>IFERROR(__xludf.DUMMYFUNCTION("""COMPUTED_VALUE"""),3129.21)</f>
        <v>3129.21</v>
      </c>
      <c r="F374" s="6">
        <f>IFERROR(__xludf.DUMMYFUNCTION("""COMPUTED_VALUE"""),2701.5)</f>
        <v>2701.5</v>
      </c>
      <c r="G374" s="1">
        <f>IFERROR(__xludf.DUMMYFUNCTION("""COMPUTED_VALUE"""),57.0)</f>
        <v>57</v>
      </c>
      <c r="H374" s="6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2" t="str">
        <f>IFERROR(__xludf.DUMMYFUNCTION("""COMPUTED_VALUE"""),"sexta-feira")</f>
        <v>sexta-feira</v>
      </c>
      <c r="D375" s="1">
        <f>IFERROR(__xludf.DUMMYFUNCTION("""COMPUTED_VALUE"""),1.0)</f>
        <v>1</v>
      </c>
      <c r="E375" s="6">
        <f>IFERROR(__xludf.DUMMYFUNCTION("""COMPUTED_VALUE"""),2824.96)</f>
        <v>2824.96</v>
      </c>
      <c r="F375" s="6">
        <f>IFERROR(__xludf.DUMMYFUNCTION("""COMPUTED_VALUE"""),3397.5)</f>
        <v>3397.5</v>
      </c>
      <c r="G375" s="1">
        <f>IFERROR(__xludf.DUMMYFUNCTION("""COMPUTED_VALUE"""),79.0)</f>
        <v>79</v>
      </c>
      <c r="H375" s="6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2" t="str">
        <f>IFERROR(__xludf.DUMMYFUNCTION("""COMPUTED_VALUE"""),"sábado")</f>
        <v>sábado</v>
      </c>
      <c r="D376" s="1">
        <f>IFERROR(__xludf.DUMMYFUNCTION("""COMPUTED_VALUE"""),2.0)</f>
        <v>2</v>
      </c>
      <c r="E376" s="6">
        <f>IFERROR(__xludf.DUMMYFUNCTION("""COMPUTED_VALUE"""),3969.19)</f>
        <v>3969.19</v>
      </c>
      <c r="F376" s="6">
        <f>IFERROR(__xludf.DUMMYFUNCTION("""COMPUTED_VALUE"""),5844.01)</f>
        <v>5844.01</v>
      </c>
      <c r="G376" s="1">
        <f>IFERROR(__xludf.DUMMYFUNCTION("""COMPUTED_VALUE"""),117.0)</f>
        <v>117</v>
      </c>
      <c r="H376" s="6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2" t="str">
        <f>IFERROR(__xludf.DUMMYFUNCTION("""COMPUTED_VALUE"""),"domingo")</f>
        <v>domingo</v>
      </c>
      <c r="D377" s="1">
        <f>IFERROR(__xludf.DUMMYFUNCTION("""COMPUTED_VALUE"""),1.0)</f>
        <v>1</v>
      </c>
      <c r="E377" s="6">
        <f>IFERROR(__xludf.DUMMYFUNCTION("""COMPUTED_VALUE"""),4064.6)</f>
        <v>4064.6</v>
      </c>
      <c r="F377" s="6">
        <f>IFERROR(__xludf.DUMMYFUNCTION("""COMPUTED_VALUE"""),5247.0)</f>
        <v>5247</v>
      </c>
      <c r="G377" s="1">
        <f>IFERROR(__xludf.DUMMYFUNCTION("""COMPUTED_VALUE"""),98.0)</f>
        <v>98</v>
      </c>
      <c r="H377" s="6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2" t="str">
        <f>IFERROR(__xludf.DUMMYFUNCTION("""COMPUTED_VALUE"""),"segunda-feira")</f>
        <v>segunda-feira</v>
      </c>
      <c r="D378" s="1">
        <f>IFERROR(__xludf.DUMMYFUNCTION("""COMPUTED_VALUE"""),2.0)</f>
        <v>2</v>
      </c>
      <c r="E378" s="6">
        <f>IFERROR(__xludf.DUMMYFUNCTION("""COMPUTED_VALUE"""),2356.85)</f>
        <v>2356.85</v>
      </c>
      <c r="F378" s="6">
        <f>IFERROR(__xludf.DUMMYFUNCTION("""COMPUTED_VALUE"""),2547.5)</f>
        <v>2547.5</v>
      </c>
      <c r="G378" s="1">
        <f>IFERROR(__xludf.DUMMYFUNCTION("""COMPUTED_VALUE"""),62.0)</f>
        <v>62</v>
      </c>
      <c r="H378" s="6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2" t="str">
        <f>IFERROR(__xludf.DUMMYFUNCTION("""COMPUTED_VALUE"""),"terça-feira")</f>
        <v>terça-feira</v>
      </c>
      <c r="D379" s="1">
        <f>IFERROR(__xludf.DUMMYFUNCTION("""COMPUTED_VALUE"""),1.0)</f>
        <v>1</v>
      </c>
      <c r="E379" s="6">
        <f>IFERROR(__xludf.DUMMYFUNCTION("""COMPUTED_VALUE"""),2287.03)</f>
        <v>2287.03</v>
      </c>
      <c r="F379" s="6">
        <f>IFERROR(__xludf.DUMMYFUNCTION("""COMPUTED_VALUE"""),1989.0)</f>
        <v>1989</v>
      </c>
      <c r="G379" s="1">
        <f>IFERROR(__xludf.DUMMYFUNCTION("""COMPUTED_VALUE"""),47.0)</f>
        <v>47</v>
      </c>
      <c r="H379" s="6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2" t="str">
        <f>IFERROR(__xludf.DUMMYFUNCTION("""COMPUTED_VALUE"""),"quarta-feira")</f>
        <v>quarta-feira</v>
      </c>
      <c r="D380" s="1">
        <f>IFERROR(__xludf.DUMMYFUNCTION("""COMPUTED_VALUE"""),2.0)</f>
        <v>2</v>
      </c>
      <c r="E380" s="6">
        <f>IFERROR(__xludf.DUMMYFUNCTION("""COMPUTED_VALUE"""),2757.4)</f>
        <v>2757.4</v>
      </c>
      <c r="F380" s="6">
        <f>IFERROR(__xludf.DUMMYFUNCTION("""COMPUTED_VALUE"""),3473.04)</f>
        <v>3473.04</v>
      </c>
      <c r="G380" s="1">
        <f>IFERROR(__xludf.DUMMYFUNCTION("""COMPUTED_VALUE"""),68.0)</f>
        <v>68</v>
      </c>
      <c r="H380" s="6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2" t="str">
        <f>IFERROR(__xludf.DUMMYFUNCTION("""COMPUTED_VALUE"""),"quinta-feira")</f>
        <v>quinta-feira</v>
      </c>
      <c r="D381" s="1">
        <f>IFERROR(__xludf.DUMMYFUNCTION("""COMPUTED_VALUE"""),1.0)</f>
        <v>1</v>
      </c>
      <c r="E381" s="6">
        <f>IFERROR(__xludf.DUMMYFUNCTION("""COMPUTED_VALUE"""),3129.21)</f>
        <v>3129.21</v>
      </c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2" t="str">
        <f>IFERROR(__xludf.DUMMYFUNCTION("""COMPUTED_VALUE"""),"sexta-feira")</f>
        <v>sexta-feira</v>
      </c>
      <c r="D382" s="1">
        <f>IFERROR(__xludf.DUMMYFUNCTION("""COMPUTED_VALUE"""),2.0)</f>
        <v>2</v>
      </c>
      <c r="E382" s="6">
        <f>IFERROR(__xludf.DUMMYFUNCTION("""COMPUTED_VALUE"""),2824.96)</f>
        <v>2824.96</v>
      </c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2" t="str">
        <f>IFERROR(__xludf.DUMMYFUNCTION("""COMPUTED_VALUE"""),"sábado")</f>
        <v>sábado</v>
      </c>
      <c r="D383" s="1">
        <f>IFERROR(__xludf.DUMMYFUNCTION("""COMPUTED_VALUE"""),1.0)</f>
        <v>1</v>
      </c>
      <c r="E383" s="6">
        <f>IFERROR(__xludf.DUMMYFUNCTION("""COMPUTED_VALUE"""),3969.19)</f>
        <v>3969.19</v>
      </c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2" t="str">
        <f>IFERROR(__xludf.DUMMYFUNCTION("""COMPUTED_VALUE"""),"domingo")</f>
        <v>domingo</v>
      </c>
      <c r="D384" s="1">
        <f>IFERROR(__xludf.DUMMYFUNCTION("""COMPUTED_VALUE"""),2.0)</f>
        <v>2</v>
      </c>
      <c r="E384" s="6">
        <f>IFERROR(__xludf.DUMMYFUNCTION("""COMPUTED_VALUE"""),4064.6)</f>
        <v>4064.6</v>
      </c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2" t="str">
        <f>IFERROR(__xludf.DUMMYFUNCTION("""COMPUTED_VALUE"""),"segunda-feira")</f>
        <v>segunda-feira</v>
      </c>
      <c r="D385" s="1">
        <f>IFERROR(__xludf.DUMMYFUNCTION("""COMPUTED_VALUE"""),1.0)</f>
        <v>1</v>
      </c>
      <c r="E385" s="6">
        <f>IFERROR(__xludf.DUMMYFUNCTION("""COMPUTED_VALUE"""),2356.85)</f>
        <v>2356.85</v>
      </c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2" t="str">
        <f>IFERROR(__xludf.DUMMYFUNCTION("""COMPUTED_VALUE"""),"terça-feira")</f>
        <v>terça-feira</v>
      </c>
      <c r="D386" s="1">
        <f>IFERROR(__xludf.DUMMYFUNCTION("""COMPUTED_VALUE"""),2.0)</f>
        <v>2</v>
      </c>
      <c r="E386" s="6">
        <f>IFERROR(__xludf.DUMMYFUNCTION("""COMPUTED_VALUE"""),2287.03)</f>
        <v>2287.03</v>
      </c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2" t="str">
        <f>IFERROR(__xludf.DUMMYFUNCTION("""COMPUTED_VALUE"""),"quarta-feira")</f>
        <v>quarta-feira</v>
      </c>
      <c r="D387" s="1">
        <f>IFERROR(__xludf.DUMMYFUNCTION("""COMPUTED_VALUE"""),1.0)</f>
        <v>1</v>
      </c>
      <c r="E387" s="6">
        <f>IFERROR(__xludf.DUMMYFUNCTION("""COMPUTED_VALUE"""),2757.4)</f>
        <v>2757.4</v>
      </c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2" t="str">
        <f>IFERROR(__xludf.DUMMYFUNCTION("""COMPUTED_VALUE"""),"quinta-feira")</f>
        <v>quinta-feira</v>
      </c>
      <c r="D388" s="1">
        <f>IFERROR(__xludf.DUMMYFUNCTION("""COMPUTED_VALUE"""),2.0)</f>
        <v>2</v>
      </c>
      <c r="E388" s="6">
        <f>IFERROR(__xludf.DUMMYFUNCTION("""COMPUTED_VALUE"""),3129.21)</f>
        <v>3129.21</v>
      </c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2" t="str">
        <f>IFERROR(__xludf.DUMMYFUNCTION("""COMPUTED_VALUE"""),"sexta-feira")</f>
        <v>sexta-feira</v>
      </c>
      <c r="D389" s="1">
        <f>IFERROR(__xludf.DUMMYFUNCTION("""COMPUTED_VALUE"""),1.0)</f>
        <v>1</v>
      </c>
      <c r="E389" s="6">
        <f>IFERROR(__xludf.DUMMYFUNCTION("""COMPUTED_VALUE"""),2824.96)</f>
        <v>2824.96</v>
      </c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2" t="str">
        <f>IFERROR(__xludf.DUMMYFUNCTION("""COMPUTED_VALUE"""),"sábado")</f>
        <v>sábado</v>
      </c>
      <c r="D390" s="1">
        <f>IFERROR(__xludf.DUMMYFUNCTION("""COMPUTED_VALUE"""),2.0)</f>
        <v>2</v>
      </c>
      <c r="E390" s="6">
        <f>IFERROR(__xludf.DUMMYFUNCTION("""COMPUTED_VALUE"""),3969.19)</f>
        <v>3969.19</v>
      </c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2" t="str">
        <f>IFERROR(__xludf.DUMMYFUNCTION("""COMPUTED_VALUE"""),"domingo")</f>
        <v>domingo</v>
      </c>
      <c r="D391" s="1">
        <f>IFERROR(__xludf.DUMMYFUNCTION("""COMPUTED_VALUE"""),1.0)</f>
        <v>1</v>
      </c>
      <c r="E391" s="6">
        <f>IFERROR(__xludf.DUMMYFUNCTION("""COMPUTED_VALUE"""),4064.6)</f>
        <v>4064.6</v>
      </c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2" t="str">
        <f>IFERROR(__xludf.DUMMYFUNCTION("""COMPUTED_VALUE"""),"segunda-feira")</f>
        <v>segunda-feira</v>
      </c>
      <c r="D392" s="1">
        <f>IFERROR(__xludf.DUMMYFUNCTION("""COMPUTED_VALUE"""),2.0)</f>
        <v>2</v>
      </c>
      <c r="E392" s="6">
        <f>IFERROR(__xludf.DUMMYFUNCTION("""COMPUTED_VALUE"""),2356.85)</f>
        <v>2356.85</v>
      </c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2" t="str">
        <f>IFERROR(__xludf.DUMMYFUNCTION("""COMPUTED_VALUE"""),"terça-feira")</f>
        <v>terça-feira</v>
      </c>
      <c r="D393" s="1">
        <f>IFERROR(__xludf.DUMMYFUNCTION("""COMPUTED_VALUE"""),1.0)</f>
        <v>1</v>
      </c>
      <c r="E393" s="6">
        <f>IFERROR(__xludf.DUMMYFUNCTION("""COMPUTED_VALUE"""),2287.03)</f>
        <v>2287.03</v>
      </c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2" t="str">
        <f>IFERROR(__xludf.DUMMYFUNCTION("""COMPUTED_VALUE"""),"quarta-feira")</f>
        <v>quarta-feira</v>
      </c>
      <c r="D394" s="1">
        <f>IFERROR(__xludf.DUMMYFUNCTION("""COMPUTED_VALUE"""),2.0)</f>
        <v>2</v>
      </c>
      <c r="E394" s="6">
        <f>IFERROR(__xludf.DUMMYFUNCTION("""COMPUTED_VALUE"""),2757.4)</f>
        <v>2757.4</v>
      </c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2" t="str">
        <f>IFERROR(__xludf.DUMMYFUNCTION("""COMPUTED_VALUE"""),"quinta-feira")</f>
        <v>quinta-feira</v>
      </c>
      <c r="D395" s="1">
        <f>IFERROR(__xludf.DUMMYFUNCTION("""COMPUTED_VALUE"""),1.0)</f>
        <v>1</v>
      </c>
      <c r="E395" s="6">
        <f>IFERROR(__xludf.DUMMYFUNCTION("""COMPUTED_VALUE"""),3129.21)</f>
        <v>3129.21</v>
      </c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2" t="str">
        <f>IFERROR(__xludf.DUMMYFUNCTION("""COMPUTED_VALUE"""),"sexta-feira")</f>
        <v>sexta-feira</v>
      </c>
      <c r="D396" s="1">
        <f>IFERROR(__xludf.DUMMYFUNCTION("""COMPUTED_VALUE"""),2.0)</f>
        <v>2</v>
      </c>
      <c r="E396" s="6">
        <f>IFERROR(__xludf.DUMMYFUNCTION("""COMPUTED_VALUE"""),2824.96)</f>
        <v>2824.96</v>
      </c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2" t="str">
        <f>IFERROR(__xludf.DUMMYFUNCTION("""COMPUTED_VALUE"""),"sábado")</f>
        <v>sábado</v>
      </c>
      <c r="D397" s="1">
        <f>IFERROR(__xludf.DUMMYFUNCTION("""COMPUTED_VALUE"""),1.0)</f>
        <v>1</v>
      </c>
      <c r="E397" s="6">
        <f>IFERROR(__xludf.DUMMYFUNCTION("""COMPUTED_VALUE"""),3969.19)</f>
        <v>3969.19</v>
      </c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