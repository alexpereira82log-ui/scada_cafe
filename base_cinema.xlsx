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6">
        <f>IFERROR(__xludf.DUMMYFUNCTION("""COMPUTED_VALUE"""),2356.85)</f>
        <v>2356.85</v>
      </c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6">
        <f>IFERROR(__xludf.DUMMYFUNCTION("""COMPUTED_VALUE"""),2287.03)</f>
        <v>2287.03</v>
      </c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6">
        <f>IFERROR(__xludf.DUMMYFUNCTION("""COMPUTED_VALUE"""),2757.4)</f>
        <v>2757.4</v>
      </c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6">
        <f>IFERROR(__xludf.DUMMYFUNCTION("""COMPUTED_VALUE"""),3129.21)</f>
        <v>3129.21</v>
      </c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6">
        <f>IFERROR(__xludf.DUMMYFUNCTION("""COMPUTED_VALUE"""),2824.96)</f>
        <v>2824.96</v>
      </c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6">
        <f>IFERROR(__xludf.DUMMYFUNCTION("""COMPUTED_VALUE"""),3969.19)</f>
        <v>3969.19</v>
      </c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6">
        <f>IFERROR(__xludf.DUMMYFUNCTION("""COMPUTED_VALUE"""),4064.6)</f>
        <v>4064.6</v>
      </c>
      <c r="F342" s="6">
        <f>IFERROR(__xludf.DUMMYFUNCTION("""COMPUTED_VALUE"""),3251.01)</f>
        <v>3251.01</v>
      </c>
      <c r="G342" s="1">
        <f>IFERROR(__xludf.DUMMYFUNCTION("""COMPUTED_VALUE"""),87.0)</f>
        <v>87</v>
      </c>
      <c r="H342" s="6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6">
        <f>IFERROR(__xludf.DUMMYFUNCTION("""COMPUTED_VALUE"""),2356.85)</f>
        <v>2356.85</v>
      </c>
      <c r="F343" s="6">
        <f>IFERROR(__xludf.DUMMYFUNCTION("""COMPUTED_VALUE"""),2690.5)</f>
        <v>2690.5</v>
      </c>
      <c r="G343" s="1">
        <f>IFERROR(__xludf.DUMMYFUNCTION("""COMPUTED_VALUE"""),62.0)</f>
        <v>62</v>
      </c>
      <c r="H343" s="6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6">
        <f>IFERROR(__xludf.DUMMYFUNCTION("""COMPUTED_VALUE"""),2287.03)</f>
        <v>2287.03</v>
      </c>
      <c r="F344" s="6">
        <f>IFERROR(__xludf.DUMMYFUNCTION("""COMPUTED_VALUE"""),3328.5)</f>
        <v>3328.5</v>
      </c>
      <c r="G344" s="1">
        <f>IFERROR(__xludf.DUMMYFUNCTION("""COMPUTED_VALUE"""),64.0)</f>
        <v>64</v>
      </c>
      <c r="H344" s="6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6">
        <f>IFERROR(__xludf.DUMMYFUNCTION("""COMPUTED_VALUE"""),2757.4)</f>
        <v>2757.4</v>
      </c>
      <c r="F345" s="6">
        <f>IFERROR(__xludf.DUMMYFUNCTION("""COMPUTED_VALUE"""),2934.01)</f>
        <v>2934.01</v>
      </c>
      <c r="G345" s="1">
        <f>IFERROR(__xludf.DUMMYFUNCTION("""COMPUTED_VALUE"""),63.0)</f>
        <v>63</v>
      </c>
      <c r="H345" s="6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6">
        <f>IFERROR(__xludf.DUMMYFUNCTION("""COMPUTED_VALUE"""),3129.21)</f>
        <v>3129.21</v>
      </c>
      <c r="F346" s="6">
        <f>IFERROR(__xludf.DUMMYFUNCTION("""COMPUTED_VALUE"""),2524.0)</f>
        <v>2524</v>
      </c>
      <c r="G346" s="1">
        <f>IFERROR(__xludf.DUMMYFUNCTION("""COMPUTED_VALUE"""),47.0)</f>
        <v>47</v>
      </c>
      <c r="H346" s="6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6">
        <f>IFERROR(__xludf.DUMMYFUNCTION("""COMPUTED_VALUE"""),2824.96)</f>
        <v>2824.96</v>
      </c>
      <c r="F347" s="6">
        <f>IFERROR(__xludf.DUMMYFUNCTION("""COMPUTED_VALUE"""),2651.0)</f>
        <v>2651</v>
      </c>
      <c r="G347" s="1">
        <f>IFERROR(__xludf.DUMMYFUNCTION("""COMPUTED_VALUE"""),70.0)</f>
        <v>70</v>
      </c>
      <c r="H347" s="6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6">
        <f>IFERROR(__xludf.DUMMYFUNCTION("""COMPUTED_VALUE"""),3969.19)</f>
        <v>3969.19</v>
      </c>
      <c r="F348" s="6">
        <f>IFERROR(__xludf.DUMMYFUNCTION("""COMPUTED_VALUE"""),4429.01)</f>
        <v>4429.01</v>
      </c>
      <c r="G348" s="1">
        <f>IFERROR(__xludf.DUMMYFUNCTION("""COMPUTED_VALUE"""),99.0)</f>
        <v>99</v>
      </c>
      <c r="H348" s="6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6">
        <f>IFERROR(__xludf.DUMMYFUNCTION("""COMPUTED_VALUE"""),4064.6)</f>
        <v>4064.6</v>
      </c>
      <c r="F349" s="6">
        <f>IFERROR(__xludf.DUMMYFUNCTION("""COMPUTED_VALUE"""),2350.5)</f>
        <v>2350.5</v>
      </c>
      <c r="G349" s="1">
        <f>IFERROR(__xludf.DUMMYFUNCTION("""COMPUTED_VALUE"""),49.0)</f>
        <v>49</v>
      </c>
      <c r="H349" s="6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6">
        <f>IFERROR(__xludf.DUMMYFUNCTION("""COMPUTED_VALUE"""),2356.85)</f>
        <v>2356.85</v>
      </c>
      <c r="F350" s="6">
        <f>IFERROR(__xludf.DUMMYFUNCTION("""COMPUTED_VALUE"""),1849.0)</f>
        <v>1849</v>
      </c>
      <c r="G350" s="1">
        <f>IFERROR(__xludf.DUMMYFUNCTION("""COMPUTED_VALUE"""),38.0)</f>
        <v>38</v>
      </c>
      <c r="H350" s="6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6">
        <f>IFERROR(__xludf.DUMMYFUNCTION("""COMPUTED_VALUE"""),2287.03)</f>
        <v>2287.03</v>
      </c>
      <c r="F351" s="6">
        <f>IFERROR(__xludf.DUMMYFUNCTION("""COMPUTED_VALUE"""),1986.51)</f>
        <v>1986.51</v>
      </c>
      <c r="G351" s="1">
        <f>IFERROR(__xludf.DUMMYFUNCTION("""COMPUTED_VALUE"""),49.0)</f>
        <v>49</v>
      </c>
      <c r="H351" s="6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6">
        <f>IFERROR(__xludf.DUMMYFUNCTION("""COMPUTED_VALUE"""),2757.4)</f>
        <v>2757.4</v>
      </c>
      <c r="F352" s="6">
        <f>IFERROR(__xludf.DUMMYFUNCTION("""COMPUTED_VALUE"""),1610.0)</f>
        <v>1610</v>
      </c>
      <c r="G352" s="1">
        <f>IFERROR(__xludf.DUMMYFUNCTION("""COMPUTED_VALUE"""),38.0)</f>
        <v>38</v>
      </c>
      <c r="H352" s="6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6">
        <f>IFERROR(__xludf.DUMMYFUNCTION("""COMPUTED_VALUE"""),3129.21)</f>
        <v>3129.21</v>
      </c>
      <c r="F353" s="6">
        <f>IFERROR(__xludf.DUMMYFUNCTION("""COMPUTED_VALUE"""),2127.5)</f>
        <v>2127.5</v>
      </c>
      <c r="G353" s="1">
        <f>IFERROR(__xludf.DUMMYFUNCTION("""COMPUTED_VALUE"""),44.0)</f>
        <v>44</v>
      </c>
      <c r="H353" s="6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6">
        <f>IFERROR(__xludf.DUMMYFUNCTION("""COMPUTED_VALUE"""),2824.96)</f>
        <v>2824.96</v>
      </c>
      <c r="F354" s="6">
        <f>IFERROR(__xludf.DUMMYFUNCTION("""COMPUTED_VALUE"""),1266.0)</f>
        <v>1266</v>
      </c>
      <c r="G354" s="1">
        <f>IFERROR(__xludf.DUMMYFUNCTION("""COMPUTED_VALUE"""),33.0)</f>
        <v>33</v>
      </c>
      <c r="H354" s="6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6">
        <f>IFERROR(__xludf.DUMMYFUNCTION("""COMPUTED_VALUE"""),3969.19)</f>
        <v>3969.19</v>
      </c>
      <c r="F355" s="6" t="str">
        <f>IFERROR(__xludf.DUMMYFUNCTION("""COMPUTED_VALUE"""),"  ")</f>
        <v/>
      </c>
      <c r="G355" s="1" t="str">
        <f>IFERROR(__xludf.DUMMYFUNCTION("""COMPUTED_VALUE"""),"")</f>
        <v/>
      </c>
      <c r="H355" s="6" t="str">
        <f>IFERROR(__xludf.DUMMYFUNCTION("""COMPUTED_VALUE"""),"  ")</f>
        <v/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6">
        <f>IFERROR(__xludf.DUMMYFUNCTION("""COMPUTED_VALUE"""),4064.6)</f>
        <v>4064.6</v>
      </c>
      <c r="F356" s="6" t="str">
        <f>IFERROR(__xludf.DUMMYFUNCTION("""COMPUTED_VALUE"""),"  ")</f>
        <v/>
      </c>
      <c r="G356" s="1" t="str">
        <f>IFERROR(__xludf.DUMMYFUNCTION("""COMPUTED_VALUE"""),"")</f>
        <v/>
      </c>
      <c r="H356" s="6" t="str">
        <f>IFERROR(__xludf.DUMMYFUNCTION("""COMPUTED_VALUE"""),"  ")</f>
        <v/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6">
        <f>IFERROR(__xludf.DUMMYFUNCTION("""COMPUTED_VALUE"""),2356.85)</f>
        <v>2356.85</v>
      </c>
      <c r="F357" s="6" t="str">
        <f>IFERROR(__xludf.DUMMYFUNCTION("""COMPUTED_VALUE"""),"  ")</f>
        <v/>
      </c>
      <c r="G357" s="1" t="str">
        <f>IFERROR(__xludf.DUMMYFUNCTION("""COMPUTED_VALUE"""),"")</f>
        <v/>
      </c>
      <c r="H357" s="6" t="str">
        <f>IFERROR(__xludf.DUMMYFUNCTION("""COMPUTED_VALUE"""),"  ")</f>
        <v/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6">
        <f>IFERROR(__xludf.DUMMYFUNCTION("""COMPUTED_VALUE"""),2287.03)</f>
        <v>2287.03</v>
      </c>
      <c r="F358" s="6" t="str">
        <f>IFERROR(__xludf.DUMMYFUNCTION("""COMPUTED_VALUE"""),"  ")</f>
        <v/>
      </c>
      <c r="G358" s="1" t="str">
        <f>IFERROR(__xludf.DUMMYFUNCTION("""COMPUTED_VALUE"""),"")</f>
        <v/>
      </c>
      <c r="H358" s="6" t="str">
        <f>IFERROR(__xludf.DUMMYFUNCTION("""COMPUTED_VALUE"""),"  ")</f>
        <v/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6">
        <f>IFERROR(__xludf.DUMMYFUNCTION("""COMPUTED_VALUE"""),0.0)</f>
        <v>0</v>
      </c>
      <c r="F359" s="6" t="str">
        <f>IFERROR(__xludf.DUMMYFUNCTION("""COMPUTED_VALUE"""),"  ")</f>
        <v/>
      </c>
      <c r="G359" s="1" t="str">
        <f>IFERROR(__xludf.DUMMYFUNCTION("""COMPUTED_VALUE"""),"")</f>
        <v/>
      </c>
      <c r="H359" s="6" t="str">
        <f>IFERROR(__xludf.DUMMYFUNCTION("""COMPUTED_VALUE"""),"  ")</f>
        <v/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6">
        <f>IFERROR(__xludf.DUMMYFUNCTION("""COMPUTED_VALUE"""),3129.21)</f>
        <v>3129.21</v>
      </c>
      <c r="F360" s="6" t="str">
        <f>IFERROR(__xludf.DUMMYFUNCTION("""COMPUTED_VALUE"""),"  ")</f>
        <v/>
      </c>
      <c r="G360" s="1" t="str">
        <f>IFERROR(__xludf.DUMMYFUNCTION("""COMPUTED_VALUE"""),"")</f>
        <v/>
      </c>
      <c r="H360" s="6" t="str">
        <f>IFERROR(__xludf.DUMMYFUNCTION("""COMPUTED_VALUE"""),"  ")</f>
        <v/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6">
        <f>IFERROR(__xludf.DUMMYFUNCTION("""COMPUTED_VALUE"""),2824.96)</f>
        <v>2824.96</v>
      </c>
      <c r="F361" s="6" t="str">
        <f>IFERROR(__xludf.DUMMYFUNCTION("""COMPUTED_VALUE"""),"  ")</f>
        <v/>
      </c>
      <c r="G361" s="1" t="str">
        <f>IFERROR(__xludf.DUMMYFUNCTION("""COMPUTED_VALUE"""),"")</f>
        <v/>
      </c>
      <c r="H361" s="6" t="str">
        <f>IFERROR(__xludf.DUMMYFUNCTION("""COMPUTED_VALUE"""),"  ")</f>
        <v/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6">
        <f>IFERROR(__xludf.DUMMYFUNCTION("""COMPUTED_VALUE"""),3969.19)</f>
        <v>3969.19</v>
      </c>
      <c r="F362" s="6" t="str">
        <f>IFERROR(__xludf.DUMMYFUNCTION("""COMPUTED_VALUE"""),"  ")</f>
        <v/>
      </c>
      <c r="G362" s="1" t="str">
        <f>IFERROR(__xludf.DUMMYFUNCTION("""COMPUTED_VALUE"""),"")</f>
        <v/>
      </c>
      <c r="H362" s="6" t="str">
        <f>IFERROR(__xludf.DUMMYFUNCTION("""COMPUTED_VALUE"""),"  ")</f>
        <v/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6">
        <f>IFERROR(__xludf.DUMMYFUNCTION("""COMPUTED_VALUE"""),4064.6)</f>
        <v>4064.6</v>
      </c>
      <c r="F363" s="6" t="str">
        <f>IFERROR(__xludf.DUMMYFUNCTION("""COMPUTED_VALUE"""),"  ")</f>
        <v/>
      </c>
      <c r="G363" s="1" t="str">
        <f>IFERROR(__xludf.DUMMYFUNCTION("""COMPUTED_VALUE"""),"")</f>
        <v/>
      </c>
      <c r="H363" s="6" t="str">
        <f>IFERROR(__xludf.DUMMYFUNCTION("""COMPUTED_VALUE"""),"  ")</f>
        <v/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6">
        <f>IFERROR(__xludf.DUMMYFUNCTION("""COMPUTED_VALUE"""),2356.85)</f>
        <v>2356.85</v>
      </c>
      <c r="F364" s="6" t="str">
        <f>IFERROR(__xludf.DUMMYFUNCTION("""COMPUTED_VALUE"""),"  ")</f>
        <v/>
      </c>
      <c r="G364" s="1" t="str">
        <f>IFERROR(__xludf.DUMMYFUNCTION("""COMPUTED_VALUE"""),"")</f>
        <v/>
      </c>
      <c r="H364" s="6" t="str">
        <f>IFERROR(__xludf.DUMMYFUNCTION("""COMPUTED_VALUE"""),"  ")</f>
        <v/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6">
        <f>IFERROR(__xludf.DUMMYFUNCTION("""COMPUTED_VALUE"""),2287.03)</f>
        <v>2287.03</v>
      </c>
      <c r="F365" s="6" t="str">
        <f>IFERROR(__xludf.DUMMYFUNCTION("""COMPUTED_VALUE"""),"  ")</f>
        <v/>
      </c>
      <c r="G365" s="1" t="str">
        <f>IFERROR(__xludf.DUMMYFUNCTION("""COMPUTED_VALUE"""),"")</f>
        <v/>
      </c>
      <c r="H365" s="6" t="str">
        <f>IFERROR(__xludf.DUMMYFUNCTION("""COMPUTED_VALUE"""),"  ")</f>
        <v/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6">
        <f>IFERROR(__xludf.DUMMYFUNCTION("""COMPUTED_VALUE"""),0.0)</f>
        <v>0</v>
      </c>
      <c r="F366" s="6" t="str">
        <f>IFERROR(__xludf.DUMMYFUNCTION("""COMPUTED_VALUE"""),"  ")</f>
        <v/>
      </c>
      <c r="G366" s="1" t="str">
        <f>IFERROR(__xludf.DUMMYFUNCTION("""COMPUTED_VALUE"""),"")</f>
        <v/>
      </c>
      <c r="H366" s="6" t="str">
        <f>IFERROR(__xludf.DUMMYFUNCTION("""COMPUTED_VALUE"""),"  ")</f>
        <v/>
      </c>
    </row>
    <row r="367">
      <c r="A367" s="1"/>
      <c r="B367" s="1"/>
      <c r="C367" s="2" t="str">
        <f>IFERROR(__xludf.DUMMYFUNCTION("""COMPUTED_VALUE"""),"")</f>
        <v/>
      </c>
      <c r="D367" s="1"/>
      <c r="E367" s="1"/>
      <c r="F367" s="6" t="str">
        <f>IFERROR(__xludf.DUMMYFUNCTION("""COMPUTED_VALUE"""),"  ")</f>
        <v/>
      </c>
      <c r="G367" s="1" t="str">
        <f>IFERROR(__xludf.DUMMYFUNCTION("""COMPUTED_VALUE"""),"")</f>
        <v/>
      </c>
      <c r="H367" s="6" t="str">
        <f>IFERROR(__xludf.DUMMYFUNCTION("""COMPUTED_VALUE"""),"  ")</f>
        <v/>
      </c>
    </row>
    <row r="368">
      <c r="A368" s="1"/>
      <c r="B368" s="1"/>
      <c r="C368" s="2" t="str">
        <f>IFERROR(__xludf.DUMMYFUNCTION("""COMPUTED_VALUE"""),"")</f>
        <v/>
      </c>
      <c r="D368" s="1"/>
      <c r="E368" s="1"/>
      <c r="F368" s="6" t="str">
        <f>IFERROR(__xludf.DUMMYFUNCTION("""COMPUTED_VALUE"""),"  ")</f>
        <v/>
      </c>
      <c r="G368" s="1" t="str">
        <f>IFERROR(__xludf.DUMMYFUNCTION("""COMPUTED_VALUE"""),"")</f>
        <v/>
      </c>
      <c r="H368" s="6" t="str">
        <f>IFERROR(__xludf.DUMMYFUNCTION("""COMPUTED_VALUE"""),"  ")</f>
        <v/>
      </c>
    </row>
    <row r="369">
      <c r="A369" s="1"/>
      <c r="B369" s="1"/>
      <c r="C369" s="2" t="str">
        <f>IFERROR(__xludf.DUMMYFUNCTION("""COMPUTED_VALUE"""),"")</f>
        <v/>
      </c>
      <c r="D369" s="1"/>
      <c r="E369" s="1"/>
      <c r="F369" s="6" t="str">
        <f>IFERROR(__xludf.DUMMYFUNCTION("""COMPUTED_VALUE"""),"  ")</f>
        <v/>
      </c>
      <c r="G369" s="1" t="str">
        <f>IFERROR(__xludf.DUMMYFUNCTION("""COMPUTED_VALUE"""),"")</f>
        <v/>
      </c>
      <c r="H369" s="6" t="str">
        <f>IFERROR(__xludf.DUMMYFUNCTION("""COMPUTED_VALUE"""),"  ")</f>
        <v/>
      </c>
    </row>
    <row r="370">
      <c r="A370" s="1"/>
      <c r="B370" s="1"/>
      <c r="C370" s="2" t="str">
        <f>IFERROR(__xludf.DUMMYFUNCTION("""COMPUTED_VALUE"""),"")</f>
        <v/>
      </c>
      <c r="D370" s="1"/>
      <c r="E370" s="1"/>
      <c r="F370" s="6" t="str">
        <f>IFERROR(__xludf.DUMMYFUNCTION("""COMPUTED_VALUE"""),"  ")</f>
        <v/>
      </c>
      <c r="G370" s="1" t="str">
        <f>IFERROR(__xludf.DUMMYFUNCTION("""COMPUTED_VALUE"""),"")</f>
        <v/>
      </c>
      <c r="H370" s="6" t="str">
        <f>IFERROR(__xludf.DUMMYFUNCTION("""COMPUTED_VALUE"""),"  ")</f>
        <v/>
      </c>
    </row>
    <row r="371">
      <c r="A371" s="1"/>
      <c r="B371" s="1"/>
      <c r="C371" s="2" t="str">
        <f>IFERROR(__xludf.DUMMYFUNCTION("""COMPUTED_VALUE"""),"")</f>
        <v/>
      </c>
      <c r="D371" s="1"/>
      <c r="E371" s="1"/>
      <c r="F371" s="6" t="str">
        <f>IFERROR(__xludf.DUMMYFUNCTION("""COMPUTED_VALUE"""),"  ")</f>
        <v/>
      </c>
      <c r="G371" s="1" t="str">
        <f>IFERROR(__xludf.DUMMYFUNCTION("""COMPUTED_VALUE"""),"")</f>
        <v/>
      </c>
      <c r="H371" s="6" t="str">
        <f>IFERROR(__xludf.DUMMYFUNCTION("""COMPUTED_VALUE"""),"  ")</f>
        <v/>
      </c>
    </row>
    <row r="372">
      <c r="A372" s="1"/>
      <c r="B372" s="1"/>
      <c r="C372" s="2" t="str">
        <f>IFERROR(__xludf.DUMMYFUNCTION("""COMPUTED_VALUE"""),"")</f>
        <v/>
      </c>
      <c r="D372" s="1"/>
      <c r="E372" s="1"/>
      <c r="F372" s="6" t="str">
        <f>IFERROR(__xludf.DUMMYFUNCTION("""COMPUTED_VALUE"""),"  ")</f>
        <v/>
      </c>
      <c r="G372" s="1" t="str">
        <f>IFERROR(__xludf.DUMMYFUNCTION("""COMPUTED_VALUE"""),"")</f>
        <v/>
      </c>
      <c r="H372" s="6" t="str">
        <f>IFERROR(__xludf.DUMMYFUNCTION("""COMPUTED_VALUE"""),"  ")</f>
        <v/>
      </c>
    </row>
    <row r="373">
      <c r="A373" s="1"/>
      <c r="B373" s="1"/>
      <c r="C373" s="2" t="str">
        <f>IFERROR(__xludf.DUMMYFUNCTION("""COMPUTED_VALUE"""),"")</f>
        <v/>
      </c>
      <c r="D373" s="1"/>
      <c r="E373" s="1"/>
      <c r="F373" s="6" t="str">
        <f>IFERROR(__xludf.DUMMYFUNCTION("""COMPUTED_VALUE"""),"  ")</f>
        <v/>
      </c>
      <c r="G373" s="1" t="str">
        <f>IFERROR(__xludf.DUMMYFUNCTION("""COMPUTED_VALUE"""),"")</f>
        <v/>
      </c>
      <c r="H373" s="6" t="str">
        <f>IFERROR(__xludf.DUMMYFUNCTION("""COMPUTED_VALUE"""),"  ")</f>
        <v/>
      </c>
    </row>
    <row r="374">
      <c r="A374" s="1"/>
      <c r="B374" s="1"/>
      <c r="C374" s="2" t="str">
        <f>IFERROR(__xludf.DUMMYFUNCTION("""COMPUTED_VALUE"""),"")</f>
        <v/>
      </c>
      <c r="D374" s="1"/>
      <c r="E374" s="1"/>
      <c r="F374" s="6" t="str">
        <f>IFERROR(__xludf.DUMMYFUNCTION("""COMPUTED_VALUE"""),"  ")</f>
        <v/>
      </c>
      <c r="G374" s="1" t="str">
        <f>IFERROR(__xludf.DUMMYFUNCTION("""COMPUTED_VALUE"""),"")</f>
        <v/>
      </c>
      <c r="H374" s="6" t="str">
        <f>IFERROR(__xludf.DUMMYFUNCTION("""COMPUTED_VALUE"""),"  ")</f>
        <v/>
      </c>
    </row>
    <row r="375">
      <c r="A375" s="1"/>
      <c r="B375" s="1"/>
      <c r="C375" s="2" t="str">
        <f>IFERROR(__xludf.DUMMYFUNCTION("""COMPUTED_VALUE"""),"")</f>
        <v/>
      </c>
      <c r="D375" s="1"/>
      <c r="E375" s="1"/>
      <c r="F375" s="6" t="str">
        <f>IFERROR(__xludf.DUMMYFUNCTION("""COMPUTED_VALUE"""),"  ")</f>
        <v/>
      </c>
      <c r="G375" s="1" t="str">
        <f>IFERROR(__xludf.DUMMYFUNCTION("""COMPUTED_VALUE"""),"")</f>
        <v/>
      </c>
      <c r="H375" s="6" t="str">
        <f>IFERROR(__xludf.DUMMYFUNCTION("""COMPUTED_VALUE"""),"  ")</f>
        <v/>
      </c>
    </row>
    <row r="376">
      <c r="A376" s="1"/>
      <c r="B376" s="1"/>
      <c r="C376" s="2" t="str">
        <f>IFERROR(__xludf.DUMMYFUNCTION("""COMPUTED_VALUE"""),"")</f>
        <v/>
      </c>
      <c r="D376" s="1"/>
      <c r="E376" s="1"/>
      <c r="F376" s="6" t="str">
        <f>IFERROR(__xludf.DUMMYFUNCTION("""COMPUTED_VALUE"""),"  ")</f>
        <v/>
      </c>
      <c r="G376" s="1" t="str">
        <f>IFERROR(__xludf.DUMMYFUNCTION("""COMPUTED_VALUE"""),"")</f>
        <v/>
      </c>
      <c r="H376" s="6" t="str">
        <f>IFERROR(__xludf.DUMMYFUNCTION("""COMPUTED_VALUE"""),"  ")</f>
        <v/>
      </c>
    </row>
    <row r="377">
      <c r="A377" s="1"/>
      <c r="B377" s="1"/>
      <c r="C377" s="2" t="str">
        <f>IFERROR(__xludf.DUMMYFUNCTION("""COMPUTED_VALUE"""),"")</f>
        <v/>
      </c>
      <c r="D377" s="1"/>
      <c r="E377" s="1"/>
      <c r="F377" s="6" t="str">
        <f>IFERROR(__xludf.DUMMYFUNCTION("""COMPUTED_VALUE"""),"  ")</f>
        <v/>
      </c>
      <c r="G377" s="1" t="str">
        <f>IFERROR(__xludf.DUMMYFUNCTION("""COMPUTED_VALUE"""),"")</f>
        <v/>
      </c>
      <c r="H377" s="6" t="str">
        <f>IFERROR(__xludf.DUMMYFUNCTION("""COMPUTED_VALUE"""),"  ")</f>
        <v/>
      </c>
    </row>
    <row r="378">
      <c r="A378" s="1"/>
      <c r="B378" s="1"/>
      <c r="C378" s="2" t="str">
        <f>IFERROR(__xludf.DUMMYFUNCTION("""COMPUTED_VALUE"""),"")</f>
        <v/>
      </c>
      <c r="D378" s="1"/>
      <c r="E378" s="1"/>
      <c r="F378" s="6" t="str">
        <f>IFERROR(__xludf.DUMMYFUNCTION("""COMPUTED_VALUE"""),"  ")</f>
        <v/>
      </c>
      <c r="G378" s="1" t="str">
        <f>IFERROR(__xludf.DUMMYFUNCTION("""COMPUTED_VALUE"""),"")</f>
        <v/>
      </c>
      <c r="H378" s="6" t="str">
        <f>IFERROR(__xludf.DUMMYFUNCTION("""COMPUTED_VALUE"""),"  ")</f>
        <v/>
      </c>
    </row>
    <row r="379">
      <c r="A379" s="1"/>
      <c r="B379" s="1"/>
      <c r="C379" s="2" t="str">
        <f>IFERROR(__xludf.DUMMYFUNCTION("""COMPUTED_VALUE"""),"")</f>
        <v/>
      </c>
      <c r="D379" s="1"/>
      <c r="E379" s="1"/>
      <c r="F379" s="6" t="str">
        <f>IFERROR(__xludf.DUMMYFUNCTION("""COMPUTED_VALUE"""),"  ")</f>
        <v/>
      </c>
      <c r="G379" s="1" t="str">
        <f>IFERROR(__xludf.DUMMYFUNCTION("""COMPUTED_VALUE"""),"")</f>
        <v/>
      </c>
      <c r="H379" s="6" t="str">
        <f>IFERROR(__xludf.DUMMYFUNCTION("""COMPUTED_VALUE"""),"  ")</f>
        <v/>
      </c>
    </row>
    <row r="380">
      <c r="A380" s="1"/>
      <c r="B380" s="1"/>
      <c r="C380" s="2" t="str">
        <f>IFERROR(__xludf.DUMMYFUNCTION("""COMPUTED_VALUE"""),"")</f>
        <v/>
      </c>
      <c r="D380" s="1"/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1"/>
      <c r="B381" s="1"/>
      <c r="C381" s="2" t="str">
        <f>IFERROR(__xludf.DUMMYFUNCTION("""COMPUTED_VALUE"""),"")</f>
        <v/>
      </c>
      <c r="D381" s="1"/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1"/>
      <c r="B382" s="1"/>
      <c r="C382" s="2" t="str">
        <f>IFERROR(__xludf.DUMMYFUNCTION("""COMPUTED_VALUE"""),"")</f>
        <v/>
      </c>
      <c r="D382" s="1"/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1"/>
      <c r="B383" s="1"/>
      <c r="C383" s="2" t="str">
        <f>IFERROR(__xludf.DUMMYFUNCTION("""COMPUTED_VALUE"""),"")</f>
        <v/>
      </c>
      <c r="D383" s="1"/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1"/>
      <c r="B384" s="1"/>
      <c r="C384" s="2" t="str">
        <f>IFERROR(__xludf.DUMMYFUNCTION("""COMPUTED_VALUE"""),"")</f>
        <v/>
      </c>
      <c r="D384" s="1"/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1"/>
      <c r="B385" s="1"/>
      <c r="C385" s="2" t="str">
        <f>IFERROR(__xludf.DUMMYFUNCTION("""COMPUTED_VALUE"""),"")</f>
        <v/>
      </c>
      <c r="D385" s="1"/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1"/>
      <c r="B386" s="1"/>
      <c r="C386" s="2" t="str">
        <f>IFERROR(__xludf.DUMMYFUNCTION("""COMPUTED_VALUE"""),"")</f>
        <v/>
      </c>
      <c r="D386" s="1"/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1"/>
      <c r="B387" s="1"/>
      <c r="C387" s="2" t="str">
        <f>IFERROR(__xludf.DUMMYFUNCTION("""COMPUTED_VALUE"""),"")</f>
        <v/>
      </c>
      <c r="D387" s="1"/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1"/>
      <c r="B388" s="1"/>
      <c r="C388" s="2" t="str">
        <f>IFERROR(__xludf.DUMMYFUNCTION("""COMPUTED_VALUE"""),"")</f>
        <v/>
      </c>
      <c r="D388" s="1"/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1"/>
      <c r="B389" s="1"/>
      <c r="C389" s="2" t="str">
        <f>IFERROR(__xludf.DUMMYFUNCTION("""COMPUTED_VALUE"""),"")</f>
        <v/>
      </c>
      <c r="D389" s="1"/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1"/>
      <c r="B390" s="1"/>
      <c r="C390" s="2" t="str">
        <f>IFERROR(__xludf.DUMMYFUNCTION("""COMPUTED_VALUE"""),"")</f>
        <v/>
      </c>
      <c r="D390" s="1"/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1"/>
      <c r="B391" s="1"/>
      <c r="C391" s="2" t="str">
        <f>IFERROR(__xludf.DUMMYFUNCTION("""COMPUTED_VALUE"""),"")</f>
        <v/>
      </c>
      <c r="D391" s="1"/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1"/>
      <c r="B392" s="1"/>
      <c r="C392" s="2" t="str">
        <f>IFERROR(__xludf.DUMMYFUNCTION("""COMPUTED_VALUE"""),"")</f>
        <v/>
      </c>
      <c r="D392" s="1"/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1"/>
      <c r="B393" s="1"/>
      <c r="C393" s="2" t="str">
        <f>IFERROR(__xludf.DUMMYFUNCTION("""COMPUTED_VALUE"""),"")</f>
        <v/>
      </c>
      <c r="D393" s="1"/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1"/>
      <c r="B394" s="1"/>
      <c r="C394" s="2" t="str">
        <f>IFERROR(__xludf.DUMMYFUNCTION("""COMPUTED_VALUE"""),"")</f>
        <v/>
      </c>
      <c r="D394" s="1"/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1"/>
      <c r="B395" s="1"/>
      <c r="C395" s="2" t="str">
        <f>IFERROR(__xludf.DUMMYFUNCTION("""COMPUTED_VALUE"""),"")</f>
        <v/>
      </c>
      <c r="D395" s="1"/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1"/>
      <c r="B396" s="1"/>
      <c r="C396" s="2" t="str">
        <f>IFERROR(__xludf.DUMMYFUNCTION("""COMPUTED_VALUE"""),"")</f>
        <v/>
      </c>
      <c r="D396" s="1"/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1"/>
      <c r="B397" s="1"/>
      <c r="C397" s="2" t="str">
        <f>IFERROR(__xludf.DUMMYFUNCTION("""COMPUTED_VALUE"""),"")</f>
        <v/>
      </c>
      <c r="D397" s="1"/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