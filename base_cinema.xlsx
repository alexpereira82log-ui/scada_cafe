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6">
        <f>IFERROR(__xludf.DUMMYFUNCTION("""COMPUTED_VALUE"""),2356.85)</f>
        <v>2356.85</v>
      </c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6">
        <f>IFERROR(__xludf.DUMMYFUNCTION("""COMPUTED_VALUE"""),2287.03)</f>
        <v>2287.03</v>
      </c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6">
        <f>IFERROR(__xludf.DUMMYFUNCTION("""COMPUTED_VALUE"""),2757.4)</f>
        <v>2757.4</v>
      </c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6">
        <f>IFERROR(__xludf.DUMMYFUNCTION("""COMPUTED_VALUE"""),3129.21)</f>
        <v>3129.21</v>
      </c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6">
        <f>IFERROR(__xludf.DUMMYFUNCTION("""COMPUTED_VALUE"""),2824.96)</f>
        <v>2824.96</v>
      </c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6">
        <f>IFERROR(__xludf.DUMMYFUNCTION("""COMPUTED_VALUE"""),3969.19)</f>
        <v>3969.19</v>
      </c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6">
        <f>IFERROR(__xludf.DUMMYFUNCTION("""COMPUTED_VALUE"""),4064.6)</f>
        <v>4064.6</v>
      </c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6">
        <f>IFERROR(__xludf.DUMMYFUNCTION("""COMPUTED_VALUE"""),2356.85)</f>
        <v>2356.85</v>
      </c>
      <c r="F343" s="6">
        <f>IFERROR(__xludf.DUMMYFUNCTION("""COMPUTED_VALUE"""),2690.5)</f>
        <v>2690.5</v>
      </c>
      <c r="G343" s="1">
        <f>IFERROR(__xludf.DUMMYFUNCTION("""COMPUTED_VALUE"""),62.0)</f>
        <v>62</v>
      </c>
      <c r="H343" s="6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6">
        <f>IFERROR(__xludf.DUMMYFUNCTION("""COMPUTED_VALUE"""),2287.03)</f>
        <v>2287.03</v>
      </c>
      <c r="F344" s="6">
        <f>IFERROR(__xludf.DUMMYFUNCTION("""COMPUTED_VALUE"""),3328.5)</f>
        <v>3328.5</v>
      </c>
      <c r="G344" s="1">
        <f>IFERROR(__xludf.DUMMYFUNCTION("""COMPUTED_VALUE"""),64.0)</f>
        <v>64</v>
      </c>
      <c r="H344" s="6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6">
        <f>IFERROR(__xludf.DUMMYFUNCTION("""COMPUTED_VALUE"""),2757.4)</f>
        <v>2757.4</v>
      </c>
      <c r="F345" s="6">
        <f>IFERROR(__xludf.DUMMYFUNCTION("""COMPUTED_VALUE"""),2934.01)</f>
        <v>2934.01</v>
      </c>
      <c r="G345" s="1">
        <f>IFERROR(__xludf.DUMMYFUNCTION("""COMPUTED_VALUE"""),63.0)</f>
        <v>63</v>
      </c>
      <c r="H345" s="6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6">
        <f>IFERROR(__xludf.DUMMYFUNCTION("""COMPUTED_VALUE"""),3129.21)</f>
        <v>3129.21</v>
      </c>
      <c r="F346" s="6">
        <f>IFERROR(__xludf.DUMMYFUNCTION("""COMPUTED_VALUE"""),2524.0)</f>
        <v>2524</v>
      </c>
      <c r="G346" s="1">
        <f>IFERROR(__xludf.DUMMYFUNCTION("""COMPUTED_VALUE"""),47.0)</f>
        <v>47</v>
      </c>
      <c r="H346" s="6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6">
        <f>IFERROR(__xludf.DUMMYFUNCTION("""COMPUTED_VALUE"""),2824.96)</f>
        <v>2824.96</v>
      </c>
      <c r="F347" s="6">
        <f>IFERROR(__xludf.DUMMYFUNCTION("""COMPUTED_VALUE"""),2651.0)</f>
        <v>2651</v>
      </c>
      <c r="G347" s="1">
        <f>IFERROR(__xludf.DUMMYFUNCTION("""COMPUTED_VALUE"""),70.0)</f>
        <v>70</v>
      </c>
      <c r="H347" s="6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6">
        <f>IFERROR(__xludf.DUMMYFUNCTION("""COMPUTED_VALUE"""),3969.19)</f>
        <v>3969.19</v>
      </c>
      <c r="F348" s="6">
        <f>IFERROR(__xludf.DUMMYFUNCTION("""COMPUTED_VALUE"""),4429.01)</f>
        <v>4429.01</v>
      </c>
      <c r="G348" s="1">
        <f>IFERROR(__xludf.DUMMYFUNCTION("""COMPUTED_VALUE"""),99.0)</f>
        <v>99</v>
      </c>
      <c r="H348" s="6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6">
        <f>IFERROR(__xludf.DUMMYFUNCTION("""COMPUTED_VALUE"""),4064.6)</f>
        <v>4064.6</v>
      </c>
      <c r="F349" s="6">
        <f>IFERROR(__xludf.DUMMYFUNCTION("""COMPUTED_VALUE"""),2350.5)</f>
        <v>2350.5</v>
      </c>
      <c r="G349" s="1">
        <f>IFERROR(__xludf.DUMMYFUNCTION("""COMPUTED_VALUE"""),49.0)</f>
        <v>49</v>
      </c>
      <c r="H349" s="6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6">
        <f>IFERROR(__xludf.DUMMYFUNCTION("""COMPUTED_VALUE"""),2356.85)</f>
        <v>2356.85</v>
      </c>
      <c r="F350" s="6">
        <f>IFERROR(__xludf.DUMMYFUNCTION("""COMPUTED_VALUE"""),1849.0)</f>
        <v>1849</v>
      </c>
      <c r="G350" s="1">
        <f>IFERROR(__xludf.DUMMYFUNCTION("""COMPUTED_VALUE"""),38.0)</f>
        <v>38</v>
      </c>
      <c r="H350" s="6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6">
        <f>IFERROR(__xludf.DUMMYFUNCTION("""COMPUTED_VALUE"""),2287.03)</f>
        <v>2287.03</v>
      </c>
      <c r="F351" s="6">
        <f>IFERROR(__xludf.DUMMYFUNCTION("""COMPUTED_VALUE"""),1986.51)</f>
        <v>1986.51</v>
      </c>
      <c r="G351" s="1">
        <f>IFERROR(__xludf.DUMMYFUNCTION("""COMPUTED_VALUE"""),49.0)</f>
        <v>49</v>
      </c>
      <c r="H351" s="6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6">
        <f>IFERROR(__xludf.DUMMYFUNCTION("""COMPUTED_VALUE"""),2757.4)</f>
        <v>2757.4</v>
      </c>
      <c r="F352" s="6">
        <f>IFERROR(__xludf.DUMMYFUNCTION("""COMPUTED_VALUE"""),1610.0)</f>
        <v>1610</v>
      </c>
      <c r="G352" s="1">
        <f>IFERROR(__xludf.DUMMYFUNCTION("""COMPUTED_VALUE"""),38.0)</f>
        <v>38</v>
      </c>
      <c r="H352" s="6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6">
        <f>IFERROR(__xludf.DUMMYFUNCTION("""COMPUTED_VALUE"""),3129.21)</f>
        <v>3129.21</v>
      </c>
      <c r="F353" s="6">
        <f>IFERROR(__xludf.DUMMYFUNCTION("""COMPUTED_VALUE"""),2127.5)</f>
        <v>2127.5</v>
      </c>
      <c r="G353" s="1">
        <f>IFERROR(__xludf.DUMMYFUNCTION("""COMPUTED_VALUE"""),44.0)</f>
        <v>44</v>
      </c>
      <c r="H353" s="6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6">
        <f>IFERROR(__xludf.DUMMYFUNCTION("""COMPUTED_VALUE"""),2824.96)</f>
        <v>2824.96</v>
      </c>
      <c r="F354" s="6">
        <f>IFERROR(__xludf.DUMMYFUNCTION("""COMPUTED_VALUE"""),1266.0)</f>
        <v>1266</v>
      </c>
      <c r="G354" s="1">
        <f>IFERROR(__xludf.DUMMYFUNCTION("""COMPUTED_VALUE"""),33.0)</f>
        <v>33</v>
      </c>
      <c r="H354" s="6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6">
        <f>IFERROR(__xludf.DUMMYFUNCTION("""COMPUTED_VALUE"""),3969.19)</f>
        <v>3969.19</v>
      </c>
      <c r="F355" s="6">
        <f>IFERROR(__xludf.DUMMYFUNCTION("""COMPUTED_VALUE"""),3522.0)</f>
        <v>3522</v>
      </c>
      <c r="G355" s="1">
        <f>IFERROR(__xludf.DUMMYFUNCTION("""COMPUTED_VALUE"""),66.0)</f>
        <v>66</v>
      </c>
      <c r="H355" s="6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6">
        <f>IFERROR(__xludf.DUMMYFUNCTION("""COMPUTED_VALUE"""),4064.6)</f>
        <v>4064.6</v>
      </c>
      <c r="F356" s="6">
        <f>IFERROR(__xludf.DUMMYFUNCTION("""COMPUTED_VALUE"""),2802.5)</f>
        <v>2802.5</v>
      </c>
      <c r="G356" s="1">
        <f>IFERROR(__xludf.DUMMYFUNCTION("""COMPUTED_VALUE"""),70.0)</f>
        <v>70</v>
      </c>
      <c r="H356" s="6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6">
        <f>IFERROR(__xludf.DUMMYFUNCTION("""COMPUTED_VALUE"""),2356.85)</f>
        <v>2356.85</v>
      </c>
      <c r="F357" s="6">
        <f>IFERROR(__xludf.DUMMYFUNCTION("""COMPUTED_VALUE"""),2690.5)</f>
        <v>2690.5</v>
      </c>
      <c r="G357" s="1">
        <f>IFERROR(__xludf.DUMMYFUNCTION("""COMPUTED_VALUE"""),62.0)</f>
        <v>62</v>
      </c>
      <c r="H357" s="6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6">
        <f>IFERROR(__xludf.DUMMYFUNCTION("""COMPUTED_VALUE"""),2287.03)</f>
        <v>2287.03</v>
      </c>
      <c r="F358" s="6">
        <f>IFERROR(__xludf.DUMMYFUNCTION("""COMPUTED_VALUE"""),1277.02)</f>
        <v>1277.02</v>
      </c>
      <c r="G358" s="1">
        <f>IFERROR(__xludf.DUMMYFUNCTION("""COMPUTED_VALUE"""),39.0)</f>
        <v>39</v>
      </c>
      <c r="H358" s="6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6">
        <f>IFERROR(__xludf.DUMMYFUNCTION("""COMPUTED_VALUE"""),0.0)</f>
        <v>0</v>
      </c>
      <c r="F359" s="6">
        <f>IFERROR(__xludf.DUMMYFUNCTION("""COMPUTED_VALUE"""),0.01)</f>
        <v>0.01</v>
      </c>
      <c r="G359" s="1">
        <f>IFERROR(__xludf.DUMMYFUNCTION("""COMPUTED_VALUE"""),1.0)</f>
        <v>1</v>
      </c>
      <c r="H359" s="6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6">
        <f>IFERROR(__xludf.DUMMYFUNCTION("""COMPUTED_VALUE"""),3129.21)</f>
        <v>3129.21</v>
      </c>
      <c r="F360" s="6">
        <f>IFERROR(__xludf.DUMMYFUNCTION("""COMPUTED_VALUE"""),941.02)</f>
        <v>941.02</v>
      </c>
      <c r="G360" s="1">
        <f>IFERROR(__xludf.DUMMYFUNCTION("""COMPUTED_VALUE"""),31.0)</f>
        <v>31</v>
      </c>
      <c r="H360" s="6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6">
        <f>IFERROR(__xludf.DUMMYFUNCTION("""COMPUTED_VALUE"""),2824.96)</f>
        <v>2824.96</v>
      </c>
      <c r="F361" s="6">
        <f>IFERROR(__xludf.DUMMYFUNCTION("""COMPUTED_VALUE"""),1994.01)</f>
        <v>1994.01</v>
      </c>
      <c r="G361" s="1">
        <f>IFERROR(__xludf.DUMMYFUNCTION("""COMPUTED_VALUE"""),52.0)</f>
        <v>52</v>
      </c>
      <c r="H361" s="6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6">
        <f>IFERROR(__xludf.DUMMYFUNCTION("""COMPUTED_VALUE"""),3969.19)</f>
        <v>3969.19</v>
      </c>
      <c r="F362" s="6">
        <f>IFERROR(__xludf.DUMMYFUNCTION("""COMPUTED_VALUE"""),2806.51)</f>
        <v>2806.51</v>
      </c>
      <c r="G362" s="1">
        <f>IFERROR(__xludf.DUMMYFUNCTION("""COMPUTED_VALUE"""),68.0)</f>
        <v>68</v>
      </c>
      <c r="H362" s="6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6">
        <f>IFERROR(__xludf.DUMMYFUNCTION("""COMPUTED_VALUE"""),4064.6)</f>
        <v>4064.6</v>
      </c>
      <c r="F363" s="6">
        <f>IFERROR(__xludf.DUMMYFUNCTION("""COMPUTED_VALUE"""),3695.5)</f>
        <v>3695.5</v>
      </c>
      <c r="G363" s="1">
        <f>IFERROR(__xludf.DUMMYFUNCTION("""COMPUTED_VALUE"""),81.0)</f>
        <v>81</v>
      </c>
      <c r="H363" s="6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6">
        <f>IFERROR(__xludf.DUMMYFUNCTION("""COMPUTED_VALUE"""),2356.85)</f>
        <v>2356.85</v>
      </c>
      <c r="F364" s="6">
        <f>IFERROR(__xludf.DUMMYFUNCTION("""COMPUTED_VALUE"""),3029.0)</f>
        <v>3029</v>
      </c>
      <c r="G364" s="1">
        <f>IFERROR(__xludf.DUMMYFUNCTION("""COMPUTED_VALUE"""),69.0)</f>
        <v>69</v>
      </c>
      <c r="H364" s="6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6">
        <f>IFERROR(__xludf.DUMMYFUNCTION("""COMPUTED_VALUE"""),2287.03)</f>
        <v>2287.03</v>
      </c>
      <c r="F365" s="6">
        <f>IFERROR(__xludf.DUMMYFUNCTION("""COMPUTED_VALUE"""),2334.51)</f>
        <v>2334.51</v>
      </c>
      <c r="G365" s="1">
        <f>IFERROR(__xludf.DUMMYFUNCTION("""COMPUTED_VALUE"""),57.0)</f>
        <v>57</v>
      </c>
      <c r="H365" s="6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6">
        <f>IFERROR(__xludf.DUMMYFUNCTION("""COMPUTED_VALUE"""),0.0)</f>
        <v>0</v>
      </c>
      <c r="F366" s="6">
        <f>IFERROR(__xludf.DUMMYFUNCTION("""COMPUTED_VALUE"""),0.01)</f>
        <v>0.01</v>
      </c>
      <c r="G366" s="1">
        <f>IFERROR(__xludf.DUMMYFUNCTION("""COMPUTED_VALUE"""),1.0)</f>
        <v>1</v>
      </c>
      <c r="H366" s="6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2" t="str">
        <f>IFERROR(__xludf.DUMMYFUNCTION("""COMPUTED_VALUE"""),"quinta-feira")</f>
        <v>quinta-feira</v>
      </c>
      <c r="D367" s="1">
        <f>IFERROR(__xludf.DUMMYFUNCTION("""COMPUTED_VALUE"""),1.0)</f>
        <v>1</v>
      </c>
      <c r="E367" s="1"/>
      <c r="F367" s="6">
        <f>IFERROR(__xludf.DUMMYFUNCTION("""COMPUTED_VALUE"""),2674.0)</f>
        <v>2674</v>
      </c>
      <c r="G367" s="1">
        <f>IFERROR(__xludf.DUMMYFUNCTION("""COMPUTED_VALUE"""),50.0)</f>
        <v>50</v>
      </c>
      <c r="H367" s="6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2" t="str">
        <f>IFERROR(__xludf.DUMMYFUNCTION("""COMPUTED_VALUE"""),"sexta-feira")</f>
        <v>sexta-feira</v>
      </c>
      <c r="D368" s="1">
        <f>IFERROR(__xludf.DUMMYFUNCTION("""COMPUTED_VALUE"""),2.0)</f>
        <v>2</v>
      </c>
      <c r="E368" s="1"/>
      <c r="F368" s="6">
        <f>IFERROR(__xludf.DUMMYFUNCTION("""COMPUTED_VALUE"""),4655.5)</f>
        <v>4655.5</v>
      </c>
      <c r="G368" s="1">
        <f>IFERROR(__xludf.DUMMYFUNCTION("""COMPUTED_VALUE"""),78.0)</f>
        <v>78</v>
      </c>
      <c r="H368" s="6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2" t="str">
        <f>IFERROR(__xludf.DUMMYFUNCTION("""COMPUTED_VALUE"""),"sábado")</f>
        <v>sábado</v>
      </c>
      <c r="D369" s="1">
        <f>IFERROR(__xludf.DUMMYFUNCTION("""COMPUTED_VALUE"""),1.0)</f>
        <v>1</v>
      </c>
      <c r="E369" s="1"/>
      <c r="F369" s="6">
        <f>IFERROR(__xludf.DUMMYFUNCTION("""COMPUTED_VALUE"""),5409.5)</f>
        <v>5409.5</v>
      </c>
      <c r="G369" s="1">
        <f>IFERROR(__xludf.DUMMYFUNCTION("""COMPUTED_VALUE"""),121.0)</f>
        <v>121</v>
      </c>
      <c r="H369" s="6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2" t="str">
        <f>IFERROR(__xludf.DUMMYFUNCTION("""COMPUTED_VALUE"""),"domingo")</f>
        <v>domingo</v>
      </c>
      <c r="D370" s="1">
        <f>IFERROR(__xludf.DUMMYFUNCTION("""COMPUTED_VALUE"""),2.0)</f>
        <v>2</v>
      </c>
      <c r="E370" s="1"/>
      <c r="F370" s="6">
        <f>IFERROR(__xludf.DUMMYFUNCTION("""COMPUTED_VALUE"""),5360.01)</f>
        <v>5360.01</v>
      </c>
      <c r="G370" s="1">
        <f>IFERROR(__xludf.DUMMYFUNCTION("""COMPUTED_VALUE"""),110.0)</f>
        <v>110</v>
      </c>
      <c r="H370" s="6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2" t="str">
        <f>IFERROR(__xludf.DUMMYFUNCTION("""COMPUTED_VALUE"""),"segunda-feira")</f>
        <v>segunda-feira</v>
      </c>
      <c r="D371" s="1">
        <f>IFERROR(__xludf.DUMMYFUNCTION("""COMPUTED_VALUE"""),1.0)</f>
        <v>1</v>
      </c>
      <c r="E371" s="1"/>
      <c r="F371" s="6">
        <f>IFERROR(__xludf.DUMMYFUNCTION("""COMPUTED_VALUE"""),2465.0)</f>
        <v>2465</v>
      </c>
      <c r="G371" s="1">
        <f>IFERROR(__xludf.DUMMYFUNCTION("""COMPUTED_VALUE"""),56.0)</f>
        <v>56</v>
      </c>
      <c r="H371" s="6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2" t="str">
        <f>IFERROR(__xludf.DUMMYFUNCTION("""COMPUTED_VALUE"""),"terça-feira")</f>
        <v>terça-feira</v>
      </c>
      <c r="D372" s="1">
        <f>IFERROR(__xludf.DUMMYFUNCTION("""COMPUTED_VALUE"""),2.0)</f>
        <v>2</v>
      </c>
      <c r="E372" s="1"/>
      <c r="F372" s="6">
        <f>IFERROR(__xludf.DUMMYFUNCTION("""COMPUTED_VALUE"""),2457.51)</f>
        <v>2457.51</v>
      </c>
      <c r="G372" s="1">
        <f>IFERROR(__xludf.DUMMYFUNCTION("""COMPUTED_VALUE"""),56.0)</f>
        <v>56</v>
      </c>
      <c r="H372" s="6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2" t="str">
        <f>IFERROR(__xludf.DUMMYFUNCTION("""COMPUTED_VALUE"""),"quarta-feira")</f>
        <v>quarta-feira</v>
      </c>
      <c r="D373" s="1">
        <f>IFERROR(__xludf.DUMMYFUNCTION("""COMPUTED_VALUE"""),1.0)</f>
        <v>1</v>
      </c>
      <c r="E373" s="1"/>
      <c r="F373" s="6" t="str">
        <f>IFERROR(__xludf.DUMMYFUNCTION("""COMPUTED_VALUE"""),"  ")</f>
        <v/>
      </c>
      <c r="G373" s="1" t="str">
        <f>IFERROR(__xludf.DUMMYFUNCTION("""COMPUTED_VALUE"""),"")</f>
        <v/>
      </c>
      <c r="H373" s="6" t="str">
        <f>IFERROR(__xludf.DUMMYFUNCTION("""COMPUTED_VALUE"""),"  ")</f>
        <v/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2" t="str">
        <f>IFERROR(__xludf.DUMMYFUNCTION("""COMPUTED_VALUE"""),"quinta-feira")</f>
        <v>quinta-feira</v>
      </c>
      <c r="D374" s="1">
        <f>IFERROR(__xludf.DUMMYFUNCTION("""COMPUTED_VALUE"""),2.0)</f>
        <v>2</v>
      </c>
      <c r="E374" s="1"/>
      <c r="F374" s="6" t="str">
        <f>IFERROR(__xludf.DUMMYFUNCTION("""COMPUTED_VALUE"""),"  ")</f>
        <v/>
      </c>
      <c r="G374" s="1" t="str">
        <f>IFERROR(__xludf.DUMMYFUNCTION("""COMPUTED_VALUE"""),"")</f>
        <v/>
      </c>
      <c r="H374" s="6" t="str">
        <f>IFERROR(__xludf.DUMMYFUNCTION("""COMPUTED_VALUE"""),"  ")</f>
        <v/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2" t="str">
        <f>IFERROR(__xludf.DUMMYFUNCTION("""COMPUTED_VALUE"""),"sexta-feira")</f>
        <v>sexta-feira</v>
      </c>
      <c r="D375" s="1">
        <f>IFERROR(__xludf.DUMMYFUNCTION("""COMPUTED_VALUE"""),1.0)</f>
        <v>1</v>
      </c>
      <c r="E375" s="1"/>
      <c r="F375" s="6" t="str">
        <f>IFERROR(__xludf.DUMMYFUNCTION("""COMPUTED_VALUE"""),"  ")</f>
        <v/>
      </c>
      <c r="G375" s="1" t="str">
        <f>IFERROR(__xludf.DUMMYFUNCTION("""COMPUTED_VALUE"""),"")</f>
        <v/>
      </c>
      <c r="H375" s="6" t="str">
        <f>IFERROR(__xludf.DUMMYFUNCTION("""COMPUTED_VALUE"""),"  ")</f>
        <v/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2" t="str">
        <f>IFERROR(__xludf.DUMMYFUNCTION("""COMPUTED_VALUE"""),"sábado")</f>
        <v>sábado</v>
      </c>
      <c r="D376" s="1">
        <f>IFERROR(__xludf.DUMMYFUNCTION("""COMPUTED_VALUE"""),2.0)</f>
        <v>2</v>
      </c>
      <c r="E376" s="1"/>
      <c r="F376" s="6" t="str">
        <f>IFERROR(__xludf.DUMMYFUNCTION("""COMPUTED_VALUE"""),"  ")</f>
        <v/>
      </c>
      <c r="G376" s="1" t="str">
        <f>IFERROR(__xludf.DUMMYFUNCTION("""COMPUTED_VALUE"""),"")</f>
        <v/>
      </c>
      <c r="H376" s="6" t="str">
        <f>IFERROR(__xludf.DUMMYFUNCTION("""COMPUTED_VALUE"""),"  ")</f>
        <v/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2" t="str">
        <f>IFERROR(__xludf.DUMMYFUNCTION("""COMPUTED_VALUE"""),"domingo")</f>
        <v>domingo</v>
      </c>
      <c r="D377" s="1">
        <f>IFERROR(__xludf.DUMMYFUNCTION("""COMPUTED_VALUE"""),1.0)</f>
        <v>1</v>
      </c>
      <c r="E377" s="1"/>
      <c r="F377" s="6" t="str">
        <f>IFERROR(__xludf.DUMMYFUNCTION("""COMPUTED_VALUE"""),"  ")</f>
        <v/>
      </c>
      <c r="G377" s="1" t="str">
        <f>IFERROR(__xludf.DUMMYFUNCTION("""COMPUTED_VALUE"""),"")</f>
        <v/>
      </c>
      <c r="H377" s="6" t="str">
        <f>IFERROR(__xludf.DUMMYFUNCTION("""COMPUTED_VALUE"""),"  ")</f>
        <v/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2" t="str">
        <f>IFERROR(__xludf.DUMMYFUNCTION("""COMPUTED_VALUE"""),"segunda-feira")</f>
        <v>segunda-feira</v>
      </c>
      <c r="D378" s="1">
        <f>IFERROR(__xludf.DUMMYFUNCTION("""COMPUTED_VALUE"""),2.0)</f>
        <v>2</v>
      </c>
      <c r="E378" s="1"/>
      <c r="F378" s="6" t="str">
        <f>IFERROR(__xludf.DUMMYFUNCTION("""COMPUTED_VALUE"""),"  ")</f>
        <v/>
      </c>
      <c r="G378" s="1" t="str">
        <f>IFERROR(__xludf.DUMMYFUNCTION("""COMPUTED_VALUE"""),"")</f>
        <v/>
      </c>
      <c r="H378" s="6" t="str">
        <f>IFERROR(__xludf.DUMMYFUNCTION("""COMPUTED_VALUE"""),"  ")</f>
        <v/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2" t="str">
        <f>IFERROR(__xludf.DUMMYFUNCTION("""COMPUTED_VALUE"""),"terça-feira")</f>
        <v>terça-feira</v>
      </c>
      <c r="D379" s="1">
        <f>IFERROR(__xludf.DUMMYFUNCTION("""COMPUTED_VALUE"""),1.0)</f>
        <v>1</v>
      </c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2" t="str">
        <f>IFERROR(__xludf.DUMMYFUNCTION("""COMPUTED_VALUE"""),"quarta-feira")</f>
        <v>quarta-feira</v>
      </c>
      <c r="D380" s="1">
        <f>IFERROR(__xludf.DUMMYFUNCTION("""COMPUTED_VALUE"""),2.0)</f>
        <v>2</v>
      </c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2" t="str">
        <f>IFERROR(__xludf.DUMMYFUNCTION("""COMPUTED_VALUE"""),"quinta-feira")</f>
        <v>quinta-feira</v>
      </c>
      <c r="D381" s="1">
        <f>IFERROR(__xludf.DUMMYFUNCTION("""COMPUTED_VALUE"""),1.0)</f>
        <v>1</v>
      </c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2" t="str">
        <f>IFERROR(__xludf.DUMMYFUNCTION("""COMPUTED_VALUE"""),"sexta-feira")</f>
        <v>sexta-feira</v>
      </c>
      <c r="D382" s="1">
        <f>IFERROR(__xludf.DUMMYFUNCTION("""COMPUTED_VALUE"""),2.0)</f>
        <v>2</v>
      </c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2" t="str">
        <f>IFERROR(__xludf.DUMMYFUNCTION("""COMPUTED_VALUE"""),"sábado")</f>
        <v>sábado</v>
      </c>
      <c r="D383" s="1">
        <f>IFERROR(__xludf.DUMMYFUNCTION("""COMPUTED_VALUE"""),1.0)</f>
        <v>1</v>
      </c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2" t="str">
        <f>IFERROR(__xludf.DUMMYFUNCTION("""COMPUTED_VALUE"""),"domingo")</f>
        <v>domingo</v>
      </c>
      <c r="D384" s="1">
        <f>IFERROR(__xludf.DUMMYFUNCTION("""COMPUTED_VALUE"""),2.0)</f>
        <v>2</v>
      </c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2" t="str">
        <f>IFERROR(__xludf.DUMMYFUNCTION("""COMPUTED_VALUE"""),"segunda-feira")</f>
        <v>segunda-feira</v>
      </c>
      <c r="D385" s="1">
        <f>IFERROR(__xludf.DUMMYFUNCTION("""COMPUTED_VALUE"""),1.0)</f>
        <v>1</v>
      </c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2" t="str">
        <f>IFERROR(__xludf.DUMMYFUNCTION("""COMPUTED_VALUE"""),"terça-feira")</f>
        <v>terça-feira</v>
      </c>
      <c r="D386" s="1">
        <f>IFERROR(__xludf.DUMMYFUNCTION("""COMPUTED_VALUE"""),2.0)</f>
        <v>2</v>
      </c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2" t="str">
        <f>IFERROR(__xludf.DUMMYFUNCTION("""COMPUTED_VALUE"""),"quarta-feira")</f>
        <v>quarta-feira</v>
      </c>
      <c r="D387" s="1">
        <f>IFERROR(__xludf.DUMMYFUNCTION("""COMPUTED_VALUE"""),1.0)</f>
        <v>1</v>
      </c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2" t="str">
        <f>IFERROR(__xludf.DUMMYFUNCTION("""COMPUTED_VALUE"""),"quinta-feira")</f>
        <v>quinta-feira</v>
      </c>
      <c r="D388" s="1">
        <f>IFERROR(__xludf.DUMMYFUNCTION("""COMPUTED_VALUE"""),2.0)</f>
        <v>2</v>
      </c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2" t="str">
        <f>IFERROR(__xludf.DUMMYFUNCTION("""COMPUTED_VALUE"""),"sexta-feira")</f>
        <v>sexta-feira</v>
      </c>
      <c r="D389" s="1">
        <f>IFERROR(__xludf.DUMMYFUNCTION("""COMPUTED_VALUE"""),1.0)</f>
        <v>1</v>
      </c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2" t="str">
        <f>IFERROR(__xludf.DUMMYFUNCTION("""COMPUTED_VALUE"""),"sábado")</f>
        <v>sábado</v>
      </c>
      <c r="D390" s="1">
        <f>IFERROR(__xludf.DUMMYFUNCTION("""COMPUTED_VALUE"""),2.0)</f>
        <v>2</v>
      </c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2" t="str">
        <f>IFERROR(__xludf.DUMMYFUNCTION("""COMPUTED_VALUE"""),"domingo")</f>
        <v>domingo</v>
      </c>
      <c r="D391" s="1">
        <f>IFERROR(__xludf.DUMMYFUNCTION("""COMPUTED_VALUE"""),1.0)</f>
        <v>1</v>
      </c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2" t="str">
        <f>IFERROR(__xludf.DUMMYFUNCTION("""COMPUTED_VALUE"""),"segunda-feira")</f>
        <v>segunda-feira</v>
      </c>
      <c r="D392" s="1">
        <f>IFERROR(__xludf.DUMMYFUNCTION("""COMPUTED_VALUE"""),2.0)</f>
        <v>2</v>
      </c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2" t="str">
        <f>IFERROR(__xludf.DUMMYFUNCTION("""COMPUTED_VALUE"""),"terça-feira")</f>
        <v>terça-feira</v>
      </c>
      <c r="D393" s="1">
        <f>IFERROR(__xludf.DUMMYFUNCTION("""COMPUTED_VALUE"""),1.0)</f>
        <v>1</v>
      </c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2" t="str">
        <f>IFERROR(__xludf.DUMMYFUNCTION("""COMPUTED_VALUE"""),"quarta-feira")</f>
        <v>quarta-feira</v>
      </c>
      <c r="D394" s="1">
        <f>IFERROR(__xludf.DUMMYFUNCTION("""COMPUTED_VALUE"""),2.0)</f>
        <v>2</v>
      </c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2" t="str">
        <f>IFERROR(__xludf.DUMMYFUNCTION("""COMPUTED_VALUE"""),"quinta-feira")</f>
        <v>quinta-feira</v>
      </c>
      <c r="D395" s="1">
        <f>IFERROR(__xludf.DUMMYFUNCTION("""COMPUTED_VALUE"""),1.0)</f>
        <v>1</v>
      </c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2" t="str">
        <f>IFERROR(__xludf.DUMMYFUNCTION("""COMPUTED_VALUE"""),"sexta-feira")</f>
        <v>sexta-feira</v>
      </c>
      <c r="D396" s="1">
        <f>IFERROR(__xludf.DUMMYFUNCTION("""COMPUTED_VALUE"""),2.0)</f>
        <v>2</v>
      </c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2" t="str">
        <f>IFERROR(__xludf.DUMMYFUNCTION("""COMPUTED_VALUE"""),"sábado")</f>
        <v>sábado</v>
      </c>
      <c r="D397" s="1">
        <f>IFERROR(__xludf.DUMMYFUNCTION("""COMPUTED_VALUE"""),1.0)</f>
        <v>1</v>
      </c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