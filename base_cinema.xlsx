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>
        <f>IFERROR(__xludf.DUMMYFUNCTION("""COMPUTED_VALUE"""),6372.0)</f>
        <v>6372</v>
      </c>
      <c r="G390" s="6">
        <f>IFERROR(__xludf.DUMMYFUNCTION("""COMPUTED_VALUE"""),150.0)</f>
        <v>150</v>
      </c>
      <c r="H390" s="7">
        <f>IFERROR(__xludf.DUMMYFUNCTION("""COMPUTED_VALUE"""),42.48)</f>
        <v>42.48</v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>
        <f>IFERROR(__xludf.DUMMYFUNCTION("""COMPUTED_VALUE"""),5614.5)</f>
        <v>5614.5</v>
      </c>
      <c r="G391" s="6">
        <f>IFERROR(__xludf.DUMMYFUNCTION("""COMPUTED_VALUE"""),112.0)</f>
        <v>112</v>
      </c>
      <c r="H391" s="7">
        <f>IFERROR(__xludf.DUMMYFUNCTION("""COMPUTED_VALUE"""),50.129464285714285)</f>
        <v>50.12946429</v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>
        <f>IFERROR(__xludf.DUMMYFUNCTION("""COMPUTED_VALUE"""),1805.0)</f>
        <v>1805</v>
      </c>
      <c r="G392" s="6">
        <f>IFERROR(__xludf.DUMMYFUNCTION("""COMPUTED_VALUE"""),50.0)</f>
        <v>50</v>
      </c>
      <c r="H392" s="7">
        <f>IFERROR(__xludf.DUMMYFUNCTION("""COMPUTED_VALUE"""),36.1)</f>
        <v>36.1</v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>
        <f>IFERROR(__xludf.DUMMYFUNCTION("""COMPUTED_VALUE"""),2564.0)</f>
        <v>2564</v>
      </c>
      <c r="G393" s="6">
        <f>IFERROR(__xludf.DUMMYFUNCTION("""COMPUTED_VALUE"""),64.0)</f>
        <v>64</v>
      </c>
      <c r="H393" s="7">
        <f>IFERROR(__xludf.DUMMYFUNCTION("""COMPUTED_VALUE"""),40.0625)</f>
        <v>40.0625</v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>
        <f>IFERROR(__xludf.DUMMYFUNCTION("""COMPUTED_VALUE"""),4048.5)</f>
        <v>4048.5</v>
      </c>
      <c r="G394" s="6">
        <f>IFERROR(__xludf.DUMMYFUNCTION("""COMPUTED_VALUE"""),75.0)</f>
        <v>75</v>
      </c>
      <c r="H394" s="7">
        <f>IFERROR(__xludf.DUMMYFUNCTION("""COMPUTED_VALUE"""),53.98)</f>
        <v>53.98</v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>
        <f>IFERROR(__xludf.DUMMYFUNCTION("""COMPUTED_VALUE"""),3109.0)</f>
        <v>3109</v>
      </c>
      <c r="G395" s="6">
        <f>IFERROR(__xludf.DUMMYFUNCTION("""COMPUTED_VALUE"""),70.0)</f>
        <v>70</v>
      </c>
      <c r="H395" s="7">
        <f>IFERROR(__xludf.DUMMYFUNCTION("""COMPUTED_VALUE"""),44.41428571428571)</f>
        <v>44.41428571</v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>
        <f>IFERROR(__xludf.DUMMYFUNCTION("""COMPUTED_VALUE"""),2112.0)</f>
        <v>2112</v>
      </c>
      <c r="G396" s="6">
        <f>IFERROR(__xludf.DUMMYFUNCTION("""COMPUTED_VALUE"""),50.0)</f>
        <v>50</v>
      </c>
      <c r="H396" s="7">
        <f>IFERROR(__xludf.DUMMYFUNCTION("""COMPUTED_VALUE"""),42.24)</f>
        <v>42.24</v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>
        <f>IFERROR(__xludf.DUMMYFUNCTION("""COMPUTED_VALUE"""),4380.5)</f>
        <v>4380.5</v>
      </c>
      <c r="G397" s="6">
        <f>IFERROR(__xludf.DUMMYFUNCTION("""COMPUTED_VALUE"""),98.0)</f>
        <v>98</v>
      </c>
      <c r="H397" s="7">
        <f>IFERROR(__xludf.DUMMYFUNCTION("""COMPUTED_VALUE"""),44.69897959183673)</f>
        <v>44.69897959</v>
      </c>
    </row>
    <row r="398">
      <c r="A398" s="3">
        <f>IFERROR(__xludf.DUMMYFUNCTION("""COMPUTED_VALUE"""),46054.0)</f>
        <v>46054</v>
      </c>
      <c r="B398" s="4">
        <f>IFERROR(__xludf.DUMMYFUNCTION("""COMPUTED_VALUE"""),46054.0)</f>
        <v>46054</v>
      </c>
      <c r="C398" s="8" t="str">
        <f>IFERROR(__xludf.DUMMYFUNCTION("""COMPUTED_VALUE"""),"domingo")</f>
        <v>domingo</v>
      </c>
      <c r="D398" s="6">
        <f>IFERROR(__xludf.DUMMYFUNCTION("""COMPUTED_VALUE"""),2.0)</f>
        <v>2</v>
      </c>
      <c r="E398" s="7">
        <f>IFERROR(__xludf.DUMMYFUNCTION("""COMPUTED_VALUE"""),4579.57)</f>
        <v>4579.57</v>
      </c>
      <c r="F398" s="7">
        <f>IFERROR(__xludf.DUMMYFUNCTION("""COMPUTED_VALUE"""),6048.5)</f>
        <v>6048.5</v>
      </c>
      <c r="G398" s="6">
        <f>IFERROR(__xludf.DUMMYFUNCTION("""COMPUTED_VALUE"""),108.0)</f>
        <v>108</v>
      </c>
      <c r="H398" s="7">
        <f>IFERROR(__xludf.DUMMYFUNCTION("""COMPUTED_VALUE"""),56.004629629629626)</f>
        <v>56.00462963</v>
      </c>
    </row>
    <row r="399">
      <c r="A399" s="3">
        <f>IFERROR(__xludf.DUMMYFUNCTION("""COMPUTED_VALUE"""),46054.0)</f>
        <v>46054</v>
      </c>
      <c r="B399" s="4">
        <f>IFERROR(__xludf.DUMMYFUNCTION("""COMPUTED_VALUE"""),46055.0)</f>
        <v>46055</v>
      </c>
      <c r="C399" s="8" t="str">
        <f>IFERROR(__xludf.DUMMYFUNCTION("""COMPUTED_VALUE"""),"segunda-feira")</f>
        <v>segunda-feira</v>
      </c>
      <c r="D399" s="6">
        <f>IFERROR(__xludf.DUMMYFUNCTION("""COMPUTED_VALUE"""),1.0)</f>
        <v>1</v>
      </c>
      <c r="E399" s="7">
        <f>IFERROR(__xludf.DUMMYFUNCTION("""COMPUTED_VALUE"""),2688.76)</f>
        <v>2688.76</v>
      </c>
      <c r="F399" s="7">
        <f>IFERROR(__xludf.DUMMYFUNCTION("""COMPUTED_VALUE"""),2024.5)</f>
        <v>2024.5</v>
      </c>
      <c r="G399" s="6">
        <f>IFERROR(__xludf.DUMMYFUNCTION("""COMPUTED_VALUE"""),47.0)</f>
        <v>47</v>
      </c>
      <c r="H399" s="7">
        <f>IFERROR(__xludf.DUMMYFUNCTION("""COMPUTED_VALUE"""),43.07446808510638)</f>
        <v>43.07446809</v>
      </c>
    </row>
    <row r="400">
      <c r="A400" s="3">
        <f>IFERROR(__xludf.DUMMYFUNCTION("""COMPUTED_VALUE"""),46054.0)</f>
        <v>46054</v>
      </c>
      <c r="B400" s="4">
        <f>IFERROR(__xludf.DUMMYFUNCTION("""COMPUTED_VALUE"""),46056.0)</f>
        <v>46056</v>
      </c>
      <c r="C400" s="8" t="str">
        <f>IFERROR(__xludf.DUMMYFUNCTION("""COMPUTED_VALUE"""),"terça-feira")</f>
        <v>terça-feira</v>
      </c>
      <c r="D400" s="6">
        <f>IFERROR(__xludf.DUMMYFUNCTION("""COMPUTED_VALUE"""),2.0)</f>
        <v>2</v>
      </c>
      <c r="E400" s="7">
        <f>IFERROR(__xludf.DUMMYFUNCTION("""COMPUTED_VALUE"""),2784.41)</f>
        <v>2784.41</v>
      </c>
      <c r="F400" s="7">
        <f>IFERROR(__xludf.DUMMYFUNCTION("""COMPUTED_VALUE"""),2597.5)</f>
        <v>2597.5</v>
      </c>
      <c r="G400" s="6">
        <f>IFERROR(__xludf.DUMMYFUNCTION("""COMPUTED_VALUE"""),54.0)</f>
        <v>54</v>
      </c>
      <c r="H400" s="7">
        <f>IFERROR(__xludf.DUMMYFUNCTION("""COMPUTED_VALUE"""),48.101851851851855)</f>
        <v>48.10185185</v>
      </c>
    </row>
    <row r="401">
      <c r="A401" s="3">
        <f>IFERROR(__xludf.DUMMYFUNCTION("""COMPUTED_VALUE"""),46054.0)</f>
        <v>46054</v>
      </c>
      <c r="B401" s="4">
        <f>IFERROR(__xludf.DUMMYFUNCTION("""COMPUTED_VALUE"""),46057.0)</f>
        <v>46057</v>
      </c>
      <c r="C401" s="8" t="str">
        <f>IFERROR(__xludf.DUMMYFUNCTION("""COMPUTED_VALUE"""),"quarta-feira")</f>
        <v>quarta-feira</v>
      </c>
      <c r="D401" s="6">
        <f>IFERROR(__xludf.DUMMYFUNCTION("""COMPUTED_VALUE"""),1.0)</f>
        <v>1</v>
      </c>
      <c r="E401" s="7">
        <f>IFERROR(__xludf.DUMMYFUNCTION("""COMPUTED_VALUE"""),3123.95)</f>
        <v>3123.95</v>
      </c>
      <c r="F401" s="7">
        <f>IFERROR(__xludf.DUMMYFUNCTION("""COMPUTED_VALUE"""),2935.91)</f>
        <v>2935.91</v>
      </c>
      <c r="G401" s="6">
        <f>IFERROR(__xludf.DUMMYFUNCTION("""COMPUTED_VALUE"""),58.0)</f>
        <v>58</v>
      </c>
      <c r="H401" s="7">
        <f>IFERROR(__xludf.DUMMYFUNCTION("""COMPUTED_VALUE"""),50.61913793103448)</f>
        <v>50.61913793</v>
      </c>
    </row>
    <row r="402">
      <c r="A402" s="3">
        <f>IFERROR(__xludf.DUMMYFUNCTION("""COMPUTED_VALUE"""),46054.0)</f>
        <v>46054</v>
      </c>
      <c r="B402" s="4">
        <f>IFERROR(__xludf.DUMMYFUNCTION("""COMPUTED_VALUE"""),46058.0)</f>
        <v>46058</v>
      </c>
      <c r="C402" s="8" t="str">
        <f>IFERROR(__xludf.DUMMYFUNCTION("""COMPUTED_VALUE"""),"quinta-feira")</f>
        <v>quinta-feira</v>
      </c>
      <c r="D402" s="6">
        <f>IFERROR(__xludf.DUMMYFUNCTION("""COMPUTED_VALUE"""),2.0)</f>
        <v>2</v>
      </c>
      <c r="E402" s="7">
        <f>IFERROR(__xludf.DUMMYFUNCTION("""COMPUTED_VALUE"""),3353.45)</f>
        <v>3353.45</v>
      </c>
      <c r="F402" s="7">
        <f>IFERROR(__xludf.DUMMYFUNCTION("""COMPUTED_VALUE"""),3079.5)</f>
        <v>3079.5</v>
      </c>
      <c r="G402" s="6">
        <f>IFERROR(__xludf.DUMMYFUNCTION("""COMPUTED_VALUE"""),73.0)</f>
        <v>73</v>
      </c>
      <c r="H402" s="7">
        <f>IFERROR(__xludf.DUMMYFUNCTION("""COMPUTED_VALUE"""),42.18493150684932)</f>
        <v>42.18493151</v>
      </c>
    </row>
    <row r="403">
      <c r="A403" s="3">
        <f>IFERROR(__xludf.DUMMYFUNCTION("""COMPUTED_VALUE"""),46054.0)</f>
        <v>46054</v>
      </c>
      <c r="B403" s="4">
        <f>IFERROR(__xludf.DUMMYFUNCTION("""COMPUTED_VALUE"""),46059.0)</f>
        <v>46059</v>
      </c>
      <c r="C403" s="8" t="str">
        <f>IFERROR(__xludf.DUMMYFUNCTION("""COMPUTED_VALUE"""),"sexta-feira")</f>
        <v>sexta-feira</v>
      </c>
      <c r="D403" s="6">
        <f>IFERROR(__xludf.DUMMYFUNCTION("""COMPUTED_VALUE"""),1.0)</f>
        <v>1</v>
      </c>
      <c r="E403" s="7">
        <f>IFERROR(__xludf.DUMMYFUNCTION("""COMPUTED_VALUE"""),3092.86)</f>
        <v>3092.86</v>
      </c>
      <c r="F403" s="7">
        <f>IFERROR(__xludf.DUMMYFUNCTION("""COMPUTED_VALUE"""),2657.5)</f>
        <v>2657.5</v>
      </c>
      <c r="G403" s="6">
        <f>IFERROR(__xludf.DUMMYFUNCTION("""COMPUTED_VALUE"""),65.0)</f>
        <v>65</v>
      </c>
      <c r="H403" s="7">
        <f>IFERROR(__xludf.DUMMYFUNCTION("""COMPUTED_VALUE"""),40.88461538461539)</f>
        <v>40.88461538</v>
      </c>
    </row>
    <row r="404">
      <c r="A404" s="3">
        <f>IFERROR(__xludf.DUMMYFUNCTION("""COMPUTED_VALUE"""),46054.0)</f>
        <v>46054</v>
      </c>
      <c r="B404" s="4">
        <f>IFERROR(__xludf.DUMMYFUNCTION("""COMPUTED_VALUE"""),46060.0)</f>
        <v>46060</v>
      </c>
      <c r="C404" s="8" t="str">
        <f>IFERROR(__xludf.DUMMYFUNCTION("""COMPUTED_VALUE"""),"sábado")</f>
        <v>sábado</v>
      </c>
      <c r="D404" s="6">
        <f>IFERROR(__xludf.DUMMYFUNCTION("""COMPUTED_VALUE"""),2.0)</f>
        <v>2</v>
      </c>
      <c r="E404" s="7">
        <f>IFERROR(__xludf.DUMMYFUNCTION("""COMPUTED_VALUE"""),4778.57)</f>
        <v>4778.57</v>
      </c>
      <c r="F404" s="7">
        <f>IFERROR(__xludf.DUMMYFUNCTION("""COMPUTED_VALUE"""),5130.0)</f>
        <v>5130</v>
      </c>
      <c r="G404" s="6">
        <f>IFERROR(__xludf.DUMMYFUNCTION("""COMPUTED_VALUE"""),115.0)</f>
        <v>115</v>
      </c>
      <c r="H404" s="7">
        <f>IFERROR(__xludf.DUMMYFUNCTION("""COMPUTED_VALUE"""),44.608695652173914)</f>
        <v>44.60869565</v>
      </c>
    </row>
    <row r="405">
      <c r="A405" s="3">
        <f>IFERROR(__xludf.DUMMYFUNCTION("""COMPUTED_VALUE"""),46054.0)</f>
        <v>46054</v>
      </c>
      <c r="B405" s="4">
        <f>IFERROR(__xludf.DUMMYFUNCTION("""COMPUTED_VALUE"""),46061.0)</f>
        <v>46061</v>
      </c>
      <c r="C405" s="8" t="str">
        <f>IFERROR(__xludf.DUMMYFUNCTION("""COMPUTED_VALUE"""),"domingo")</f>
        <v>domingo</v>
      </c>
      <c r="D405" s="6">
        <f>IFERROR(__xludf.DUMMYFUNCTION("""COMPUTED_VALUE"""),1.0)</f>
        <v>1</v>
      </c>
      <c r="E405" s="7">
        <f>IFERROR(__xludf.DUMMYFUNCTION("""COMPUTED_VALUE"""),4579.57)</f>
        <v>4579.57</v>
      </c>
      <c r="F405" s="7">
        <f>IFERROR(__xludf.DUMMYFUNCTION("""COMPUTED_VALUE"""),7023.5)</f>
        <v>7023.5</v>
      </c>
      <c r="G405" s="6">
        <f>IFERROR(__xludf.DUMMYFUNCTION("""COMPUTED_VALUE"""),139.0)</f>
        <v>139</v>
      </c>
      <c r="H405" s="7">
        <f>IFERROR(__xludf.DUMMYFUNCTION("""COMPUTED_VALUE"""),50.52877697841727)</f>
        <v>50.52877698</v>
      </c>
    </row>
    <row r="406">
      <c r="A406" s="3">
        <f>IFERROR(__xludf.DUMMYFUNCTION("""COMPUTED_VALUE"""),46054.0)</f>
        <v>46054</v>
      </c>
      <c r="B406" s="4">
        <f>IFERROR(__xludf.DUMMYFUNCTION("""COMPUTED_VALUE"""),46062.0)</f>
        <v>46062</v>
      </c>
      <c r="C406" s="8" t="str">
        <f>IFERROR(__xludf.DUMMYFUNCTION("""COMPUTED_VALUE"""),"segunda-feira")</f>
        <v>segunda-feira</v>
      </c>
      <c r="D406" s="6">
        <f>IFERROR(__xludf.DUMMYFUNCTION("""COMPUTED_VALUE"""),2.0)</f>
        <v>2</v>
      </c>
      <c r="E406" s="7">
        <f>IFERROR(__xludf.DUMMYFUNCTION("""COMPUTED_VALUE"""),2688.76)</f>
        <v>2688.76</v>
      </c>
      <c r="F406" s="7">
        <f>IFERROR(__xludf.DUMMYFUNCTION("""COMPUTED_VALUE"""),3674.0)</f>
        <v>3674</v>
      </c>
      <c r="G406" s="6">
        <f>IFERROR(__xludf.DUMMYFUNCTION("""COMPUTED_VALUE"""),71.0)</f>
        <v>71</v>
      </c>
      <c r="H406" s="7">
        <f>IFERROR(__xludf.DUMMYFUNCTION("""COMPUTED_VALUE"""),51.74647887323944)</f>
        <v>51.74647887</v>
      </c>
    </row>
    <row r="407">
      <c r="A407" s="3">
        <f>IFERROR(__xludf.DUMMYFUNCTION("""COMPUTED_VALUE"""),46054.0)</f>
        <v>46054</v>
      </c>
      <c r="B407" s="4">
        <f>IFERROR(__xludf.DUMMYFUNCTION("""COMPUTED_VALUE"""),46063.0)</f>
        <v>46063</v>
      </c>
      <c r="C407" s="8" t="str">
        <f>IFERROR(__xludf.DUMMYFUNCTION("""COMPUTED_VALUE"""),"terça-feira")</f>
        <v>terça-feira</v>
      </c>
      <c r="D407" s="6">
        <f>IFERROR(__xludf.DUMMYFUNCTION("""COMPUTED_VALUE"""),1.0)</f>
        <v>1</v>
      </c>
      <c r="E407" s="7">
        <f>IFERROR(__xludf.DUMMYFUNCTION("""COMPUTED_VALUE"""),2784.41)</f>
        <v>2784.41</v>
      </c>
      <c r="F407" s="7">
        <f>IFERROR(__xludf.DUMMYFUNCTION("""COMPUTED_VALUE"""),3054.5)</f>
        <v>3054.5</v>
      </c>
      <c r="G407" s="6">
        <f>IFERROR(__xludf.DUMMYFUNCTION("""COMPUTED_VALUE"""),65.0)</f>
        <v>65</v>
      </c>
      <c r="H407" s="7">
        <f>IFERROR(__xludf.DUMMYFUNCTION("""COMPUTED_VALUE"""),46.99230769230769)</f>
        <v>46.99230769</v>
      </c>
    </row>
    <row r="408">
      <c r="A408" s="3">
        <f>IFERROR(__xludf.DUMMYFUNCTION("""COMPUTED_VALUE"""),46054.0)</f>
        <v>46054</v>
      </c>
      <c r="B408" s="4">
        <f>IFERROR(__xludf.DUMMYFUNCTION("""COMPUTED_VALUE"""),46064.0)</f>
        <v>46064</v>
      </c>
      <c r="C408" s="8" t="str">
        <f>IFERROR(__xludf.DUMMYFUNCTION("""COMPUTED_VALUE"""),"quarta-feira")</f>
        <v>quarta-feira</v>
      </c>
      <c r="D408" s="6">
        <f>IFERROR(__xludf.DUMMYFUNCTION("""COMPUTED_VALUE"""),2.0)</f>
        <v>2</v>
      </c>
      <c r="E408" s="7">
        <f>IFERROR(__xludf.DUMMYFUNCTION("""COMPUTED_VALUE"""),3123.95)</f>
        <v>3123.95</v>
      </c>
      <c r="F408" s="7">
        <f>IFERROR(__xludf.DUMMYFUNCTION("""COMPUTED_VALUE"""),4457.0)</f>
        <v>4457</v>
      </c>
      <c r="G408" s="6">
        <f>IFERROR(__xludf.DUMMYFUNCTION("""COMPUTED_VALUE"""),77.0)</f>
        <v>77</v>
      </c>
      <c r="H408" s="7">
        <f>IFERROR(__xludf.DUMMYFUNCTION("""COMPUTED_VALUE"""),57.883116883116884)</f>
        <v>57.88311688</v>
      </c>
    </row>
    <row r="409">
      <c r="A409" s="3">
        <f>IFERROR(__xludf.DUMMYFUNCTION("""COMPUTED_VALUE"""),46054.0)</f>
        <v>46054</v>
      </c>
      <c r="B409" s="4">
        <f>IFERROR(__xludf.DUMMYFUNCTION("""COMPUTED_VALUE"""),46065.0)</f>
        <v>46065</v>
      </c>
      <c r="C409" s="8" t="str">
        <f>IFERROR(__xludf.DUMMYFUNCTION("""COMPUTED_VALUE"""),"quinta-feira")</f>
        <v>quinta-feira</v>
      </c>
      <c r="D409" s="6">
        <f>IFERROR(__xludf.DUMMYFUNCTION("""COMPUTED_VALUE"""),1.0)</f>
        <v>1</v>
      </c>
      <c r="E409" s="7">
        <f>IFERROR(__xludf.DUMMYFUNCTION("""COMPUTED_VALUE"""),3353.45)</f>
        <v>3353.45</v>
      </c>
      <c r="F409" s="7">
        <f>IFERROR(__xludf.DUMMYFUNCTION("""COMPUTED_VALUE"""),1257.0)</f>
        <v>1257</v>
      </c>
      <c r="G409" s="6">
        <f>IFERROR(__xludf.DUMMYFUNCTION("""COMPUTED_VALUE"""),36.0)</f>
        <v>36</v>
      </c>
      <c r="H409" s="7">
        <f>IFERROR(__xludf.DUMMYFUNCTION("""COMPUTED_VALUE"""),34.916666666666664)</f>
        <v>34.91666667</v>
      </c>
    </row>
    <row r="410">
      <c r="A410" s="3">
        <f>IFERROR(__xludf.DUMMYFUNCTION("""COMPUTED_VALUE"""),46054.0)</f>
        <v>46054</v>
      </c>
      <c r="B410" s="4">
        <f>IFERROR(__xludf.DUMMYFUNCTION("""COMPUTED_VALUE"""),46066.0)</f>
        <v>46066</v>
      </c>
      <c r="C410" s="8" t="str">
        <f>IFERROR(__xludf.DUMMYFUNCTION("""COMPUTED_VALUE"""),"sexta-feira")</f>
        <v>sexta-feira</v>
      </c>
      <c r="D410" s="6">
        <f>IFERROR(__xludf.DUMMYFUNCTION("""COMPUTED_VALUE"""),2.0)</f>
        <v>2</v>
      </c>
      <c r="E410" s="7">
        <f>IFERROR(__xludf.DUMMYFUNCTION("""COMPUTED_VALUE"""),3092.86)</f>
        <v>3092.86</v>
      </c>
      <c r="F410" s="7">
        <f>IFERROR(__xludf.DUMMYFUNCTION("""COMPUTED_VALUE"""),1471.5)</f>
        <v>1471.5</v>
      </c>
      <c r="G410" s="6">
        <f>IFERROR(__xludf.DUMMYFUNCTION("""COMPUTED_VALUE"""),37.0)</f>
        <v>37</v>
      </c>
      <c r="H410" s="7">
        <f>IFERROR(__xludf.DUMMYFUNCTION("""COMPUTED_VALUE"""),39.770270270270274)</f>
        <v>39.77027027</v>
      </c>
    </row>
    <row r="411">
      <c r="A411" s="3">
        <f>IFERROR(__xludf.DUMMYFUNCTION("""COMPUTED_VALUE"""),46054.0)</f>
        <v>46054</v>
      </c>
      <c r="B411" s="4">
        <f>IFERROR(__xludf.DUMMYFUNCTION("""COMPUTED_VALUE"""),46067.0)</f>
        <v>46067</v>
      </c>
      <c r="C411" s="8" t="str">
        <f>IFERROR(__xludf.DUMMYFUNCTION("""COMPUTED_VALUE"""),"sábado")</f>
        <v>sábado</v>
      </c>
      <c r="D411" s="6">
        <f>IFERROR(__xludf.DUMMYFUNCTION("""COMPUTED_VALUE"""),1.0)</f>
        <v>1</v>
      </c>
      <c r="E411" s="7">
        <f>IFERROR(__xludf.DUMMYFUNCTION("""COMPUTED_VALUE"""),4778.57)</f>
        <v>4778.57</v>
      </c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3">
        <f>IFERROR(__xludf.DUMMYFUNCTION("""COMPUTED_VALUE"""),46054.0)</f>
        <v>46054</v>
      </c>
      <c r="B412" s="4">
        <f>IFERROR(__xludf.DUMMYFUNCTION("""COMPUTED_VALUE"""),46068.0)</f>
        <v>46068</v>
      </c>
      <c r="C412" s="8" t="str">
        <f>IFERROR(__xludf.DUMMYFUNCTION("""COMPUTED_VALUE"""),"domingo")</f>
        <v>domingo</v>
      </c>
      <c r="D412" s="6">
        <f>IFERROR(__xludf.DUMMYFUNCTION("""COMPUTED_VALUE"""),2.0)</f>
        <v>2</v>
      </c>
      <c r="E412" s="7">
        <f>IFERROR(__xludf.DUMMYFUNCTION("""COMPUTED_VALUE"""),4579.57)</f>
        <v>4579.57</v>
      </c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3">
        <f>IFERROR(__xludf.DUMMYFUNCTION("""COMPUTED_VALUE"""),46054.0)</f>
        <v>46054</v>
      </c>
      <c r="B413" s="4">
        <f>IFERROR(__xludf.DUMMYFUNCTION("""COMPUTED_VALUE"""),46069.0)</f>
        <v>46069</v>
      </c>
      <c r="C413" s="8" t="str">
        <f>IFERROR(__xludf.DUMMYFUNCTION("""COMPUTED_VALUE"""),"segunda-feira")</f>
        <v>segunda-feira</v>
      </c>
      <c r="D413" s="6">
        <f>IFERROR(__xludf.DUMMYFUNCTION("""COMPUTED_VALUE"""),1.0)</f>
        <v>1</v>
      </c>
      <c r="E413" s="7">
        <f>IFERROR(__xludf.DUMMYFUNCTION("""COMPUTED_VALUE"""),2688.76)</f>
        <v>2688.76</v>
      </c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3">
        <f>IFERROR(__xludf.DUMMYFUNCTION("""COMPUTED_VALUE"""),46054.0)</f>
        <v>46054</v>
      </c>
      <c r="B414" s="4">
        <f>IFERROR(__xludf.DUMMYFUNCTION("""COMPUTED_VALUE"""),46070.0)</f>
        <v>46070</v>
      </c>
      <c r="C414" s="8" t="str">
        <f>IFERROR(__xludf.DUMMYFUNCTION("""COMPUTED_VALUE"""),"terça-feira")</f>
        <v>terça-feira</v>
      </c>
      <c r="D414" s="6">
        <f>IFERROR(__xludf.DUMMYFUNCTION("""COMPUTED_VALUE"""),2.0)</f>
        <v>2</v>
      </c>
      <c r="E414" s="7">
        <f>IFERROR(__xludf.DUMMYFUNCTION("""COMPUTED_VALUE"""),2784.41)</f>
        <v>2784.41</v>
      </c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3">
        <f>IFERROR(__xludf.DUMMYFUNCTION("""COMPUTED_VALUE"""),46054.0)</f>
        <v>46054</v>
      </c>
      <c r="B415" s="4">
        <f>IFERROR(__xludf.DUMMYFUNCTION("""COMPUTED_VALUE"""),46071.0)</f>
        <v>46071</v>
      </c>
      <c r="C415" s="8" t="str">
        <f>IFERROR(__xludf.DUMMYFUNCTION("""COMPUTED_VALUE"""),"quarta-feira")</f>
        <v>quarta-feira</v>
      </c>
      <c r="D415" s="6">
        <f>IFERROR(__xludf.DUMMYFUNCTION("""COMPUTED_VALUE"""),1.0)</f>
        <v>1</v>
      </c>
      <c r="E415" s="7">
        <f>IFERROR(__xludf.DUMMYFUNCTION("""COMPUTED_VALUE"""),3123.95)</f>
        <v>3123.95</v>
      </c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3">
        <f>IFERROR(__xludf.DUMMYFUNCTION("""COMPUTED_VALUE"""),46054.0)</f>
        <v>46054</v>
      </c>
      <c r="B416" s="4">
        <f>IFERROR(__xludf.DUMMYFUNCTION("""COMPUTED_VALUE"""),46072.0)</f>
        <v>46072</v>
      </c>
      <c r="C416" s="8" t="str">
        <f>IFERROR(__xludf.DUMMYFUNCTION("""COMPUTED_VALUE"""),"quinta-feira")</f>
        <v>quinta-feira</v>
      </c>
      <c r="D416" s="6">
        <f>IFERROR(__xludf.DUMMYFUNCTION("""COMPUTED_VALUE"""),2.0)</f>
        <v>2</v>
      </c>
      <c r="E416" s="7">
        <f>IFERROR(__xludf.DUMMYFUNCTION("""COMPUTED_VALUE"""),3353.45)</f>
        <v>3353.45</v>
      </c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3">
        <f>IFERROR(__xludf.DUMMYFUNCTION("""COMPUTED_VALUE"""),46054.0)</f>
        <v>46054</v>
      </c>
      <c r="B417" s="4">
        <f>IFERROR(__xludf.DUMMYFUNCTION("""COMPUTED_VALUE"""),46073.0)</f>
        <v>46073</v>
      </c>
      <c r="C417" s="8" t="str">
        <f>IFERROR(__xludf.DUMMYFUNCTION("""COMPUTED_VALUE"""),"sexta-feira")</f>
        <v>sexta-feira</v>
      </c>
      <c r="D417" s="6">
        <f>IFERROR(__xludf.DUMMYFUNCTION("""COMPUTED_VALUE"""),1.0)</f>
        <v>1</v>
      </c>
      <c r="E417" s="7">
        <f>IFERROR(__xludf.DUMMYFUNCTION("""COMPUTED_VALUE"""),3092.86)</f>
        <v>3092.86</v>
      </c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3">
        <f>IFERROR(__xludf.DUMMYFUNCTION("""COMPUTED_VALUE"""),46054.0)</f>
        <v>46054</v>
      </c>
      <c r="B418" s="4">
        <f>IFERROR(__xludf.DUMMYFUNCTION("""COMPUTED_VALUE"""),46074.0)</f>
        <v>46074</v>
      </c>
      <c r="C418" s="8" t="str">
        <f>IFERROR(__xludf.DUMMYFUNCTION("""COMPUTED_VALUE"""),"sábado")</f>
        <v>sábado</v>
      </c>
      <c r="D418" s="6">
        <f>IFERROR(__xludf.DUMMYFUNCTION("""COMPUTED_VALUE"""),2.0)</f>
        <v>2</v>
      </c>
      <c r="E418" s="7">
        <f>IFERROR(__xludf.DUMMYFUNCTION("""COMPUTED_VALUE"""),4778.57)</f>
        <v>4778.57</v>
      </c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3">
        <f>IFERROR(__xludf.DUMMYFUNCTION("""COMPUTED_VALUE"""),46054.0)</f>
        <v>46054</v>
      </c>
      <c r="B419" s="4">
        <f>IFERROR(__xludf.DUMMYFUNCTION("""COMPUTED_VALUE"""),46075.0)</f>
        <v>46075</v>
      </c>
      <c r="C419" s="8" t="str">
        <f>IFERROR(__xludf.DUMMYFUNCTION("""COMPUTED_VALUE"""),"domingo")</f>
        <v>domingo</v>
      </c>
      <c r="D419" s="6">
        <f>IFERROR(__xludf.DUMMYFUNCTION("""COMPUTED_VALUE"""),1.0)</f>
        <v>1</v>
      </c>
      <c r="E419" s="7">
        <f>IFERROR(__xludf.DUMMYFUNCTION("""COMPUTED_VALUE"""),4579.57)</f>
        <v>4579.57</v>
      </c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3">
        <f>IFERROR(__xludf.DUMMYFUNCTION("""COMPUTED_VALUE"""),46054.0)</f>
        <v>46054</v>
      </c>
      <c r="B420" s="4">
        <f>IFERROR(__xludf.DUMMYFUNCTION("""COMPUTED_VALUE"""),46076.0)</f>
        <v>46076</v>
      </c>
      <c r="C420" s="8" t="str">
        <f>IFERROR(__xludf.DUMMYFUNCTION("""COMPUTED_VALUE"""),"segunda-feira")</f>
        <v>segunda-feira</v>
      </c>
      <c r="D420" s="6">
        <f>IFERROR(__xludf.DUMMYFUNCTION("""COMPUTED_VALUE"""),2.0)</f>
        <v>2</v>
      </c>
      <c r="E420" s="7">
        <f>IFERROR(__xludf.DUMMYFUNCTION("""COMPUTED_VALUE"""),2688.76)</f>
        <v>2688.76</v>
      </c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3">
        <f>IFERROR(__xludf.DUMMYFUNCTION("""COMPUTED_VALUE"""),46054.0)</f>
        <v>46054</v>
      </c>
      <c r="B421" s="4">
        <f>IFERROR(__xludf.DUMMYFUNCTION("""COMPUTED_VALUE"""),46077.0)</f>
        <v>46077</v>
      </c>
      <c r="C421" s="8" t="str">
        <f>IFERROR(__xludf.DUMMYFUNCTION("""COMPUTED_VALUE"""),"terça-feira")</f>
        <v>terça-feira</v>
      </c>
      <c r="D421" s="6">
        <f>IFERROR(__xludf.DUMMYFUNCTION("""COMPUTED_VALUE"""),1.0)</f>
        <v>1</v>
      </c>
      <c r="E421" s="7">
        <f>IFERROR(__xludf.DUMMYFUNCTION("""COMPUTED_VALUE"""),2784.41)</f>
        <v>2784.41</v>
      </c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3">
        <f>IFERROR(__xludf.DUMMYFUNCTION("""COMPUTED_VALUE"""),46054.0)</f>
        <v>46054</v>
      </c>
      <c r="B422" s="4">
        <f>IFERROR(__xludf.DUMMYFUNCTION("""COMPUTED_VALUE"""),46078.0)</f>
        <v>46078</v>
      </c>
      <c r="C422" s="8" t="str">
        <f>IFERROR(__xludf.DUMMYFUNCTION("""COMPUTED_VALUE"""),"quarta-feira")</f>
        <v>quarta-feira</v>
      </c>
      <c r="D422" s="6">
        <f>IFERROR(__xludf.DUMMYFUNCTION("""COMPUTED_VALUE"""),2.0)</f>
        <v>2</v>
      </c>
      <c r="E422" s="7">
        <f>IFERROR(__xludf.DUMMYFUNCTION("""COMPUTED_VALUE"""),3123.95)</f>
        <v>3123.95</v>
      </c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3">
        <f>IFERROR(__xludf.DUMMYFUNCTION("""COMPUTED_VALUE"""),46054.0)</f>
        <v>46054</v>
      </c>
      <c r="B423" s="4">
        <f>IFERROR(__xludf.DUMMYFUNCTION("""COMPUTED_VALUE"""),46079.0)</f>
        <v>46079</v>
      </c>
      <c r="C423" s="8" t="str">
        <f>IFERROR(__xludf.DUMMYFUNCTION("""COMPUTED_VALUE"""),"quinta-feira")</f>
        <v>quinta-feira</v>
      </c>
      <c r="D423" s="6">
        <f>IFERROR(__xludf.DUMMYFUNCTION("""COMPUTED_VALUE"""),1.0)</f>
        <v>1</v>
      </c>
      <c r="E423" s="7">
        <f>IFERROR(__xludf.DUMMYFUNCTION("""COMPUTED_VALUE"""),3353.45)</f>
        <v>3353.45</v>
      </c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3">
        <f>IFERROR(__xludf.DUMMYFUNCTION("""COMPUTED_VALUE"""),46054.0)</f>
        <v>46054</v>
      </c>
      <c r="B424" s="4">
        <f>IFERROR(__xludf.DUMMYFUNCTION("""COMPUTED_VALUE"""),46080.0)</f>
        <v>46080</v>
      </c>
      <c r="C424" s="8" t="str">
        <f>IFERROR(__xludf.DUMMYFUNCTION("""COMPUTED_VALUE"""),"sexta-feira")</f>
        <v>sexta-feira</v>
      </c>
      <c r="D424" s="6">
        <f>IFERROR(__xludf.DUMMYFUNCTION("""COMPUTED_VALUE"""),2.0)</f>
        <v>2</v>
      </c>
      <c r="E424" s="7">
        <f>IFERROR(__xludf.DUMMYFUNCTION("""COMPUTED_VALUE"""),3092.86)</f>
        <v>3092.86</v>
      </c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3">
        <f>IFERROR(__xludf.DUMMYFUNCTION("""COMPUTED_VALUE"""),46054.0)</f>
        <v>46054</v>
      </c>
      <c r="B425" s="4">
        <f>IFERROR(__xludf.DUMMYFUNCTION("""COMPUTED_VALUE"""),46081.0)</f>
        <v>46081</v>
      </c>
      <c r="C425" s="8" t="str">
        <f>IFERROR(__xludf.DUMMYFUNCTION("""COMPUTED_VALUE"""),"sábado")</f>
        <v>sábado</v>
      </c>
      <c r="D425" s="6">
        <f>IFERROR(__xludf.DUMMYFUNCTION("""COMPUTED_VALUE"""),1.0)</f>
        <v>1</v>
      </c>
      <c r="E425" s="7">
        <f>IFERROR(__xludf.DUMMYFUNCTION("""COMPUTED_VALUE"""),4778.57)</f>
        <v>4778.57</v>
      </c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