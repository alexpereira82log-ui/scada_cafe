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2" t="str">
        <f>IFERROR(__xludf.DUMMYFUNCTION("""COMPUTED_VALUE"""),"quinta-feira")</f>
        <v>quinta-feira</v>
      </c>
      <c r="D367" s="1">
        <f>IFERROR(__xludf.DUMMYFUNCTION("""COMPUTED_VALUE"""),1.0)</f>
        <v>1</v>
      </c>
      <c r="E367" s="1"/>
      <c r="F367" s="6">
        <f>IFERROR(__xludf.DUMMYFUNCTION("""COMPUTED_VALUE"""),2674.0)</f>
        <v>2674</v>
      </c>
      <c r="G367" s="1">
        <f>IFERROR(__xludf.DUMMYFUNCTION("""COMPUTED_VALUE"""),50.0)</f>
        <v>50</v>
      </c>
      <c r="H367" s="6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2" t="str">
        <f>IFERROR(__xludf.DUMMYFUNCTION("""COMPUTED_VALUE"""),"sexta-feira")</f>
        <v>sexta-feira</v>
      </c>
      <c r="D368" s="1">
        <f>IFERROR(__xludf.DUMMYFUNCTION("""COMPUTED_VALUE"""),2.0)</f>
        <v>2</v>
      </c>
      <c r="E368" s="1"/>
      <c r="F368" s="6">
        <f>IFERROR(__xludf.DUMMYFUNCTION("""COMPUTED_VALUE"""),4655.5)</f>
        <v>4655.5</v>
      </c>
      <c r="G368" s="1">
        <f>IFERROR(__xludf.DUMMYFUNCTION("""COMPUTED_VALUE"""),78.0)</f>
        <v>78</v>
      </c>
      <c r="H368" s="6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2" t="str">
        <f>IFERROR(__xludf.DUMMYFUNCTION("""COMPUTED_VALUE"""),"sábado")</f>
        <v>sábado</v>
      </c>
      <c r="D369" s="1">
        <f>IFERROR(__xludf.DUMMYFUNCTION("""COMPUTED_VALUE"""),1.0)</f>
        <v>1</v>
      </c>
      <c r="E369" s="1"/>
      <c r="F369" s="6">
        <f>IFERROR(__xludf.DUMMYFUNCTION("""COMPUTED_VALUE"""),5409.5)</f>
        <v>5409.5</v>
      </c>
      <c r="G369" s="1">
        <f>IFERROR(__xludf.DUMMYFUNCTION("""COMPUTED_VALUE"""),121.0)</f>
        <v>121</v>
      </c>
      <c r="H369" s="6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2" t="str">
        <f>IFERROR(__xludf.DUMMYFUNCTION("""COMPUTED_VALUE"""),"domingo")</f>
        <v>domingo</v>
      </c>
      <c r="D370" s="1">
        <f>IFERROR(__xludf.DUMMYFUNCTION("""COMPUTED_VALUE"""),2.0)</f>
        <v>2</v>
      </c>
      <c r="E370" s="1"/>
      <c r="F370" s="6">
        <f>IFERROR(__xludf.DUMMYFUNCTION("""COMPUTED_VALUE"""),5360.01)</f>
        <v>5360.01</v>
      </c>
      <c r="G370" s="1">
        <f>IFERROR(__xludf.DUMMYFUNCTION("""COMPUTED_VALUE"""),110.0)</f>
        <v>110</v>
      </c>
      <c r="H370" s="6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2" t="str">
        <f>IFERROR(__xludf.DUMMYFUNCTION("""COMPUTED_VALUE"""),"segunda-feira")</f>
        <v>segunda-feira</v>
      </c>
      <c r="D371" s="1">
        <f>IFERROR(__xludf.DUMMYFUNCTION("""COMPUTED_VALUE"""),1.0)</f>
        <v>1</v>
      </c>
      <c r="E371" s="1"/>
      <c r="F371" s="6">
        <f>IFERROR(__xludf.DUMMYFUNCTION("""COMPUTED_VALUE"""),2465.0)</f>
        <v>2465</v>
      </c>
      <c r="G371" s="1">
        <f>IFERROR(__xludf.DUMMYFUNCTION("""COMPUTED_VALUE"""),56.0)</f>
        <v>56</v>
      </c>
      <c r="H371" s="6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2" t="str">
        <f>IFERROR(__xludf.DUMMYFUNCTION("""COMPUTED_VALUE"""),"terça-feira")</f>
        <v>terça-feira</v>
      </c>
      <c r="D372" s="1">
        <f>IFERROR(__xludf.DUMMYFUNCTION("""COMPUTED_VALUE"""),2.0)</f>
        <v>2</v>
      </c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2" t="str">
        <f>IFERROR(__xludf.DUMMYFUNCTION("""COMPUTED_VALUE"""),"quarta-feira")</f>
        <v>quarta-feira</v>
      </c>
      <c r="D373" s="1">
        <f>IFERROR(__xludf.DUMMYFUNCTION("""COMPUTED_VALUE"""),1.0)</f>
        <v>1</v>
      </c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2" t="str">
        <f>IFERROR(__xludf.DUMMYFUNCTION("""COMPUTED_VALUE"""),"quinta-feira")</f>
        <v>quinta-feira</v>
      </c>
      <c r="D374" s="1">
        <f>IFERROR(__xludf.DUMMYFUNCTION("""COMPUTED_VALUE"""),2.0)</f>
        <v>2</v>
      </c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2" t="str">
        <f>IFERROR(__xludf.DUMMYFUNCTION("""COMPUTED_VALUE"""),"sexta-feira")</f>
        <v>sexta-feira</v>
      </c>
      <c r="D375" s="1">
        <f>IFERROR(__xludf.DUMMYFUNCTION("""COMPUTED_VALUE"""),1.0)</f>
        <v>1</v>
      </c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2" t="str">
        <f>IFERROR(__xludf.DUMMYFUNCTION("""COMPUTED_VALUE"""),"sábado")</f>
        <v>sábado</v>
      </c>
      <c r="D376" s="1">
        <f>IFERROR(__xludf.DUMMYFUNCTION("""COMPUTED_VALUE"""),2.0)</f>
        <v>2</v>
      </c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2" t="str">
        <f>IFERROR(__xludf.DUMMYFUNCTION("""COMPUTED_VALUE"""),"domingo")</f>
        <v>domingo</v>
      </c>
      <c r="D377" s="1">
        <f>IFERROR(__xludf.DUMMYFUNCTION("""COMPUTED_VALUE"""),1.0)</f>
        <v>1</v>
      </c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2" t="str">
        <f>IFERROR(__xludf.DUMMYFUNCTION("""COMPUTED_VALUE"""),"segunda-feira")</f>
        <v>segunda-feira</v>
      </c>
      <c r="D378" s="1">
        <f>IFERROR(__xludf.DUMMYFUNCTION("""COMPUTED_VALUE"""),2.0)</f>
        <v>2</v>
      </c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2" t="str">
        <f>IFERROR(__xludf.DUMMYFUNCTION("""COMPUTED_VALUE"""),"terça-feira")</f>
        <v>terça-feira</v>
      </c>
      <c r="D379" s="1">
        <f>IFERROR(__xludf.DUMMYFUNCTION("""COMPUTED_VALUE"""),1.0)</f>
        <v>1</v>
      </c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2" t="str">
        <f>IFERROR(__xludf.DUMMYFUNCTION("""COMPUTED_VALUE"""),"quarta-feira")</f>
        <v>quarta-feira</v>
      </c>
      <c r="D380" s="1">
        <f>IFERROR(__xludf.DUMMYFUNCTION("""COMPUTED_VALUE"""),2.0)</f>
        <v>2</v>
      </c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2" t="str">
        <f>IFERROR(__xludf.DUMMYFUNCTION("""COMPUTED_VALUE"""),"quinta-feira")</f>
        <v>quinta-feira</v>
      </c>
      <c r="D381" s="1">
        <f>IFERROR(__xludf.DUMMYFUNCTION("""COMPUTED_VALUE"""),1.0)</f>
        <v>1</v>
      </c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2" t="str">
        <f>IFERROR(__xludf.DUMMYFUNCTION("""COMPUTED_VALUE"""),"sexta-feira")</f>
        <v>sexta-feira</v>
      </c>
      <c r="D382" s="1">
        <f>IFERROR(__xludf.DUMMYFUNCTION("""COMPUTED_VALUE"""),2.0)</f>
        <v>2</v>
      </c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2" t="str">
        <f>IFERROR(__xludf.DUMMYFUNCTION("""COMPUTED_VALUE"""),"sábado")</f>
        <v>sábado</v>
      </c>
      <c r="D383" s="1">
        <f>IFERROR(__xludf.DUMMYFUNCTION("""COMPUTED_VALUE"""),1.0)</f>
        <v>1</v>
      </c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2" t="str">
        <f>IFERROR(__xludf.DUMMYFUNCTION("""COMPUTED_VALUE"""),"domingo")</f>
        <v>domingo</v>
      </c>
      <c r="D384" s="1">
        <f>IFERROR(__xludf.DUMMYFUNCTION("""COMPUTED_VALUE"""),2.0)</f>
        <v>2</v>
      </c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2" t="str">
        <f>IFERROR(__xludf.DUMMYFUNCTION("""COMPUTED_VALUE"""),"segunda-feira")</f>
        <v>segunda-feira</v>
      </c>
      <c r="D385" s="1">
        <f>IFERROR(__xludf.DUMMYFUNCTION("""COMPUTED_VALUE"""),1.0)</f>
        <v>1</v>
      </c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2" t="str">
        <f>IFERROR(__xludf.DUMMYFUNCTION("""COMPUTED_VALUE"""),"terça-feira")</f>
        <v>terça-feira</v>
      </c>
      <c r="D386" s="1">
        <f>IFERROR(__xludf.DUMMYFUNCTION("""COMPUTED_VALUE"""),2.0)</f>
        <v>2</v>
      </c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2" t="str">
        <f>IFERROR(__xludf.DUMMYFUNCTION("""COMPUTED_VALUE"""),"quarta-feira")</f>
        <v>quarta-feira</v>
      </c>
      <c r="D387" s="1">
        <f>IFERROR(__xludf.DUMMYFUNCTION("""COMPUTED_VALUE"""),1.0)</f>
        <v>1</v>
      </c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2" t="str">
        <f>IFERROR(__xludf.DUMMYFUNCTION("""COMPUTED_VALUE"""),"quinta-feira")</f>
        <v>quinta-feira</v>
      </c>
      <c r="D388" s="1">
        <f>IFERROR(__xludf.DUMMYFUNCTION("""COMPUTED_VALUE"""),2.0)</f>
        <v>2</v>
      </c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2" t="str">
        <f>IFERROR(__xludf.DUMMYFUNCTION("""COMPUTED_VALUE"""),"sexta-feira")</f>
        <v>sexta-feira</v>
      </c>
      <c r="D389" s="1">
        <f>IFERROR(__xludf.DUMMYFUNCTION("""COMPUTED_VALUE"""),1.0)</f>
        <v>1</v>
      </c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2" t="str">
        <f>IFERROR(__xludf.DUMMYFUNCTION("""COMPUTED_VALUE"""),"sábado")</f>
        <v>sábado</v>
      </c>
      <c r="D390" s="1">
        <f>IFERROR(__xludf.DUMMYFUNCTION("""COMPUTED_VALUE"""),2.0)</f>
        <v>2</v>
      </c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2" t="str">
        <f>IFERROR(__xludf.DUMMYFUNCTION("""COMPUTED_VALUE"""),"domingo")</f>
        <v>domingo</v>
      </c>
      <c r="D391" s="1">
        <f>IFERROR(__xludf.DUMMYFUNCTION("""COMPUTED_VALUE"""),1.0)</f>
        <v>1</v>
      </c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2" t="str">
        <f>IFERROR(__xludf.DUMMYFUNCTION("""COMPUTED_VALUE"""),"segunda-feira")</f>
        <v>segunda-feira</v>
      </c>
      <c r="D392" s="1">
        <f>IFERROR(__xludf.DUMMYFUNCTION("""COMPUTED_VALUE"""),2.0)</f>
        <v>2</v>
      </c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2" t="str">
        <f>IFERROR(__xludf.DUMMYFUNCTION("""COMPUTED_VALUE"""),"terça-feira")</f>
        <v>terça-feira</v>
      </c>
      <c r="D393" s="1">
        <f>IFERROR(__xludf.DUMMYFUNCTION("""COMPUTED_VALUE"""),1.0)</f>
        <v>1</v>
      </c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2" t="str">
        <f>IFERROR(__xludf.DUMMYFUNCTION("""COMPUTED_VALUE"""),"quarta-feira")</f>
        <v>quarta-feira</v>
      </c>
      <c r="D394" s="1">
        <f>IFERROR(__xludf.DUMMYFUNCTION("""COMPUTED_VALUE"""),2.0)</f>
        <v>2</v>
      </c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2" t="str">
        <f>IFERROR(__xludf.DUMMYFUNCTION("""COMPUTED_VALUE"""),"quinta-feira")</f>
        <v>quinta-feira</v>
      </c>
      <c r="D395" s="1">
        <f>IFERROR(__xludf.DUMMYFUNCTION("""COMPUTED_VALUE"""),1.0)</f>
        <v>1</v>
      </c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2" t="str">
        <f>IFERROR(__xludf.DUMMYFUNCTION("""COMPUTED_VALUE"""),"sexta-feira")</f>
        <v>sexta-feira</v>
      </c>
      <c r="D396" s="1">
        <f>IFERROR(__xludf.DUMMYFUNCTION("""COMPUTED_VALUE"""),2.0)</f>
        <v>2</v>
      </c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2" t="str">
        <f>IFERROR(__xludf.DUMMYFUNCTION("""COMPUTED_VALUE"""),"sábado")</f>
        <v>sábado</v>
      </c>
      <c r="D397" s="1">
        <f>IFERROR(__xludf.DUMMYFUNCTION("""COMPUTED_VALUE"""),1.0)</f>
        <v>1</v>
      </c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