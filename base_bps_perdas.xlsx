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2">
        <f>IFERROR(__xludf.DUMMYFUNCTION("""COMPUTED_VALUE"""),46046.0)</f>
        <v>46046</v>
      </c>
      <c r="B638" s="3" t="str">
        <f>IFERROR(__xludf.DUMMYFUNCTION("""COMPUTED_VALUE"""),"Penne funghi ")</f>
        <v>Penne funghi </v>
      </c>
      <c r="C638" s="3" t="str">
        <f>IFERROR(__xludf.DUMMYFUNCTION("""COMPUTED_VALUE"""),"Produto final")</f>
        <v>Produto final</v>
      </c>
      <c r="D638" s="3">
        <f>IFERROR(__xludf.DUMMYFUNCTION("""COMPUTED_VALUE"""),1.0)</f>
        <v>1</v>
      </c>
      <c r="E638" s="3" t="str">
        <f>IFERROR(__xludf.DUMMYFUNCTION("""COMPUTED_VALUE"""),"Erro de processo")</f>
        <v>Erro de processo</v>
      </c>
      <c r="F638" s="3" t="str">
        <f>IFERROR(__xludf.DUMMYFUNCTION("""COMPUTED_VALUE"""),"Jonathan")</f>
        <v>Jonathan</v>
      </c>
      <c r="G638" s="3" t="str">
        <f>IFERROR(__xludf.DUMMYFUNCTION("""COMPUTED_VALUE"""),"Fez errado ")</f>
        <v>Fez errado </v>
      </c>
      <c r="I638" s="4"/>
    </row>
    <row r="639">
      <c r="A639" s="2">
        <f>IFERROR(__xludf.DUMMYFUNCTION("""COMPUTED_VALUE"""),46046.0)</f>
        <v>46046</v>
      </c>
      <c r="B639" s="3" t="str">
        <f>IFERROR(__xludf.DUMMYFUNCTION("""COMPUTED_VALUE"""),"Suco de laranja com acerola ")</f>
        <v>Suco de laranja com acerola </v>
      </c>
      <c r="C639" s="3" t="str">
        <f>IFERROR(__xludf.DUMMYFUNCTION("""COMPUTED_VALUE"""),"Produto final")</f>
        <v>Produto final</v>
      </c>
      <c r="D639" s="3">
        <f>IFERROR(__xludf.DUMMYFUNCTION("""COMPUTED_VALUE"""),1.0)</f>
        <v>1</v>
      </c>
      <c r="E639" s="3" t="str">
        <f>IFERROR(__xludf.DUMMYFUNCTION("""COMPUTED_VALUE"""),"Erro de processo")</f>
        <v>Erro de processo</v>
      </c>
      <c r="F639" s="3" t="str">
        <f>IFERROR(__xludf.DUMMYFUNCTION("""COMPUTED_VALUE"""),"Edna")</f>
        <v>Edna</v>
      </c>
      <c r="G639" s="3" t="str">
        <f>IFERROR(__xludf.DUMMYFUNCTION("""COMPUTED_VALUE"""),"Fez errado ")</f>
        <v>Fez errado </v>
      </c>
      <c r="I639" s="4"/>
    </row>
    <row r="640">
      <c r="A640" s="2">
        <f>IFERROR(__xludf.DUMMYFUNCTION("""COMPUTED_VALUE"""),46046.0)</f>
        <v>46046</v>
      </c>
      <c r="B640" s="3" t="str">
        <f>IFERROR(__xludf.DUMMYFUNCTION("""COMPUTED_VALUE"""),"Tapioca ")</f>
        <v>Tapioca </v>
      </c>
      <c r="C640" s="3" t="str">
        <f>IFERROR(__xludf.DUMMYFUNCTION("""COMPUTED_VALUE"""),"Produto final")</f>
        <v>Produto final</v>
      </c>
      <c r="D640" s="3" t="str">
        <f>IFERROR(__xludf.DUMMYFUNCTION("""COMPUTED_VALUE"""),"140g")</f>
        <v>140g</v>
      </c>
      <c r="E640" s="3" t="str">
        <f>IFERROR(__xludf.DUMMYFUNCTION("""COMPUTED_VALUE"""),"Erro de processo")</f>
        <v>Erro de processo</v>
      </c>
      <c r="F640" s="3" t="str">
        <f>IFERROR(__xludf.DUMMYFUNCTION("""COMPUTED_VALUE"""),"Jonathan")</f>
        <v>Jonathan</v>
      </c>
      <c r="G640" s="3" t="str">
        <f>IFERROR(__xludf.DUMMYFUNCTION("""COMPUTED_VALUE"""),"Quebrou a massa ")</f>
        <v>Quebrou a massa </v>
      </c>
      <c r="I640" s="4"/>
    </row>
    <row r="641">
      <c r="A641" s="2">
        <f>IFERROR(__xludf.DUMMYFUNCTION("""COMPUTED_VALUE"""),46047.0)</f>
        <v>46047</v>
      </c>
      <c r="B641" s="3" t="str">
        <f>IFERROR(__xludf.DUMMYFUNCTION("""COMPUTED_VALUE"""),"Copo shot")</f>
        <v>Copo shot</v>
      </c>
      <c r="C641" s="3" t="str">
        <f>IFERROR(__xludf.DUMMYFUNCTION("""COMPUTED_VALUE"""),"Utensílio")</f>
        <v>Utensílio</v>
      </c>
      <c r="D641" s="3">
        <f>IFERROR(__xludf.DUMMYFUNCTION("""COMPUTED_VALUE"""),1.0)</f>
        <v>1</v>
      </c>
      <c r="E641" s="3" t="str">
        <f>IFERROR(__xludf.DUMMYFUNCTION("""COMPUTED_VALUE"""),"Quebra")</f>
        <v>Quebra</v>
      </c>
      <c r="F641" s="3" t="str">
        <f>IFERROR(__xludf.DUMMYFUNCTION("""COMPUTED_VALUE"""),"Rafael")</f>
        <v>Rafael</v>
      </c>
      <c r="G641" s="3" t="str">
        <f>IFERROR(__xludf.DUMMYFUNCTION("""COMPUTED_VALUE"""),"Cliente deixou cair no chão ")</f>
        <v>Cliente deixou cair no chão </v>
      </c>
      <c r="I641" s="4"/>
    </row>
    <row r="642">
      <c r="A642" s="2">
        <f>IFERROR(__xludf.DUMMYFUNCTION("""COMPUTED_VALUE"""),46048.0)</f>
        <v>46048</v>
      </c>
      <c r="B642" s="3" t="str">
        <f>IFERROR(__xludf.DUMMYFUNCTION("""COMPUTED_VALUE"""),"Coca cola normal")</f>
        <v>Coca cola normal</v>
      </c>
      <c r="C642" s="3" t="str">
        <f>IFERROR(__xludf.DUMMYFUNCTION("""COMPUTED_VALUE"""),"Produto final")</f>
        <v>Produto final</v>
      </c>
      <c r="D642" s="3">
        <f>IFERROR(__xludf.DUMMYFUNCTION("""COMPUTED_VALUE"""),1.0)</f>
        <v>1</v>
      </c>
      <c r="E642" s="3" t="str">
        <f>IFERROR(__xludf.DUMMYFUNCTION("""COMPUTED_VALUE"""),"Erro de processo")</f>
        <v>Erro de processo</v>
      </c>
      <c r="F642" s="3" t="str">
        <f>IFERROR(__xludf.DUMMYFUNCTION("""COMPUTED_VALUE"""),"Edna")</f>
        <v>Edna</v>
      </c>
      <c r="G642" s="3" t="str">
        <f>IFERROR(__xludf.DUMMYFUNCTION("""COMPUTED_VALUE"""),"Deixou cair no chão e furou a lata. ")</f>
        <v>Deixou cair no chão e furou a lata. </v>
      </c>
      <c r="I642" s="4"/>
    </row>
    <row r="643">
      <c r="A643" s="2">
        <f>IFERROR(__xludf.DUMMYFUNCTION("""COMPUTED_VALUE"""),46048.0)</f>
        <v>46048</v>
      </c>
      <c r="B643" s="3" t="str">
        <f>IFERROR(__xludf.DUMMYFUNCTION("""COMPUTED_VALUE"""),"Heineken")</f>
        <v>Heineken</v>
      </c>
      <c r="C643" s="3" t="str">
        <f>IFERROR(__xludf.DUMMYFUNCTION("""COMPUTED_VALUE"""),"Produto final")</f>
        <v>Produto final</v>
      </c>
      <c r="D643" s="3">
        <f>IFERROR(__xludf.DUMMYFUNCTION("""COMPUTED_VALUE"""),1.0)</f>
        <v>1</v>
      </c>
      <c r="E643" s="3" t="str">
        <f>IFERROR(__xludf.DUMMYFUNCTION("""COMPUTED_VALUE"""),"Erro de processo")</f>
        <v>Erro de processo</v>
      </c>
      <c r="F643" s="3" t="str">
        <f>IFERROR(__xludf.DUMMYFUNCTION("""COMPUTED_VALUE"""),"Patrícia")</f>
        <v>Patrícia</v>
      </c>
      <c r="G643" s="3" t="str">
        <f>IFERROR(__xludf.DUMMYFUNCTION("""COMPUTED_VALUE"""),"Deixou cair")</f>
        <v>Deixou cair</v>
      </c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  <row r="1638">
      <c r="A1638" s="3"/>
      <c r="B1638" s="3"/>
      <c r="C1638" s="3"/>
      <c r="D1638" s="3"/>
      <c r="E1638" s="3"/>
      <c r="F1638" s="3"/>
      <c r="G1638" s="3"/>
    </row>
    <row r="1639">
      <c r="A1639" s="3"/>
      <c r="B1639" s="3"/>
      <c r="C1639" s="3"/>
      <c r="D1639" s="3"/>
      <c r="E1639" s="3"/>
      <c r="F1639" s="3"/>
      <c r="G1639" s="3"/>
    </row>
    <row r="1640">
      <c r="A1640" s="3"/>
      <c r="B1640" s="3"/>
      <c r="C1640" s="3"/>
      <c r="D1640" s="3"/>
      <c r="E1640" s="3"/>
      <c r="F1640" s="3"/>
      <c r="G1640" s="3"/>
    </row>
    <row r="1641">
      <c r="A1641" s="3"/>
      <c r="B1641" s="3"/>
      <c r="C1641" s="3"/>
      <c r="D1641" s="3"/>
      <c r="E1641" s="3"/>
      <c r="F1641" s="3"/>
      <c r="G1641" s="3"/>
    </row>
    <row r="1642">
      <c r="A1642" s="3"/>
      <c r="B1642" s="3"/>
      <c r="C1642" s="3"/>
      <c r="D1642" s="3"/>
      <c r="E1642" s="3"/>
      <c r="F1642" s="3"/>
      <c r="G1642" s="3"/>
    </row>
    <row r="1643">
      <c r="A1643" s="3"/>
      <c r="B1643" s="3"/>
      <c r="C1643" s="3"/>
      <c r="D1643" s="3"/>
      <c r="E1643" s="3"/>
      <c r="F1643" s="3"/>
      <c r="G1643" s="3"/>
    </row>
  </sheetData>
  <drawing r:id="rId1"/>
</worksheet>
</file>