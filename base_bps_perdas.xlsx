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2">
        <f>IFERROR(__xludf.DUMMYFUNCTION("""COMPUTED_VALUE"""),46042.0)</f>
        <v>46042</v>
      </c>
      <c r="B630" s="3" t="str">
        <f>IFERROR(__xludf.DUMMYFUNCTION("""COMPUTED_VALUE"""),"Café Latte gelado")</f>
        <v>Café Latte gelado</v>
      </c>
      <c r="C630" s="3" t="str">
        <f>IFERROR(__xludf.DUMMYFUNCTION("""COMPUTED_VALUE"""),"Produto final")</f>
        <v>Produto final</v>
      </c>
      <c r="D630" s="3">
        <f>IFERROR(__xludf.DUMMYFUNCTION("""COMPUTED_VALUE"""),1.0)</f>
        <v>1</v>
      </c>
      <c r="E630" s="3" t="str">
        <f>IFERROR(__xludf.DUMMYFUNCTION("""COMPUTED_VALUE"""),"Lançamento errado")</f>
        <v>Lançamento errado</v>
      </c>
      <c r="F630" s="3" t="str">
        <f>IFERROR(__xludf.DUMMYFUNCTION("""COMPUTED_VALUE"""),"Patrícia")</f>
        <v>Patrícia</v>
      </c>
      <c r="G630" s="3" t="str">
        <f>IFERROR(__xludf.DUMMYFUNCTION("""COMPUTED_VALUE""")," ")</f>
        <v> </v>
      </c>
      <c r="I630" s="4"/>
    </row>
    <row r="631">
      <c r="A631" s="2">
        <f>IFERROR(__xludf.DUMMYFUNCTION("""COMPUTED_VALUE"""),46042.0)</f>
        <v>46042</v>
      </c>
      <c r="B631" s="3" t="str">
        <f>IFERROR(__xludf.DUMMYFUNCTION("""COMPUTED_VALUE"""),"Chá Erva Cidreira")</f>
        <v>Chá Erva Cidreira</v>
      </c>
      <c r="C631" s="3" t="str">
        <f>IFERROR(__xludf.DUMMYFUNCTION("""COMPUTED_VALUE"""),"Produto final")</f>
        <v>Produto final</v>
      </c>
      <c r="D631" s="3">
        <f>IFERROR(__xludf.DUMMYFUNCTION("""COMPUTED_VALUE"""),1.0)</f>
        <v>1</v>
      </c>
      <c r="E631" s="3" t="str">
        <f>IFERROR(__xludf.DUMMYFUNCTION("""COMPUTED_VALUE"""),"Erro de processo")</f>
        <v>Erro de processo</v>
      </c>
      <c r="F631" s="3" t="str">
        <f>IFERROR(__xludf.DUMMYFUNCTION("""COMPUTED_VALUE"""),"Patrícia")</f>
        <v>Patrícia</v>
      </c>
      <c r="G631" s="3" t="str">
        <f>IFERROR(__xludf.DUMMYFUNCTION("""COMPUTED_VALUE"""),"Chá já estava na mesa mas não foi avisado ")</f>
        <v>Chá já estava na mesa mas não foi avisado </v>
      </c>
      <c r="I631" s="4"/>
    </row>
    <row r="632">
      <c r="A632" s="2">
        <f>IFERROR(__xludf.DUMMYFUNCTION("""COMPUTED_VALUE"""),46042.0)</f>
        <v>46042</v>
      </c>
      <c r="B632" s="3" t="str">
        <f>IFERROR(__xludf.DUMMYFUNCTION("""COMPUTED_VALUE"""),"Suco abacaxi com hortelã ")</f>
        <v>Suco abacaxi com hortelã </v>
      </c>
      <c r="C632" s="3" t="str">
        <f>IFERROR(__xludf.DUMMYFUNCTION("""COMPUTED_VALUE"""),"Produto final")</f>
        <v>Produto final</v>
      </c>
      <c r="D632" s="3">
        <f>IFERROR(__xludf.DUMMYFUNCTION("""COMPUTED_VALUE"""),1.0)</f>
        <v>1</v>
      </c>
      <c r="E632" s="3" t="str">
        <f>IFERROR(__xludf.DUMMYFUNCTION("""COMPUTED_VALUE"""),"Cliente")</f>
        <v>Cliente</v>
      </c>
      <c r="F632" s="3" t="str">
        <f>IFERROR(__xludf.DUMMYFUNCTION("""COMPUTED_VALUE"""),"Edna")</f>
        <v>Edna</v>
      </c>
      <c r="G632" s="3" t="str">
        <f>IFERROR(__xludf.DUMMYFUNCTION("""COMPUTED_VALUE"""),"Cliente alegou que o gosto de hortelã estava muito forte. ")</f>
        <v>Cliente alegou que o gosto de hortelã estava muito forte. </v>
      </c>
      <c r="I632" s="4"/>
    </row>
    <row r="633">
      <c r="A633" s="2">
        <f>IFERROR(__xludf.DUMMYFUNCTION("""COMPUTED_VALUE"""),46043.0)</f>
        <v>46043</v>
      </c>
      <c r="B633" s="3" t="str">
        <f>IFERROR(__xludf.DUMMYFUNCTION("""COMPUTED_VALUE"""),"Empada de palmito ")</f>
        <v>Empada de palmito </v>
      </c>
      <c r="C633" s="3" t="str">
        <f>IFERROR(__xludf.DUMMYFUNCTION("""COMPUTED_VALUE"""),"Produto final")</f>
        <v>Produto final</v>
      </c>
      <c r="D633" s="3">
        <f>IFERROR(__xludf.DUMMYFUNCTION("""COMPUTED_VALUE"""),1.0)</f>
        <v>1</v>
      </c>
      <c r="E633" s="3" t="str">
        <f>IFERROR(__xludf.DUMMYFUNCTION("""COMPUTED_VALUE"""),"Venceu (Validade)")</f>
        <v>Venceu (Validade)</v>
      </c>
      <c r="F633" s="3" t="str">
        <f>IFERROR(__xludf.DUMMYFUNCTION("""COMPUTED_VALUE"""),"Melissa")</f>
        <v>Melissa</v>
      </c>
      <c r="G633" s="3" t="str">
        <f>IFERROR(__xludf.DUMMYFUNCTION("""COMPUTED_VALUE"""),"Estava mofada ")</f>
        <v>Estava mofada </v>
      </c>
      <c r="I633" s="4"/>
    </row>
    <row r="634">
      <c r="A634" s="2">
        <f>IFERROR(__xludf.DUMMYFUNCTION("""COMPUTED_VALUE"""),46044.0)</f>
        <v>46044</v>
      </c>
      <c r="B634" s="3" t="str">
        <f>IFERROR(__xludf.DUMMYFUNCTION("""COMPUTED_VALUE"""),"Torta banoffe")</f>
        <v>Torta banoffe</v>
      </c>
      <c r="C634" s="3" t="str">
        <f>IFERROR(__xludf.DUMMYFUNCTION("""COMPUTED_VALUE"""),"Produto final")</f>
        <v>Produto final</v>
      </c>
      <c r="D634" s="3">
        <f>IFERROR(__xludf.DUMMYFUNCTION("""COMPUTED_VALUE"""),1.0)</f>
        <v>1</v>
      </c>
      <c r="E634" s="3" t="str">
        <f>IFERROR(__xludf.DUMMYFUNCTION("""COMPUTED_VALUE"""),"Erro de processo")</f>
        <v>Erro de processo</v>
      </c>
      <c r="F634" s="3" t="str">
        <f>IFERROR(__xludf.DUMMYFUNCTION("""COMPUTED_VALUE"""),"Edna")</f>
        <v>Edna</v>
      </c>
      <c r="G634" s="3" t="str">
        <f>IFERROR(__xludf.DUMMYFUNCTION("""COMPUTED_VALUE"""),"Fatia pequena. ")</f>
        <v>Fatia pequena. </v>
      </c>
      <c r="I634" s="4"/>
    </row>
    <row r="635">
      <c r="A635" s="2">
        <f>IFERROR(__xludf.DUMMYFUNCTION("""COMPUTED_VALUE"""),46045.0)</f>
        <v>46045</v>
      </c>
      <c r="B635" s="3" t="str">
        <f>IFERROR(__xludf.DUMMYFUNCTION("""COMPUTED_VALUE"""),"Ninho com Nutella ")</f>
        <v>Ninho com Nutella </v>
      </c>
      <c r="C635" s="3" t="str">
        <f>IFERROR(__xludf.DUMMYFUNCTION("""COMPUTED_VALUE"""),"Produto final")</f>
        <v>Produto final</v>
      </c>
      <c r="D635" s="3">
        <f>IFERROR(__xludf.DUMMYFUNCTION("""COMPUTED_VALUE"""),1.0)</f>
        <v>1</v>
      </c>
      <c r="E635" s="3" t="str">
        <f>IFERROR(__xludf.DUMMYFUNCTION("""COMPUTED_VALUE"""),"Erro de processo")</f>
        <v>Erro de processo</v>
      </c>
      <c r="F635" s="3" t="str">
        <f>IFERROR(__xludf.DUMMYFUNCTION("""COMPUTED_VALUE"""),"Melissa")</f>
        <v>Melissa</v>
      </c>
      <c r="G635" s="3" t="str">
        <f>IFERROR(__xludf.DUMMYFUNCTION("""COMPUTED_VALUE"""),"Enviou para a mesa a torta errada")</f>
        <v>Enviou para a mesa a torta errada</v>
      </c>
      <c r="I635" s="4"/>
    </row>
    <row r="636">
      <c r="A636" s="2">
        <f>IFERROR(__xludf.DUMMYFUNCTION("""COMPUTED_VALUE"""),46045.0)</f>
        <v>46045</v>
      </c>
      <c r="B636" s="3" t="str">
        <f>IFERROR(__xludf.DUMMYFUNCTION("""COMPUTED_VALUE"""),"Espresso simples")</f>
        <v>Espresso simples</v>
      </c>
      <c r="C636" s="3" t="str">
        <f>IFERROR(__xludf.DUMMYFUNCTION("""COMPUTED_VALUE"""),"Produto final")</f>
        <v>Produto final</v>
      </c>
      <c r="D636" s="3">
        <f>IFERROR(__xludf.DUMMYFUNCTION("""COMPUTED_VALUE"""),1.0)</f>
        <v>1</v>
      </c>
      <c r="E636" s="3" t="str">
        <f>IFERROR(__xludf.DUMMYFUNCTION("""COMPUTED_VALUE"""),"Cliente")</f>
        <v>Cliente</v>
      </c>
      <c r="F636" s="3" t="str">
        <f>IFERROR(__xludf.DUMMYFUNCTION("""COMPUTED_VALUE"""),"Ana Júlia")</f>
        <v>Ana Júlia</v>
      </c>
      <c r="G636" s="3" t="str">
        <f>IFERROR(__xludf.DUMMYFUNCTION("""COMPUTED_VALUE"""),"Cliente solicitou troca por cappuccino")</f>
        <v>Cliente solicitou troca por cappuccino</v>
      </c>
      <c r="I636" s="4"/>
    </row>
    <row r="637">
      <c r="A637" s="2">
        <f>IFERROR(__xludf.DUMMYFUNCTION("""COMPUTED_VALUE"""),46045.0)</f>
        <v>46045</v>
      </c>
      <c r="B637" s="3" t="str">
        <f>IFERROR(__xludf.DUMMYFUNCTION("""COMPUTED_VALUE"""),"Torta sweetpie ")</f>
        <v>Torta sweetpie </v>
      </c>
      <c r="C637" s="3" t="str">
        <f>IFERROR(__xludf.DUMMYFUNCTION("""COMPUTED_VALUE"""),"Produto final")</f>
        <v>Produto final</v>
      </c>
      <c r="D637" s="3">
        <f>IFERROR(__xludf.DUMMYFUNCTION("""COMPUTED_VALUE"""),1.0)</f>
        <v>1</v>
      </c>
      <c r="E637" s="3" t="str">
        <f>IFERROR(__xludf.DUMMYFUNCTION("""COMPUTED_VALUE"""),"Lançamento errado")</f>
        <v>Lançamento errado</v>
      </c>
      <c r="F637" s="3" t="str">
        <f>IFERROR(__xludf.DUMMYFUNCTION("""COMPUTED_VALUE"""),"Rafael")</f>
        <v>Rafael</v>
      </c>
      <c r="G637" s="3" t="str">
        <f>IFERROR(__xludf.DUMMYFUNCTION("""COMPUTED_VALUE"""),"Lançado errado")</f>
        <v>Lançado errado</v>
      </c>
      <c r="I637" s="4"/>
    </row>
    <row r="638">
      <c r="A638" s="2">
        <f>IFERROR(__xludf.DUMMYFUNCTION("""COMPUTED_VALUE"""),46046.0)</f>
        <v>46046</v>
      </c>
      <c r="B638" s="3" t="str">
        <f>IFERROR(__xludf.DUMMYFUNCTION("""COMPUTED_VALUE"""),"Penne funghi ")</f>
        <v>Penne funghi </v>
      </c>
      <c r="C638" s="3" t="str">
        <f>IFERROR(__xludf.DUMMYFUNCTION("""COMPUTED_VALUE"""),"Produto final")</f>
        <v>Produto final</v>
      </c>
      <c r="D638" s="3">
        <f>IFERROR(__xludf.DUMMYFUNCTION("""COMPUTED_VALUE"""),1.0)</f>
        <v>1</v>
      </c>
      <c r="E638" s="3" t="str">
        <f>IFERROR(__xludf.DUMMYFUNCTION("""COMPUTED_VALUE"""),"Erro de processo")</f>
        <v>Erro de processo</v>
      </c>
      <c r="F638" s="3" t="str">
        <f>IFERROR(__xludf.DUMMYFUNCTION("""COMPUTED_VALUE"""),"Jonathan")</f>
        <v>Jonathan</v>
      </c>
      <c r="G638" s="3" t="str">
        <f>IFERROR(__xludf.DUMMYFUNCTION("""COMPUTED_VALUE"""),"Fez errado ")</f>
        <v>Fez errado </v>
      </c>
      <c r="I638" s="4"/>
    </row>
    <row r="639">
      <c r="A639" s="2">
        <f>IFERROR(__xludf.DUMMYFUNCTION("""COMPUTED_VALUE"""),46046.0)</f>
        <v>46046</v>
      </c>
      <c r="B639" s="3" t="str">
        <f>IFERROR(__xludf.DUMMYFUNCTION("""COMPUTED_VALUE"""),"Suco de laranja com acerola ")</f>
        <v>Suco de laranja com acerola </v>
      </c>
      <c r="C639" s="3" t="str">
        <f>IFERROR(__xludf.DUMMYFUNCTION("""COMPUTED_VALUE"""),"Produto final")</f>
        <v>Produto final</v>
      </c>
      <c r="D639" s="3">
        <f>IFERROR(__xludf.DUMMYFUNCTION("""COMPUTED_VALUE"""),1.0)</f>
        <v>1</v>
      </c>
      <c r="E639" s="3" t="str">
        <f>IFERROR(__xludf.DUMMYFUNCTION("""COMPUTED_VALUE"""),"Erro de processo")</f>
        <v>Erro de processo</v>
      </c>
      <c r="F639" s="3" t="str">
        <f>IFERROR(__xludf.DUMMYFUNCTION("""COMPUTED_VALUE"""),"Edna")</f>
        <v>Edna</v>
      </c>
      <c r="G639" s="3" t="str">
        <f>IFERROR(__xludf.DUMMYFUNCTION("""COMPUTED_VALUE"""),"Fez errado ")</f>
        <v>Fez errado </v>
      </c>
      <c r="I639" s="4"/>
    </row>
    <row r="640">
      <c r="A640" s="2">
        <f>IFERROR(__xludf.DUMMYFUNCTION("""COMPUTED_VALUE"""),46046.0)</f>
        <v>46046</v>
      </c>
      <c r="B640" s="3" t="str">
        <f>IFERROR(__xludf.DUMMYFUNCTION("""COMPUTED_VALUE"""),"Tapioca ")</f>
        <v>Tapioca </v>
      </c>
      <c r="C640" s="3" t="str">
        <f>IFERROR(__xludf.DUMMYFUNCTION("""COMPUTED_VALUE"""),"Produto final")</f>
        <v>Produto final</v>
      </c>
      <c r="D640" s="3" t="str">
        <f>IFERROR(__xludf.DUMMYFUNCTION("""COMPUTED_VALUE"""),"140g")</f>
        <v>140g</v>
      </c>
      <c r="E640" s="3" t="str">
        <f>IFERROR(__xludf.DUMMYFUNCTION("""COMPUTED_VALUE"""),"Erro de processo")</f>
        <v>Erro de processo</v>
      </c>
      <c r="F640" s="3" t="str">
        <f>IFERROR(__xludf.DUMMYFUNCTION("""COMPUTED_VALUE"""),"Jonathan")</f>
        <v>Jonathan</v>
      </c>
      <c r="G640" s="3" t="str">
        <f>IFERROR(__xludf.DUMMYFUNCTION("""COMPUTED_VALUE"""),"Quebrou a massa ")</f>
        <v>Quebrou a massa </v>
      </c>
      <c r="I640" s="4"/>
    </row>
    <row r="641">
      <c r="A641" s="2">
        <f>IFERROR(__xludf.DUMMYFUNCTION("""COMPUTED_VALUE"""),46047.0)</f>
        <v>46047</v>
      </c>
      <c r="B641" s="3" t="str">
        <f>IFERROR(__xludf.DUMMYFUNCTION("""COMPUTED_VALUE"""),"Copo shot")</f>
        <v>Copo shot</v>
      </c>
      <c r="C641" s="3" t="str">
        <f>IFERROR(__xludf.DUMMYFUNCTION("""COMPUTED_VALUE"""),"Utensílio")</f>
        <v>Utensílio</v>
      </c>
      <c r="D641" s="3">
        <f>IFERROR(__xludf.DUMMYFUNCTION("""COMPUTED_VALUE"""),1.0)</f>
        <v>1</v>
      </c>
      <c r="E641" s="3" t="str">
        <f>IFERROR(__xludf.DUMMYFUNCTION("""COMPUTED_VALUE"""),"Quebra")</f>
        <v>Quebra</v>
      </c>
      <c r="F641" s="3" t="str">
        <f>IFERROR(__xludf.DUMMYFUNCTION("""COMPUTED_VALUE"""),"Rafael")</f>
        <v>Rafael</v>
      </c>
      <c r="G641" s="3" t="str">
        <f>IFERROR(__xludf.DUMMYFUNCTION("""COMPUTED_VALUE"""),"Cliente deixou cair no chão ")</f>
        <v>Cliente deixou cair no chão </v>
      </c>
      <c r="I641" s="4"/>
    </row>
    <row r="642">
      <c r="A642" s="2">
        <f>IFERROR(__xludf.DUMMYFUNCTION("""COMPUTED_VALUE"""),46048.0)</f>
        <v>46048</v>
      </c>
      <c r="B642" s="3" t="str">
        <f>IFERROR(__xludf.DUMMYFUNCTION("""COMPUTED_VALUE"""),"Coca cola normal")</f>
        <v>Coca cola normal</v>
      </c>
      <c r="C642" s="3" t="str">
        <f>IFERROR(__xludf.DUMMYFUNCTION("""COMPUTED_VALUE"""),"Produto final")</f>
        <v>Produto final</v>
      </c>
      <c r="D642" s="3">
        <f>IFERROR(__xludf.DUMMYFUNCTION("""COMPUTED_VALUE"""),1.0)</f>
        <v>1</v>
      </c>
      <c r="E642" s="3" t="str">
        <f>IFERROR(__xludf.DUMMYFUNCTION("""COMPUTED_VALUE"""),"Erro de processo")</f>
        <v>Erro de processo</v>
      </c>
      <c r="F642" s="3" t="str">
        <f>IFERROR(__xludf.DUMMYFUNCTION("""COMPUTED_VALUE"""),"Edna")</f>
        <v>Edna</v>
      </c>
      <c r="G642" s="3" t="str">
        <f>IFERROR(__xludf.DUMMYFUNCTION("""COMPUTED_VALUE"""),"Deixou cair no chão e furou a lata. ")</f>
        <v>Deixou cair no chão e furou a lata. </v>
      </c>
      <c r="I642" s="4"/>
    </row>
    <row r="643">
      <c r="A643" s="2">
        <f>IFERROR(__xludf.DUMMYFUNCTION("""COMPUTED_VALUE"""),46048.0)</f>
        <v>46048</v>
      </c>
      <c r="B643" s="3" t="str">
        <f>IFERROR(__xludf.DUMMYFUNCTION("""COMPUTED_VALUE"""),"Heineken")</f>
        <v>Heineken</v>
      </c>
      <c r="C643" s="3" t="str">
        <f>IFERROR(__xludf.DUMMYFUNCTION("""COMPUTED_VALUE"""),"Produto final")</f>
        <v>Produto final</v>
      </c>
      <c r="D643" s="3">
        <f>IFERROR(__xludf.DUMMYFUNCTION("""COMPUTED_VALUE"""),1.0)</f>
        <v>1</v>
      </c>
      <c r="E643" s="3" t="str">
        <f>IFERROR(__xludf.DUMMYFUNCTION("""COMPUTED_VALUE"""),"Erro de processo")</f>
        <v>Erro de processo</v>
      </c>
      <c r="F643" s="3" t="str">
        <f>IFERROR(__xludf.DUMMYFUNCTION("""COMPUTED_VALUE"""),"Patrícia")</f>
        <v>Patrícia</v>
      </c>
      <c r="G643" s="3" t="str">
        <f>IFERROR(__xludf.DUMMYFUNCTION("""COMPUTED_VALUE"""),"Deixou cair")</f>
        <v>Deixou cair</v>
      </c>
      <c r="I643" s="4"/>
    </row>
    <row r="644">
      <c r="A644" s="2">
        <f>IFERROR(__xludf.DUMMYFUNCTION("""COMPUTED_VALUE"""),46049.0)</f>
        <v>46049</v>
      </c>
      <c r="B644" s="3" t="str">
        <f>IFERROR(__xludf.DUMMYFUNCTION("""COMPUTED_VALUE"""),"Torta cheesecake ")</f>
        <v>Torta cheesecake </v>
      </c>
      <c r="C644" s="3" t="str">
        <f>IFERROR(__xludf.DUMMYFUNCTION("""COMPUTED_VALUE"""),"Produto final")</f>
        <v>Produto final</v>
      </c>
      <c r="D644" s="3">
        <f>IFERROR(__xludf.DUMMYFUNCTION("""COMPUTED_VALUE"""),1.0)</f>
        <v>1</v>
      </c>
      <c r="E644" s="3" t="str">
        <f>IFERROR(__xludf.DUMMYFUNCTION("""COMPUTED_VALUE"""),"Venceu (Validade)")</f>
        <v>Venceu (Validade)</v>
      </c>
      <c r="F644" s="3" t="str">
        <f>IFERROR(__xludf.DUMMYFUNCTION("""COMPUTED_VALUE"""),"Melissa")</f>
        <v>Melissa</v>
      </c>
      <c r="G644" s="3" t="str">
        <f>IFERROR(__xludf.DUMMYFUNCTION("""COMPUTED_VALUE"""),"Estava azeda ")</f>
        <v>Estava azeda </v>
      </c>
      <c r="I644" s="4"/>
    </row>
    <row r="645">
      <c r="A645" s="2">
        <f>IFERROR(__xludf.DUMMYFUNCTION("""COMPUTED_VALUE"""),46049.0)</f>
        <v>46049</v>
      </c>
      <c r="B645" s="3" t="str">
        <f>IFERROR(__xludf.DUMMYFUNCTION("""COMPUTED_VALUE"""),"Croissant ")</f>
        <v>Croissant </v>
      </c>
      <c r="C645" s="3" t="str">
        <f>IFERROR(__xludf.DUMMYFUNCTION("""COMPUTED_VALUE"""),"Produto final")</f>
        <v>Produto final</v>
      </c>
      <c r="D645" s="3">
        <f>IFERROR(__xludf.DUMMYFUNCTION("""COMPUTED_VALUE"""),1.0)</f>
        <v>1</v>
      </c>
      <c r="E645" s="3" t="str">
        <f>IFERROR(__xludf.DUMMYFUNCTION("""COMPUTED_VALUE"""),"Erro de processo")</f>
        <v>Erro de processo</v>
      </c>
      <c r="F645" s="3" t="str">
        <f>IFERROR(__xludf.DUMMYFUNCTION("""COMPUTED_VALUE"""),"Melissa")</f>
        <v>Melissa</v>
      </c>
      <c r="G645" s="3" t="str">
        <f>IFERROR(__xludf.DUMMYFUNCTION("""COMPUTED_VALUE"""),"Caiu no chão ")</f>
        <v>Caiu no chão </v>
      </c>
      <c r="I645" s="4"/>
    </row>
    <row r="646">
      <c r="A646" s="2">
        <f>IFERROR(__xludf.DUMMYFUNCTION("""COMPUTED_VALUE"""),46050.0)</f>
        <v>46050</v>
      </c>
      <c r="B646" s="3" t="str">
        <f>IFERROR(__xludf.DUMMYFUNCTION("""COMPUTED_VALUE"""),"Alface")</f>
        <v>Alface</v>
      </c>
      <c r="C646" s="3" t="str">
        <f>IFERROR(__xludf.DUMMYFUNCTION("""COMPUTED_VALUE"""),"Hortifruti")</f>
        <v>Hortifruti</v>
      </c>
      <c r="D646" s="3" t="str">
        <f>IFERROR(__xludf.DUMMYFUNCTION("""COMPUTED_VALUE"""),"56g")</f>
        <v>56g</v>
      </c>
      <c r="E646" s="3" t="str">
        <f>IFERROR(__xludf.DUMMYFUNCTION("""COMPUTED_VALUE"""),"Venceu (Validade)")</f>
        <v>Venceu (Validade)</v>
      </c>
      <c r="F646" s="3" t="str">
        <f>IFERROR(__xludf.DUMMYFUNCTION("""COMPUTED_VALUE"""),"Jonathan")</f>
        <v>Jonathan</v>
      </c>
      <c r="G646" s="3" t="str">
        <f>IFERROR(__xludf.DUMMYFUNCTION("""COMPUTED_VALUE""")," ")</f>
        <v> </v>
      </c>
      <c r="I646" s="4"/>
    </row>
    <row r="647">
      <c r="A647" s="2">
        <f>IFERROR(__xludf.DUMMYFUNCTION("""COMPUTED_VALUE"""),46051.0)</f>
        <v>46051</v>
      </c>
      <c r="B647" s="3" t="str">
        <f>IFERROR(__xludf.DUMMYFUNCTION("""COMPUTED_VALUE"""),"Queijo parmesão ")</f>
        <v>Queijo parmesão </v>
      </c>
      <c r="C647" s="3" t="str">
        <f>IFERROR(__xludf.DUMMYFUNCTION("""COMPUTED_VALUE"""),"Insumo")</f>
        <v>Insumo</v>
      </c>
      <c r="D647" s="3" t="str">
        <f>IFERROR(__xludf.DUMMYFUNCTION("""COMPUTED_VALUE"""),"20g")</f>
        <v>20g</v>
      </c>
      <c r="E647" s="3" t="str">
        <f>IFERROR(__xludf.DUMMYFUNCTION("""COMPUTED_VALUE"""),"Venceu (Validade)")</f>
        <v>Venceu (Validade)</v>
      </c>
      <c r="F647" s="3" t="str">
        <f>IFERROR(__xludf.DUMMYFUNCTION("""COMPUTED_VALUE"""),"Rafael")</f>
        <v>Rafael</v>
      </c>
      <c r="G647" s="3" t="str">
        <f>IFERROR(__xludf.DUMMYFUNCTION("""COMPUTED_VALUE"""),"Estragou. Cheiro ruim. ")</f>
        <v>Estragou. Cheiro ruim. </v>
      </c>
      <c r="I647" s="4"/>
    </row>
    <row r="648">
      <c r="A648" s="2">
        <f>IFERROR(__xludf.DUMMYFUNCTION("""COMPUTED_VALUE"""),46052.0)</f>
        <v>46052</v>
      </c>
      <c r="B648" s="3" t="str">
        <f>IFERROR(__xludf.DUMMYFUNCTION("""COMPUTED_VALUE"""),"Torta Palmito")</f>
        <v>Torta Palmito</v>
      </c>
      <c r="C648" s="3" t="str">
        <f>IFERROR(__xludf.DUMMYFUNCTION("""COMPUTED_VALUE"""),"Produto final")</f>
        <v>Produto final</v>
      </c>
      <c r="D648" s="3">
        <f>IFERROR(__xludf.DUMMYFUNCTION("""COMPUTED_VALUE"""),1.0)</f>
        <v>1</v>
      </c>
      <c r="E648" s="3" t="str">
        <f>IFERROR(__xludf.DUMMYFUNCTION("""COMPUTED_VALUE"""),"Cliente")</f>
        <v>Cliente</v>
      </c>
      <c r="F648" s="3" t="str">
        <f>IFERROR(__xludf.DUMMYFUNCTION("""COMPUTED_VALUE"""),"Pâmela")</f>
        <v>Pâmela</v>
      </c>
      <c r="G648" s="3" t="str">
        <f>IFERROR(__xludf.DUMMYFUNCTION("""COMPUTED_VALUE"""),"Cliente alegou estar azeda")</f>
        <v>Cliente alegou estar azeda</v>
      </c>
      <c r="I648" s="4"/>
    </row>
    <row r="649">
      <c r="A649" s="2">
        <f>IFERROR(__xludf.DUMMYFUNCTION("""COMPUTED_VALUE"""),46052.0)</f>
        <v>46052</v>
      </c>
      <c r="B649" s="3" t="str">
        <f>IFERROR(__xludf.DUMMYFUNCTION("""COMPUTED_VALUE"""),"Coado fritado")</f>
        <v>Coado fritado</v>
      </c>
      <c r="C649" s="3" t="str">
        <f>IFERROR(__xludf.DUMMYFUNCTION("""COMPUTED_VALUE"""),"Produto final")</f>
        <v>Produto final</v>
      </c>
      <c r="D649" s="3">
        <f>IFERROR(__xludf.DUMMYFUNCTION("""COMPUTED_VALUE"""),1.0)</f>
        <v>1</v>
      </c>
      <c r="E649" s="3" t="str">
        <f>IFERROR(__xludf.DUMMYFUNCTION("""COMPUTED_VALUE"""),"Cliente")</f>
        <v>Cliente</v>
      </c>
      <c r="F649" s="3" t="str">
        <f>IFERROR(__xludf.DUMMYFUNCTION("""COMPUTED_VALUE"""),"Edna")</f>
        <v>Edna</v>
      </c>
      <c r="G649" s="3" t="str">
        <f>IFERROR(__xludf.DUMMYFUNCTION("""COMPUTED_VALUE"""),"Cliente alegou ser muito fraco e devolveu")</f>
        <v>Cliente alegou ser muito fraco e devolveu</v>
      </c>
      <c r="I649" s="4"/>
    </row>
    <row r="650">
      <c r="A650" s="2">
        <f>IFERROR(__xludf.DUMMYFUNCTION("""COMPUTED_VALUE"""),46052.0)</f>
        <v>46052</v>
      </c>
      <c r="B650" s="3" t="str">
        <f>IFERROR(__xludf.DUMMYFUNCTION("""COMPUTED_VALUE"""),"Tostex pão de queijo")</f>
        <v>Tostex pão de queijo</v>
      </c>
      <c r="C650" s="3" t="str">
        <f>IFERROR(__xludf.DUMMYFUNCTION("""COMPUTED_VALUE"""),"Produto final")</f>
        <v>Produto final</v>
      </c>
      <c r="D650" s="3">
        <f>IFERROR(__xludf.DUMMYFUNCTION("""COMPUTED_VALUE"""),1.0)</f>
        <v>1</v>
      </c>
      <c r="E650" s="3" t="str">
        <f>IFERROR(__xludf.DUMMYFUNCTION("""COMPUTED_VALUE"""),"Erro de processo")</f>
        <v>Erro de processo</v>
      </c>
      <c r="F650" s="3" t="str">
        <f>IFERROR(__xludf.DUMMYFUNCTION("""COMPUTED_VALUE"""),"Edna")</f>
        <v>Edna</v>
      </c>
      <c r="G650" s="3" t="str">
        <f>IFERROR(__xludf.DUMMYFUNCTION("""COMPUTED_VALUE"""),"Cliente pediu queijo branco e foi com doce de leite ")</f>
        <v>Cliente pediu queijo branco e foi com doce de leite </v>
      </c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  <row r="1630">
      <c r="A1630" s="3"/>
      <c r="B1630" s="3"/>
      <c r="C1630" s="3"/>
      <c r="D1630" s="3"/>
      <c r="E1630" s="3"/>
      <c r="F1630" s="3"/>
      <c r="G1630" s="3"/>
    </row>
    <row r="1631">
      <c r="A1631" s="3"/>
      <c r="B1631" s="3"/>
      <c r="C1631" s="3"/>
      <c r="D1631" s="3"/>
      <c r="E1631" s="3"/>
      <c r="F1631" s="3"/>
      <c r="G1631" s="3"/>
    </row>
    <row r="1632">
      <c r="A1632" s="3"/>
      <c r="B1632" s="3"/>
      <c r="C1632" s="3"/>
      <c r="D1632" s="3"/>
      <c r="E1632" s="3"/>
      <c r="F1632" s="3"/>
      <c r="G1632" s="3"/>
    </row>
    <row r="1633">
      <c r="A1633" s="3"/>
      <c r="B1633" s="3"/>
      <c r="C1633" s="3"/>
      <c r="D1633" s="3"/>
      <c r="E1633" s="3"/>
      <c r="F1633" s="3"/>
      <c r="G1633" s="3"/>
    </row>
    <row r="1634">
      <c r="A1634" s="3"/>
      <c r="B1634" s="3"/>
      <c r="C1634" s="3"/>
      <c r="D1634" s="3"/>
      <c r="E1634" s="3"/>
      <c r="F1634" s="3"/>
      <c r="G1634" s="3"/>
    </row>
    <row r="1635">
      <c r="A1635" s="3"/>
      <c r="B1635" s="3"/>
      <c r="C1635" s="3"/>
      <c r="D1635" s="3"/>
      <c r="E1635" s="3"/>
      <c r="F1635" s="3"/>
      <c r="G1635" s="3"/>
    </row>
    <row r="1636">
      <c r="A1636" s="3"/>
      <c r="B1636" s="3"/>
      <c r="C1636" s="3"/>
      <c r="D1636" s="3"/>
      <c r="E1636" s="3"/>
      <c r="F1636" s="3"/>
      <c r="G1636" s="3"/>
    </row>
    <row r="1637">
      <c r="A1637" s="3"/>
      <c r="B1637" s="3"/>
      <c r="C1637" s="3"/>
      <c r="D1637" s="3"/>
      <c r="E1637" s="3"/>
      <c r="F1637" s="3"/>
      <c r="G1637" s="3"/>
    </row>
    <row r="1638">
      <c r="A1638" s="3"/>
      <c r="B1638" s="3"/>
      <c r="C1638" s="3"/>
      <c r="D1638" s="3"/>
      <c r="E1638" s="3"/>
      <c r="F1638" s="3"/>
      <c r="G1638" s="3"/>
    </row>
    <row r="1639">
      <c r="A1639" s="3"/>
      <c r="B1639" s="3"/>
      <c r="C1639" s="3"/>
      <c r="D1639" s="3"/>
      <c r="E1639" s="3"/>
      <c r="F1639" s="3"/>
      <c r="G1639" s="3"/>
    </row>
    <row r="1640">
      <c r="A1640" s="3"/>
      <c r="B1640" s="3"/>
      <c r="C1640" s="3"/>
      <c r="D1640" s="3"/>
      <c r="E1640" s="3"/>
      <c r="F1640" s="3"/>
      <c r="G1640" s="3"/>
    </row>
    <row r="1641">
      <c r="A1641" s="3"/>
      <c r="B1641" s="3"/>
      <c r="C1641" s="3"/>
      <c r="D1641" s="3"/>
      <c r="E1641" s="3"/>
      <c r="F1641" s="3"/>
      <c r="G1641" s="3"/>
    </row>
    <row r="1642">
      <c r="A1642" s="3"/>
      <c r="B1642" s="3"/>
      <c r="C1642" s="3"/>
      <c r="D1642" s="3"/>
      <c r="E1642" s="3"/>
      <c r="F1642" s="3"/>
      <c r="G1642" s="3"/>
    </row>
    <row r="1643">
      <c r="A1643" s="3"/>
      <c r="B1643" s="3"/>
      <c r="C1643" s="3"/>
      <c r="D1643" s="3"/>
      <c r="E1643" s="3"/>
      <c r="F1643" s="3"/>
      <c r="G1643" s="3"/>
    </row>
    <row r="1644">
      <c r="A1644" s="3"/>
      <c r="B1644" s="3"/>
      <c r="C1644" s="3"/>
      <c r="D1644" s="3"/>
      <c r="E1644" s="3"/>
      <c r="F1644" s="3"/>
      <c r="G1644" s="3"/>
    </row>
    <row r="1645">
      <c r="A1645" s="3"/>
      <c r="B1645" s="3"/>
      <c r="C1645" s="3"/>
      <c r="D1645" s="3"/>
      <c r="E1645" s="3"/>
      <c r="F1645" s="3"/>
      <c r="G1645" s="3"/>
    </row>
    <row r="1646">
      <c r="A1646" s="3"/>
      <c r="B1646" s="3"/>
      <c r="C1646" s="3"/>
      <c r="D1646" s="3"/>
      <c r="E1646" s="3"/>
      <c r="F1646" s="3"/>
      <c r="G1646" s="3"/>
    </row>
    <row r="1647">
      <c r="A1647" s="3"/>
      <c r="B1647" s="3"/>
      <c r="C1647" s="3"/>
      <c r="D1647" s="3"/>
      <c r="E1647" s="3"/>
      <c r="F1647" s="3"/>
      <c r="G1647" s="3"/>
    </row>
    <row r="1648">
      <c r="A1648" s="3"/>
      <c r="B1648" s="3"/>
      <c r="C1648" s="3"/>
      <c r="D1648" s="3"/>
      <c r="E1648" s="3"/>
      <c r="F1648" s="3"/>
      <c r="G1648" s="3"/>
    </row>
    <row r="1649">
      <c r="A1649" s="3"/>
      <c r="B1649" s="3"/>
      <c r="C1649" s="3"/>
      <c r="D1649" s="3"/>
      <c r="E1649" s="3"/>
      <c r="F1649" s="3"/>
      <c r="G1649" s="3"/>
    </row>
    <row r="1650">
      <c r="A1650" s="3"/>
      <c r="B1650" s="3"/>
      <c r="C1650" s="3"/>
      <c r="D1650" s="3"/>
      <c r="E1650" s="3"/>
      <c r="F1650" s="3"/>
      <c r="G1650" s="3"/>
    </row>
  </sheetData>
  <drawing r:id="rId1"/>
</worksheet>
</file>