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 &quot;mmmm&quot; &quot;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IFERROR(__xludf.DUMMYFUNCTION("IMPORTRANGE(""https://docs.google.com/spreadsheets/d/1cyGKGwWHTqDgbWNQNhzPjNsLISHc1Oiwtc9z11zvNAc/edit?gid=1915937353#gid=1915937353"",""Respostas ao formulário 1!B:H"")
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  <c r="H1" s="1"/>
      <c r="I1" s="1"/>
    </row>
    <row r="2">
      <c r="A2" s="2">
        <f>IFERROR(__xludf.DUMMYFUNCTION("""COMPUTED_VALUE"""),45659.0)</f>
        <v>45659</v>
      </c>
      <c r="B2" s="3" t="str">
        <f>IFERROR(__xludf.DUMMYFUNCTION("""COMPUTED_VALUE"""),"Tapioca")</f>
        <v>Tapioca</v>
      </c>
      <c r="C2" s="3" t="str">
        <f>IFERROR(__xludf.DUMMYFUNCTION("""COMPUTED_VALUE"""),"Produto final")</f>
        <v>Produto final</v>
      </c>
      <c r="D2" s="3" t="str">
        <f>IFERROR(__xludf.DUMMYFUNCTION("""COMPUTED_VALUE"""),"100gr")</f>
        <v>100gr</v>
      </c>
      <c r="E2" s="3" t="str">
        <f>IFERROR(__xludf.DUMMYFUNCTION("""COMPUTED_VALUE"""),"Erro de processo")</f>
        <v>Erro de processo</v>
      </c>
      <c r="F2" s="3" t="str">
        <f>IFERROR(__xludf.DUMMYFUNCTION("""COMPUTED_VALUE"""),"Patrícia")</f>
        <v>Patrícia</v>
      </c>
      <c r="G2" s="3" t="str">
        <f>IFERROR(__xludf.DUMMYFUNCTION("""COMPUTED_VALUE"""),"Fez errado")</f>
        <v>Fez errado</v>
      </c>
    </row>
    <row r="3">
      <c r="A3" s="2">
        <f>IFERROR(__xludf.DUMMYFUNCTION("""COMPUTED_VALUE"""),45659.0)</f>
        <v>45659</v>
      </c>
      <c r="B3" s="3" t="str">
        <f>IFERROR(__xludf.DUMMYFUNCTION("""COMPUTED_VALUE"""),"Requeijão")</f>
        <v>Requeijão</v>
      </c>
      <c r="C3" s="3" t="str">
        <f>IFERROR(__xludf.DUMMYFUNCTION("""COMPUTED_VALUE"""),"Insumos")</f>
        <v>Insumos</v>
      </c>
      <c r="D3" s="3" t="str">
        <f>IFERROR(__xludf.DUMMYFUNCTION("""COMPUTED_VALUE"""),"40gr")</f>
        <v>40gr</v>
      </c>
      <c r="E3" s="3" t="str">
        <f>IFERROR(__xludf.DUMMYFUNCTION("""COMPUTED_VALUE"""),"Erro de processo")</f>
        <v>Erro de processo</v>
      </c>
      <c r="F3" s="3" t="str">
        <f>IFERROR(__xludf.DUMMYFUNCTION("""COMPUTED_VALUE"""),"Patrícia")</f>
        <v>Patrícia</v>
      </c>
      <c r="G3" s="3" t="str">
        <f>IFERROR(__xludf.DUMMYFUNCTION("""COMPUTED_VALUE"""),"Fez errado")</f>
        <v>Fez errado</v>
      </c>
    </row>
    <row r="4">
      <c r="A4" s="2">
        <f>IFERROR(__xludf.DUMMYFUNCTION("""COMPUTED_VALUE"""),45659.0)</f>
        <v>45659</v>
      </c>
      <c r="B4" s="3" t="str">
        <f>IFERROR(__xludf.DUMMYFUNCTION("""COMPUTED_VALUE"""),"Suco Laranja c/ Acerola")</f>
        <v>Suco Laranja c/ Acerola</v>
      </c>
      <c r="C4" s="3" t="str">
        <f>IFERROR(__xludf.DUMMYFUNCTION("""COMPUTED_VALUE"""),"Produto final")</f>
        <v>Produto final</v>
      </c>
      <c r="D4" s="3">
        <f>IFERROR(__xludf.DUMMYFUNCTION("""COMPUTED_VALUE"""),1.0)</f>
        <v>1</v>
      </c>
      <c r="E4" s="3" t="str">
        <f>IFERROR(__xludf.DUMMYFUNCTION("""COMPUTED_VALUE"""),"Erro de processo")</f>
        <v>Erro de processo</v>
      </c>
      <c r="F4" s="3" t="str">
        <f>IFERROR(__xludf.DUMMYFUNCTION("""COMPUTED_VALUE"""),"Melissa")</f>
        <v>Melissa</v>
      </c>
      <c r="G4" s="3" t="str">
        <f>IFERROR(__xludf.DUMMYFUNCTION("""COMPUTED_VALUE"""),"Cliente pediu normal, porém foi feito com leite")</f>
        <v>Cliente pediu normal, porém foi feito com leite</v>
      </c>
    </row>
    <row r="5">
      <c r="A5" s="2">
        <f>IFERROR(__xludf.DUMMYFUNCTION("""COMPUTED_VALUE"""),45659.0)</f>
        <v>45659</v>
      </c>
      <c r="B5" s="3" t="str">
        <f>IFERROR(__xludf.DUMMYFUNCTION("""COMPUTED_VALUE"""),"Suco Maracujá")</f>
        <v>Suco Maracujá</v>
      </c>
      <c r="C5" s="3" t="str">
        <f>IFERROR(__xludf.DUMMYFUNCTION("""COMPUTED_VALUE"""),"Produto final")</f>
        <v>Produto final</v>
      </c>
      <c r="D5" s="3">
        <f>IFERROR(__xludf.DUMMYFUNCTION("""COMPUTED_VALUE"""),1.0)</f>
        <v>1</v>
      </c>
      <c r="E5" s="3" t="str">
        <f>IFERROR(__xludf.DUMMYFUNCTION("""COMPUTED_VALUE"""),"Erro de processo")</f>
        <v>Erro de processo</v>
      </c>
      <c r="F5" s="3" t="str">
        <f>IFERROR(__xludf.DUMMYFUNCTION("""COMPUTED_VALUE"""),"Melissa")</f>
        <v>Melissa</v>
      </c>
      <c r="G5" s="3" t="str">
        <f>IFERROR(__xludf.DUMMYFUNCTION("""COMPUTED_VALUE"""),"Fez duas vezes")</f>
        <v>Fez duas vezes</v>
      </c>
    </row>
    <row r="6">
      <c r="A6" s="2">
        <f>IFERROR(__xludf.DUMMYFUNCTION("""COMPUTED_VALUE"""),45661.0)</f>
        <v>45661</v>
      </c>
      <c r="B6" s="3" t="str">
        <f>IFERROR(__xludf.DUMMYFUNCTION("""COMPUTED_VALUE"""),"Veg Café Latte Gelado")</f>
        <v>Veg Café Latte Gelado</v>
      </c>
      <c r="C6" s="3" t="str">
        <f>IFERROR(__xludf.DUMMYFUNCTION("""COMPUTED_VALUE"""),"Produto final")</f>
        <v>Produto final</v>
      </c>
      <c r="D6" s="3">
        <f>IFERROR(__xludf.DUMMYFUNCTION("""COMPUTED_VALUE"""),1.0)</f>
        <v>1</v>
      </c>
      <c r="E6" s="3" t="str">
        <f>IFERROR(__xludf.DUMMYFUNCTION("""COMPUTED_VALUE"""),"Lançamento errado")</f>
        <v>Lançamento errado</v>
      </c>
      <c r="F6" s="3" t="str">
        <f>IFERROR(__xludf.DUMMYFUNCTION("""COMPUTED_VALUE"""),"Rafael")</f>
        <v>Rafael</v>
      </c>
      <c r="G6" s="3" t="str">
        <f>IFERROR(__xludf.DUMMYFUNCTION("""COMPUTED_VALUE"""),"Cliente pediu Matcha Gelado e foi lançado Latte gelado")</f>
        <v>Cliente pediu Matcha Gelado e foi lançado Latte gelado</v>
      </c>
    </row>
    <row r="7">
      <c r="A7" s="2">
        <f>IFERROR(__xludf.DUMMYFUNCTION("""COMPUTED_VALUE"""),45661.0)</f>
        <v>45661</v>
      </c>
      <c r="B7" s="3" t="str">
        <f>IFERROR(__xludf.DUMMYFUNCTION("""COMPUTED_VALUE"""),"Pão de forma integral")</f>
        <v>Pão de forma integral</v>
      </c>
      <c r="C7" s="3" t="str">
        <f>IFERROR(__xludf.DUMMYFUNCTION("""COMPUTED_VALUE"""),"Produto final")</f>
        <v>Produto final</v>
      </c>
      <c r="D7" s="3">
        <f>IFERROR(__xludf.DUMMYFUNCTION("""COMPUTED_VALUE"""),1.0)</f>
        <v>1</v>
      </c>
      <c r="E7" s="3" t="str">
        <f>IFERROR(__xludf.DUMMYFUNCTION("""COMPUTED_VALUE"""),"Erro de processo")</f>
        <v>Erro de processo</v>
      </c>
      <c r="F7" s="3" t="str">
        <f>IFERROR(__xludf.DUMMYFUNCTION("""COMPUTED_VALUE"""),"Melissa")</f>
        <v>Melissa</v>
      </c>
      <c r="G7" s="3" t="str">
        <f>IFERROR(__xludf.DUMMYFUNCTION("""COMPUTED_VALUE"""),"Cliente pediu (Integral) sem requeijão efoi com requeijão")</f>
        <v>Cliente pediu (Integral) sem requeijão efoi com requeijão</v>
      </c>
    </row>
    <row r="8">
      <c r="A8" s="2">
        <f>IFERROR(__xludf.DUMMYFUNCTION("""COMPUTED_VALUE"""),45661.0)</f>
        <v>45661</v>
      </c>
      <c r="B8" s="3" t="str">
        <f>IFERROR(__xludf.DUMMYFUNCTION("""COMPUTED_VALUE"""),"Parmesão")</f>
        <v>Parmesão</v>
      </c>
      <c r="C8" s="3" t="str">
        <f>IFERROR(__xludf.DUMMYFUNCTION("""COMPUTED_VALUE"""),"Insumos")</f>
        <v>Insumos</v>
      </c>
      <c r="D8" s="3" t="str">
        <f>IFERROR(__xludf.DUMMYFUNCTION("""COMPUTED_VALUE"""),"54gr")</f>
        <v>54gr</v>
      </c>
      <c r="E8" s="3" t="str">
        <f>IFERROR(__xludf.DUMMYFUNCTION("""COMPUTED_VALUE"""),"Venceu (Validade)")</f>
        <v>Venceu (Validade)</v>
      </c>
      <c r="F8" s="3" t="str">
        <f>IFERROR(__xludf.DUMMYFUNCTION("""COMPUTED_VALUE"""),"Patrícia")</f>
        <v>Patrícia</v>
      </c>
      <c r="G8" s="3" t="str">
        <f>IFERROR(__xludf.DUMMYFUNCTION("""COMPUTED_VALUE"""),"Vencido")</f>
        <v>Vencido</v>
      </c>
    </row>
    <row r="9">
      <c r="A9" s="2">
        <f>IFERROR(__xludf.DUMMYFUNCTION("""COMPUTED_VALUE"""),45661.0)</f>
        <v>45661</v>
      </c>
      <c r="B9" s="3" t="str">
        <f>IFERROR(__xludf.DUMMYFUNCTION("""COMPUTED_VALUE"""),"Tomate cereja")</f>
        <v>Tomate cereja</v>
      </c>
      <c r="C9" s="3" t="str">
        <f>IFERROR(__xludf.DUMMYFUNCTION("""COMPUTED_VALUE"""),"Insumos")</f>
        <v>Insumos</v>
      </c>
      <c r="D9" s="3" t="str">
        <f>IFERROR(__xludf.DUMMYFUNCTION("""COMPUTED_VALUE"""),"405gr")</f>
        <v>405gr</v>
      </c>
      <c r="E9" s="3" t="str">
        <f>IFERROR(__xludf.DUMMYFUNCTION("""COMPUTED_VALUE"""),"Venceu (Validade)")</f>
        <v>Venceu (Validade)</v>
      </c>
      <c r="F9" s="3" t="str">
        <f>IFERROR(__xludf.DUMMYFUNCTION("""COMPUTED_VALUE"""),"Patrícia")</f>
        <v>Patrícia</v>
      </c>
      <c r="G9" s="3" t="str">
        <f>IFERROR(__xludf.DUMMYFUNCTION("""COMPUTED_VALUE"""),"Vencido")</f>
        <v>Vencido</v>
      </c>
    </row>
    <row r="10">
      <c r="A10" s="2">
        <f>IFERROR(__xludf.DUMMYFUNCTION("""COMPUTED_VALUE"""),45661.0)</f>
        <v>45661</v>
      </c>
      <c r="B10" s="3" t="str">
        <f>IFERROR(__xludf.DUMMYFUNCTION("""COMPUTED_VALUE"""),"Croissant")</f>
        <v>Croissant</v>
      </c>
      <c r="C10" s="3" t="str">
        <f>IFERROR(__xludf.DUMMYFUNCTION("""COMPUTED_VALUE"""),"Produto final")</f>
        <v>Produto final</v>
      </c>
      <c r="D10" s="3">
        <f>IFERROR(__xludf.DUMMYFUNCTION("""COMPUTED_VALUE"""),1.0)</f>
        <v>1</v>
      </c>
      <c r="E10" s="3" t="str">
        <f>IFERROR(__xludf.DUMMYFUNCTION("""COMPUTED_VALUE"""),"Erro de processo")</f>
        <v>Erro de processo</v>
      </c>
      <c r="F10" s="3" t="str">
        <f>IFERROR(__xludf.DUMMYFUNCTION("""COMPUTED_VALUE"""),"Patrícia")</f>
        <v>Patrícia</v>
      </c>
      <c r="G10" s="3" t="str">
        <f>IFERROR(__xludf.DUMMYFUNCTION("""COMPUTED_VALUE"""),"Queimou na chapa")</f>
        <v>Queimou na chapa</v>
      </c>
    </row>
    <row r="11">
      <c r="A11" s="2">
        <f>IFERROR(__xludf.DUMMYFUNCTION("""COMPUTED_VALUE"""),45663.0)</f>
        <v>45663</v>
      </c>
      <c r="B11" s="3" t="str">
        <f>IFERROR(__xludf.DUMMYFUNCTION("""COMPUTED_VALUE"""),"Panqueca Carne")</f>
        <v>Panqueca Carne</v>
      </c>
      <c r="C11" s="3" t="str">
        <f>IFERROR(__xludf.DUMMYFUNCTION("""COMPUTED_VALUE"""),"Produto final")</f>
        <v>Produto final</v>
      </c>
      <c r="D11" s="3">
        <f>IFERROR(__xludf.DUMMYFUNCTION("""COMPUTED_VALUE"""),2.0)</f>
        <v>2</v>
      </c>
      <c r="E11" s="3" t="str">
        <f>IFERROR(__xludf.DUMMYFUNCTION("""COMPUTED_VALUE"""),"Venceu (Validade)")</f>
        <v>Venceu (Validade)</v>
      </c>
      <c r="F11" s="3" t="str">
        <f>IFERROR(__xludf.DUMMYFUNCTION("""COMPUTED_VALUE"""),"Patrícia")</f>
        <v>Patrícia</v>
      </c>
      <c r="G11" s="3" t="str">
        <f>IFERROR(__xludf.DUMMYFUNCTION("""COMPUTED_VALUE"""),"Vencida")</f>
        <v>Vencida</v>
      </c>
    </row>
    <row r="12">
      <c r="A12" s="2">
        <f>IFERROR(__xludf.DUMMYFUNCTION("""COMPUTED_VALUE"""),45663.0)</f>
        <v>45663</v>
      </c>
      <c r="B12" s="3" t="str">
        <f>IFERROR(__xludf.DUMMYFUNCTION("""COMPUTED_VALUE"""),"Copo grande")</f>
        <v>Copo grande</v>
      </c>
      <c r="C12" s="3" t="str">
        <f>IFERROR(__xludf.DUMMYFUNCTION("""COMPUTED_VALUE"""),"Utensílio")</f>
        <v>Utensílio</v>
      </c>
      <c r="D12" s="3">
        <f>IFERROR(__xludf.DUMMYFUNCTION("""COMPUTED_VALUE"""),1.0)</f>
        <v>1</v>
      </c>
      <c r="E12" s="3" t="str">
        <f>IFERROR(__xludf.DUMMYFUNCTION("""COMPUTED_VALUE"""),"Quebra")</f>
        <v>Quebra</v>
      </c>
      <c r="F12" s="3" t="str">
        <f>IFERROR(__xludf.DUMMYFUNCTION("""COMPUTED_VALUE"""),"Rafael")</f>
        <v>Rafael</v>
      </c>
      <c r="G12" s="3" t="str">
        <f>IFERROR(__xludf.DUMMYFUNCTION("""COMPUTED_VALUE"""),"Quebrado na máquina")</f>
        <v>Quebrado na máquina</v>
      </c>
    </row>
    <row r="13">
      <c r="A13" s="2">
        <f>IFERROR(__xludf.DUMMYFUNCTION("""COMPUTED_VALUE"""),45663.0)</f>
        <v>45663</v>
      </c>
      <c r="B13" s="3" t="str">
        <f>IFERROR(__xludf.DUMMYFUNCTION("""COMPUTED_VALUE"""),"Copo grande")</f>
        <v>Copo grande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IFERROR(__xludf.DUMMYFUNCTION("""COMPUTED_VALUE"""),"Lucas")</f>
        <v>Lucas</v>
      </c>
      <c r="G13" s="3" t="str">
        <f>IFERROR(__xludf.DUMMYFUNCTION("""COMPUTED_VALUE"""),"Caiu no salão ao servir mesa")</f>
        <v>Caiu no salão ao servir mesa</v>
      </c>
    </row>
    <row r="14">
      <c r="A14" s="2">
        <f>IFERROR(__xludf.DUMMYFUNCTION("""COMPUTED_VALUE"""),45663.0)</f>
        <v>45663</v>
      </c>
      <c r="B14" s="3" t="str">
        <f>IFERROR(__xludf.DUMMYFUNCTION("""COMPUTED_VALUE"""),"Prato médio Gourmet")</f>
        <v>Prato médio Gourmet</v>
      </c>
      <c r="C14" s="3" t="str">
        <f>IFERROR(__xludf.DUMMYFUNCTION("""COMPUTED_VALUE"""),"Utensílio")</f>
        <v>Utensílio</v>
      </c>
      <c r="D14" s="3">
        <f>IFERROR(__xludf.DUMMYFUNCTION("""COMPUTED_VALUE"""),1.0)</f>
        <v>1</v>
      </c>
      <c r="E14" s="3" t="str">
        <f>IFERROR(__xludf.DUMMYFUNCTION("""COMPUTED_VALUE"""),"Quebra")</f>
        <v>Quebra</v>
      </c>
      <c r="F14" s="3" t="str">
        <f>IFERROR(__xludf.DUMMYFUNCTION("""COMPUTED_VALUE"""),"Patrícia")</f>
        <v>Patrícia</v>
      </c>
      <c r="G14" s="3" t="str">
        <f>IFERROR(__xludf.DUMMYFUNCTION("""COMPUTED_VALUE"""),"Quebrou ao lavar louça da cozinha")</f>
        <v>Quebrou ao lavar louça da cozinha</v>
      </c>
    </row>
    <row r="15">
      <c r="A15" s="2">
        <f>IFERROR(__xludf.DUMMYFUNCTION("""COMPUTED_VALUE"""),45663.0)</f>
        <v>45663</v>
      </c>
      <c r="B15" s="3" t="str">
        <f>IFERROR(__xludf.DUMMYFUNCTION("""COMPUTED_VALUE"""),"Copo shot")</f>
        <v>Copo shot</v>
      </c>
      <c r="C15" s="3" t="str">
        <f>IFERROR(__xludf.DUMMYFUNCTION("""COMPUTED_VALUE"""),"Utensílio")</f>
        <v>Utensílio</v>
      </c>
      <c r="D15" s="3">
        <f>IFERROR(__xludf.DUMMYFUNCTION("""COMPUTED_VALUE"""),1.0)</f>
        <v>1</v>
      </c>
      <c r="E15" s="3" t="str">
        <f>IFERROR(__xludf.DUMMYFUNCTION("""COMPUTED_VALUE"""),"Quebra")</f>
        <v>Quebra</v>
      </c>
      <c r="F15" s="3" t="str">
        <f>IFERROR(__xludf.DUMMYFUNCTION("""COMPUTED_VALUE"""),"Patrícia")</f>
        <v>Patrícia</v>
      </c>
      <c r="G15" s="3" t="str">
        <f>IFERROR(__xludf.DUMMYFUNCTION("""COMPUTED_VALUE"""),"Quebrou ao lavar louça da cozinha")</f>
        <v>Quebrou ao lavar louça da cozinha</v>
      </c>
    </row>
    <row r="16">
      <c r="A16" s="2">
        <f>IFERROR(__xludf.DUMMYFUNCTION("""COMPUTED_VALUE"""),45663.0)</f>
        <v>45663</v>
      </c>
      <c r="B16" s="3" t="str">
        <f>IFERROR(__xludf.DUMMYFUNCTION("""COMPUTED_VALUE"""),"Borrifador de água")</f>
        <v>Borrifador de água</v>
      </c>
      <c r="C16" s="3" t="str">
        <f>IFERROR(__xludf.DUMMYFUNCTION("""COMPUTED_VALUE"""),"Utensílio")</f>
        <v>Utensílio</v>
      </c>
      <c r="D16" s="3">
        <f>IFERROR(__xludf.DUMMYFUNCTION("""COMPUTED_VALUE"""),1.0)</f>
        <v>1</v>
      </c>
      <c r="E16" s="3" t="str">
        <f>IFERROR(__xludf.DUMMYFUNCTION("""COMPUTED_VALUE"""),"Quebra")</f>
        <v>Quebra</v>
      </c>
      <c r="F16" s="3" t="str">
        <f>IFERROR(__xludf.DUMMYFUNCTION("""COMPUTED_VALUE"""),"Alex")</f>
        <v>Alex</v>
      </c>
      <c r="G16" s="3" t="str">
        <f>IFERROR(__xludf.DUMMYFUNCTION("""COMPUTED_VALUE"""),"Não está funcionando.")</f>
        <v>Não está funcionando.</v>
      </c>
    </row>
    <row r="17">
      <c r="A17" s="2">
        <f>IFERROR(__xludf.DUMMYFUNCTION("""COMPUTED_VALUE"""),45664.0)</f>
        <v>45664</v>
      </c>
      <c r="B17" s="3" t="str">
        <f>IFERROR(__xludf.DUMMYFUNCTION("""COMPUTED_VALUE"""),"torta banofe")</f>
        <v>torta banofe</v>
      </c>
      <c r="C17" s="3" t="str">
        <f>IFERROR(__xludf.DUMMYFUNCTION("""COMPUTED_VALUE"""),"Produto final")</f>
        <v>Produto final</v>
      </c>
      <c r="D17" s="3">
        <f>IFERROR(__xludf.DUMMYFUNCTION("""COMPUTED_VALUE"""),1.0)</f>
        <v>1</v>
      </c>
      <c r="E17" s="3" t="str">
        <f>IFERROR(__xludf.DUMMYFUNCTION("""COMPUTED_VALUE"""),"Venceu (Validade)")</f>
        <v>Venceu (Validade)</v>
      </c>
      <c r="F17" s="3" t="str">
        <f>IFERROR(__xludf.DUMMYFUNCTION("""COMPUTED_VALUE"""),"Melissa")</f>
        <v>Melissa</v>
      </c>
      <c r="G17" s="3" t="str">
        <f>IFERROR(__xludf.DUMMYFUNCTION("""COMPUTED_VALUE"""),"passou da data")</f>
        <v>passou da data</v>
      </c>
    </row>
    <row r="18">
      <c r="A18" s="2">
        <f>IFERROR(__xludf.DUMMYFUNCTION("""COMPUTED_VALUE"""),45664.0)</f>
        <v>45664</v>
      </c>
      <c r="B18" s="3" t="str">
        <f>IFERROR(__xludf.DUMMYFUNCTION("""COMPUTED_VALUE"""),"chocolat europeu")</f>
        <v>chocolat europeu</v>
      </c>
      <c r="C18" s="3" t="str">
        <f>IFERROR(__xludf.DUMMYFUNCTION("""COMPUTED_VALUE"""),"Produto final")</f>
        <v>Produto final</v>
      </c>
      <c r="D18" s="3" t="str">
        <f>IFERROR(__xludf.DUMMYFUNCTION("""COMPUTED_VALUE"""),"500ml")</f>
        <v>500ml</v>
      </c>
      <c r="E18" s="3" t="str">
        <f>IFERROR(__xludf.DUMMYFUNCTION("""COMPUTED_VALUE"""),"Venceu (Validade)")</f>
        <v>Venceu (Validade)</v>
      </c>
      <c r="F18" s="3" t="str">
        <f>IFERROR(__xludf.DUMMYFUNCTION("""COMPUTED_VALUE"""),"luiz")</f>
        <v>luiz</v>
      </c>
      <c r="G18" s="3" t="str">
        <f>IFERROR(__xludf.DUMMYFUNCTION("""COMPUTED_VALUE"""),"estava estragado")</f>
        <v>estava estragado</v>
      </c>
    </row>
    <row r="19">
      <c r="A19" s="2">
        <f>IFERROR(__xludf.DUMMYFUNCTION("""COMPUTED_VALUE"""),45665.0)</f>
        <v>45665</v>
      </c>
      <c r="B19" s="3" t="str">
        <f>IFERROR(__xludf.DUMMYFUNCTION("""COMPUTED_VALUE"""),"Soda Italiana Framboesa")</f>
        <v>Soda Italiana Framboesa</v>
      </c>
      <c r="C19" s="3" t="str">
        <f>IFERROR(__xludf.DUMMYFUNCTION("""COMPUTED_VALUE"""),"Produto final")</f>
        <v>Produto final</v>
      </c>
      <c r="D19" s="3">
        <f>IFERROR(__xludf.DUMMYFUNCTION("""COMPUTED_VALUE"""),1.0)</f>
        <v>1</v>
      </c>
      <c r="E19" s="3" t="str">
        <f>IFERROR(__xludf.DUMMYFUNCTION("""COMPUTED_VALUE"""),"Erro de processo")</f>
        <v>Erro de processo</v>
      </c>
      <c r="F19" s="3" t="str">
        <f>IFERROR(__xludf.DUMMYFUNCTION("""COMPUTED_VALUE"""),"Maria Eduarda")</f>
        <v>Maria Eduarda</v>
      </c>
      <c r="G19" s="3" t="str">
        <f>IFERROR(__xludf.DUMMYFUNCTION("""COMPUTED_VALUE"""),"Fez errado. Trocou o sabor.")</f>
        <v>Fez errado. Trocou o sabor.</v>
      </c>
    </row>
    <row r="20">
      <c r="A20" s="2">
        <f>IFERROR(__xludf.DUMMYFUNCTION("""COMPUTED_VALUE"""),45665.0)</f>
        <v>45665</v>
      </c>
      <c r="B20" s="3" t="str">
        <f>IFERROR(__xludf.DUMMYFUNCTION("""COMPUTED_VALUE"""),"Xícara grande")</f>
        <v>Xícara grande</v>
      </c>
      <c r="C20" s="3" t="str">
        <f>IFERROR(__xludf.DUMMYFUNCTION("""COMPUTED_VALUE"""),"Utensílio")</f>
        <v>Utensílio</v>
      </c>
      <c r="D20" s="3">
        <f>IFERROR(__xludf.DUMMYFUNCTION("""COMPUTED_VALUE"""),1.0)</f>
        <v>1</v>
      </c>
      <c r="E20" s="3" t="str">
        <f>IFERROR(__xludf.DUMMYFUNCTION("""COMPUTED_VALUE"""),"Quebra")</f>
        <v>Quebra</v>
      </c>
      <c r="F20" s="3" t="str">
        <f>IFERROR(__xludf.DUMMYFUNCTION("""COMPUTED_VALUE"""),"Maria Eduarda")</f>
        <v>Maria Eduarda</v>
      </c>
      <c r="G20" s="3" t="str">
        <f>IFERROR(__xludf.DUMMYFUNCTION("""COMPUTED_VALUE"""),"Quebrou durante lavagem")</f>
        <v>Quebrou durante lavagem</v>
      </c>
    </row>
    <row r="21">
      <c r="A21" s="2">
        <f>IFERROR(__xludf.DUMMYFUNCTION("""COMPUTED_VALUE"""),45665.0)</f>
        <v>45665</v>
      </c>
      <c r="B21" s="3" t="str">
        <f>IFERROR(__xludf.DUMMYFUNCTION("""COMPUTED_VALUE"""),"Tapioca pesto")</f>
        <v>Tapioca pesto</v>
      </c>
      <c r="C21" s="3" t="str">
        <f>IFERROR(__xludf.DUMMYFUNCTION("""COMPUTED_VALUE"""),"Produto final")</f>
        <v>Produto final</v>
      </c>
      <c r="D21" s="3">
        <f>IFERROR(__xludf.DUMMYFUNCTION("""COMPUTED_VALUE"""),1.0)</f>
        <v>1</v>
      </c>
      <c r="E21" s="3" t="str">
        <f>IFERROR(__xludf.DUMMYFUNCTION("""COMPUTED_VALUE"""),"Erro de processo")</f>
        <v>Erro de processo</v>
      </c>
      <c r="F21" s="3" t="str">
        <f>IFERROR(__xludf.DUMMYFUNCTION("""COMPUTED_VALUE"""),"Patrícia")</f>
        <v>Patrícia</v>
      </c>
      <c r="G21" s="3" t="str">
        <f>IFERROR(__xludf.DUMMYFUNCTION("""COMPUTED_VALUE"""),"Fez errado. Era Marguerita")</f>
        <v>Fez errado. Era Marguerita</v>
      </c>
    </row>
    <row r="22">
      <c r="A22" s="2">
        <f>IFERROR(__xludf.DUMMYFUNCTION("""COMPUTED_VALUE"""),45665.0)</f>
        <v>45665</v>
      </c>
      <c r="B22" s="3" t="str">
        <f>IFERROR(__xludf.DUMMYFUNCTION("""COMPUTED_VALUE"""),"Porção pão de queijo")</f>
        <v>Porção pão de queijo</v>
      </c>
      <c r="C22" s="3" t="str">
        <f>IFERROR(__xludf.DUMMYFUNCTION("""COMPUTED_VALUE"""),"Produto final")</f>
        <v>Produto final</v>
      </c>
      <c r="D22" s="3">
        <f>IFERROR(__xludf.DUMMYFUNCTION("""COMPUTED_VALUE"""),1.0)</f>
        <v>1</v>
      </c>
      <c r="E22" s="3" t="str">
        <f>IFERROR(__xludf.DUMMYFUNCTION("""COMPUTED_VALUE"""),"Erro de processo")</f>
        <v>Erro de processo</v>
      </c>
      <c r="F22" s="3" t="str">
        <f>IFERROR(__xludf.DUMMYFUNCTION("""COMPUTED_VALUE"""),"Lucas")</f>
        <v>Lucas</v>
      </c>
      <c r="G22" s="3" t="str">
        <f>IFERROR(__xludf.DUMMYFUNCTION("""COMPUTED_VALUE"""),"Deixou car ao servir o cliente na mesa")</f>
        <v>Deixou car ao servir o cliente na mesa</v>
      </c>
    </row>
    <row r="23">
      <c r="A23" s="2">
        <f>IFERROR(__xludf.DUMMYFUNCTION("""COMPUTED_VALUE"""),45665.0)</f>
        <v>45665</v>
      </c>
      <c r="B23" s="3" t="str">
        <f>IFERROR(__xludf.DUMMYFUNCTION("""COMPUTED_VALUE"""),"Tapioca Margerita")</f>
        <v>Tapioca Margerita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IFERROR(__xludf.DUMMYFUNCTION("""COMPUTED_VALUE"""),"Erro de processo")</f>
        <v>Erro de processo</v>
      </c>
      <c r="F23" s="3" t="str">
        <f>IFERROR(__xludf.DUMMYFUNCTION("""COMPUTED_VALUE"""),"Patrícia")</f>
        <v>Patrícia</v>
      </c>
      <c r="G23" s="3" t="str">
        <f>IFERROR(__xludf.DUMMYFUNCTION("""COMPUTED_VALUE"""),"Queimou durante o processo")</f>
        <v>Queimou durante o processo</v>
      </c>
    </row>
    <row r="24">
      <c r="A24" s="2">
        <f>IFERROR(__xludf.DUMMYFUNCTION("""COMPUTED_VALUE"""),45665.0)</f>
        <v>45665</v>
      </c>
      <c r="B24" s="3" t="str">
        <f>IFERROR(__xludf.DUMMYFUNCTION("""COMPUTED_VALUE"""),"Torta de limão")</f>
        <v>Torta de limão</v>
      </c>
      <c r="C24" s="3" t="str">
        <f>IFERROR(__xludf.DUMMYFUNCTION("""COMPUTED_VALUE"""),"Produto final")</f>
        <v>Produto final</v>
      </c>
      <c r="D24" s="3">
        <f>IFERROR(__xludf.DUMMYFUNCTION("""COMPUTED_VALUE"""),1.0)</f>
        <v>1</v>
      </c>
      <c r="E24" s="3" t="str">
        <f>IFERROR(__xludf.DUMMYFUNCTION("""COMPUTED_VALUE"""),"Venceu (Validade)")</f>
        <v>Venceu (Validade)</v>
      </c>
      <c r="F24" s="3" t="str">
        <f>IFERROR(__xludf.DUMMYFUNCTION("""COMPUTED_VALUE"""),"Melissa")</f>
        <v>Melissa</v>
      </c>
      <c r="G24" s="3" t="str">
        <f>IFERROR(__xludf.DUMMYFUNCTION("""COMPUTED_VALUE"""),"Vencida (Etiqueta trocada pela segunda vez)")</f>
        <v>Vencida (Etiqueta trocada pela segunda vez)</v>
      </c>
    </row>
    <row r="25">
      <c r="A25" s="2">
        <f>IFERROR(__xludf.DUMMYFUNCTION("""COMPUTED_VALUE"""),45665.0)</f>
        <v>45665</v>
      </c>
      <c r="B25" s="3" t="str">
        <f>IFERROR(__xludf.DUMMYFUNCTION("""COMPUTED_VALUE"""),"Torta de Iogurte")</f>
        <v>Torta de Iogurte</v>
      </c>
      <c r="C25" s="3" t="str">
        <f>IFERROR(__xludf.DUMMYFUNCTION("""COMPUTED_VALUE"""),"Produto final")</f>
        <v>Produto final</v>
      </c>
      <c r="D25" s="3">
        <f>IFERROR(__xludf.DUMMYFUNCTION("""COMPUTED_VALUE"""),1.0)</f>
        <v>1</v>
      </c>
      <c r="E25" s="3" t="str">
        <f>IFERROR(__xludf.DUMMYFUNCTION("""COMPUTED_VALUE"""),"Venceu (Validade)")</f>
        <v>Venceu (Validade)</v>
      </c>
      <c r="F25" s="3" t="str">
        <f>IFERROR(__xludf.DUMMYFUNCTION("""COMPUTED_VALUE"""),"Melissa")</f>
        <v>Melissa</v>
      </c>
      <c r="G25" s="3" t="str">
        <f>IFERROR(__xludf.DUMMYFUNCTION("""COMPUTED_VALUE"""),"Vencida (Etiqueta trocada pela segunda vez)")</f>
        <v>Vencida (Etiqueta trocada pela segunda vez)</v>
      </c>
    </row>
    <row r="26">
      <c r="A26" s="2">
        <f>IFERROR(__xludf.DUMMYFUNCTION("""COMPUTED_VALUE"""),45665.0)</f>
        <v>45665</v>
      </c>
      <c r="B26" s="3" t="str">
        <f>IFERROR(__xludf.DUMMYFUNCTION("""COMPUTED_VALUE"""),"Palha Italiana")</f>
        <v>Palha Italiana</v>
      </c>
      <c r="C26" s="3" t="str">
        <f>IFERROR(__xludf.DUMMYFUNCTION("""COMPUTED_VALUE"""),"Produto final")</f>
        <v>Produto final</v>
      </c>
      <c r="D26" s="3">
        <f>IFERROR(__xludf.DUMMYFUNCTION("""COMPUTED_VALUE"""),1.0)</f>
        <v>1</v>
      </c>
      <c r="E26" s="3" t="str">
        <f>IFERROR(__xludf.DUMMYFUNCTION("""COMPUTED_VALUE"""),"Venceu (Validade)")</f>
        <v>Venceu (Validade)</v>
      </c>
      <c r="F26" s="3" t="str">
        <f>IFERROR(__xludf.DUMMYFUNCTION("""COMPUTED_VALUE"""),"Melissa")</f>
        <v>Melissa</v>
      </c>
      <c r="G26" s="3" t="str">
        <f>IFERROR(__xludf.DUMMYFUNCTION("""COMPUTED_VALUE"""),"Vencida (Etiqueta trocada pela segunda vez)")</f>
        <v>Vencida (Etiqueta trocada pela segunda vez)</v>
      </c>
    </row>
    <row r="27">
      <c r="A27" s="2">
        <f>IFERROR(__xludf.DUMMYFUNCTION("""COMPUTED_VALUE"""),45666.0)</f>
        <v>45666</v>
      </c>
      <c r="B27" s="3" t="str">
        <f>IFERROR(__xludf.DUMMYFUNCTION("""COMPUTED_VALUE"""),"SALSA")</f>
        <v>SALSA</v>
      </c>
      <c r="C27" s="3" t="str">
        <f>IFERROR(__xludf.DUMMYFUNCTION("""COMPUTED_VALUE"""),"Insumos")</f>
        <v>Insumos</v>
      </c>
      <c r="D27" s="3" t="str">
        <f>IFERROR(__xludf.DUMMYFUNCTION("""COMPUTED_VALUE"""),"38GR")</f>
        <v>38GR</v>
      </c>
      <c r="E27" s="3" t="str">
        <f>IFERROR(__xludf.DUMMYFUNCTION("""COMPUTED_VALUE"""),"Venceu (Validade)")</f>
        <v>Venceu (Validade)</v>
      </c>
      <c r="F27" s="3" t="str">
        <f>IFERROR(__xludf.DUMMYFUNCTION("""COMPUTED_VALUE"""),"Patrícia")</f>
        <v>Patrícia</v>
      </c>
      <c r="G27" s="3" t="str">
        <f>IFERROR(__xludf.DUMMYFUNCTION("""COMPUTED_VALUE"""),"estava estragado")</f>
        <v>estava estragado</v>
      </c>
    </row>
    <row r="28">
      <c r="A28" s="2">
        <f>IFERROR(__xludf.DUMMYFUNCTION("""COMPUTED_VALUE"""),45666.0)</f>
        <v>45666</v>
      </c>
      <c r="B28" s="3" t="str">
        <f>IFERROR(__xludf.DUMMYFUNCTION("""COMPUTED_VALUE"""),"COADO BLEND")</f>
        <v>COADO BLEND</v>
      </c>
      <c r="C28" s="3" t="str">
        <f>IFERROR(__xludf.DUMMYFUNCTION("""COMPUTED_VALUE"""),"Produto final")</f>
        <v>Produto final</v>
      </c>
      <c r="D28" s="3">
        <f>IFERROR(__xludf.DUMMYFUNCTION("""COMPUTED_VALUE"""),1.0)</f>
        <v>1</v>
      </c>
      <c r="E28" s="3" t="str">
        <f>IFERROR(__xludf.DUMMYFUNCTION("""COMPUTED_VALUE"""),"Lançamento errado")</f>
        <v>Lançamento errado</v>
      </c>
      <c r="F28" s="3" t="str">
        <f>IFERROR(__xludf.DUMMYFUNCTION("""COMPUTED_VALUE"""),"VITOR")</f>
        <v>VITOR</v>
      </c>
      <c r="G28" s="3" t="str">
        <f>IFERROR(__xludf.DUMMYFUNCTION("""COMPUTED_VALUE"""),"LANCADO 2 VEZES")</f>
        <v>LANCADO 2 VEZES</v>
      </c>
    </row>
    <row r="29">
      <c r="A29" s="2">
        <f>IFERROR(__xludf.DUMMYFUNCTION("""COMPUTED_VALUE"""),45667.0)</f>
        <v>45667</v>
      </c>
      <c r="B29" s="3" t="str">
        <f>IFERROR(__xludf.DUMMYFUNCTION("""COMPUTED_VALUE"""),"Coxinha Crispy")</f>
        <v>Coxinha Crispy</v>
      </c>
      <c r="C29" s="3" t="str">
        <f>IFERROR(__xludf.DUMMYFUNCTION("""COMPUTED_VALUE"""),"Produto final")</f>
        <v>Produto final</v>
      </c>
      <c r="D29" s="3">
        <f>IFERROR(__xludf.DUMMYFUNCTION("""COMPUTED_VALUE"""),1.0)</f>
        <v>1</v>
      </c>
      <c r="E29" s="3" t="str">
        <f>IFERROR(__xludf.DUMMYFUNCTION("""COMPUTED_VALUE"""),"Erro de processo")</f>
        <v>Erro de processo</v>
      </c>
      <c r="F29" s="3" t="str">
        <f>IFERROR(__xludf.DUMMYFUNCTION("""COMPUTED_VALUE"""),"Melissa")</f>
        <v>Melissa</v>
      </c>
      <c r="G29" s="3" t="str">
        <f>IFERROR(__xludf.DUMMYFUNCTION("""COMPUTED_VALUE"""),"Deixou cair")</f>
        <v>Deixou cair</v>
      </c>
    </row>
    <row r="30">
      <c r="A30" s="2">
        <f>IFERROR(__xludf.DUMMYFUNCTION("""COMPUTED_VALUE"""),45667.0)</f>
        <v>45667</v>
      </c>
      <c r="B30" s="3" t="str">
        <f>IFERROR(__xludf.DUMMYFUNCTION("""COMPUTED_VALUE"""),"Aeropress Blend")</f>
        <v>Aeropress Blend</v>
      </c>
      <c r="C30" s="3" t="str">
        <f>IFERROR(__xludf.DUMMYFUNCTION("""COMPUTED_VALUE"""),"Produto final")</f>
        <v>Produto final</v>
      </c>
      <c r="D30" s="3">
        <f>IFERROR(__xludf.DUMMYFUNCTION("""COMPUTED_VALUE"""),1.0)</f>
        <v>1</v>
      </c>
      <c r="E30" s="3" t="str">
        <f>IFERROR(__xludf.DUMMYFUNCTION("""COMPUTED_VALUE"""),"Erro de processo")</f>
        <v>Erro de processo</v>
      </c>
      <c r="F30" s="3" t="str">
        <f>IFERROR(__xludf.DUMMYFUNCTION("""COMPUTED_VALUE"""),"Maria Eduarda")</f>
        <v>Maria Eduarda</v>
      </c>
      <c r="G30" s="3" t="str">
        <f>IFERROR(__xludf.DUMMYFUNCTION("""COMPUTED_VALUE"""),"Fez errado. Era Prensa e fez Aeropress")</f>
        <v>Fez errado. Era Prensa e fez Aeropress</v>
      </c>
    </row>
    <row r="31">
      <c r="A31" s="2">
        <f>IFERROR(__xludf.DUMMYFUNCTION("""COMPUTED_VALUE"""),45667.0)</f>
        <v>45667</v>
      </c>
      <c r="B31" s="3" t="str">
        <f>IFERROR(__xludf.DUMMYFUNCTION("""COMPUTED_VALUE"""),"Tostex ciabatta")</f>
        <v>Tostex ciabatta</v>
      </c>
      <c r="C31" s="3" t="str">
        <f>IFERROR(__xludf.DUMMYFUNCTION("""COMPUTED_VALUE"""),"Produto final")</f>
        <v>Produto final</v>
      </c>
      <c r="D31" s="3">
        <f>IFERROR(__xludf.DUMMYFUNCTION("""COMPUTED_VALUE"""),1.0)</f>
        <v>1</v>
      </c>
      <c r="E31" s="3" t="str">
        <f>IFERROR(__xludf.DUMMYFUNCTION("""COMPUTED_VALUE"""),"Erro de processo")</f>
        <v>Erro de processo</v>
      </c>
      <c r="F31" s="3" t="str">
        <f>IFERROR(__xludf.DUMMYFUNCTION("""COMPUTED_VALUE"""),"Rafael")</f>
        <v>Rafael</v>
      </c>
      <c r="G31" s="3" t="str">
        <f>IFERROR(__xludf.DUMMYFUNCTION("""COMPUTED_VALUE"""),"Queimou durante o processo")</f>
        <v>Queimou durante o processo</v>
      </c>
    </row>
    <row r="32">
      <c r="A32" s="2">
        <f>IFERROR(__xludf.DUMMYFUNCTION("""COMPUTED_VALUE"""),45667.0)</f>
        <v>45667</v>
      </c>
      <c r="B32" s="3" t="str">
        <f>IFERROR(__xludf.DUMMYFUNCTION("""COMPUTED_VALUE"""),"Pão queijo porção")</f>
        <v>Pão queijo porção</v>
      </c>
      <c r="C32" s="3" t="str">
        <f>IFERROR(__xludf.DUMMYFUNCTION("""COMPUTED_VALUE"""),"Produto final")</f>
        <v>Produto final</v>
      </c>
      <c r="D32" s="3" t="str">
        <f>IFERROR(__xludf.DUMMYFUNCTION("""COMPUTED_VALUE"""),"1un")</f>
        <v>1un</v>
      </c>
      <c r="E32" s="3" t="str">
        <f>IFERROR(__xludf.DUMMYFUNCTION("""COMPUTED_VALUE"""),"Erro de processo")</f>
        <v>Erro de processo</v>
      </c>
      <c r="F32" s="3" t="str">
        <f>IFERROR(__xludf.DUMMYFUNCTION("""COMPUTED_VALUE"""),"Brunna")</f>
        <v>Brunna</v>
      </c>
      <c r="G32" s="3" t="str">
        <f>IFERROR(__xludf.DUMMYFUNCTION("""COMPUTED_VALUE"""),"Caiu no chão")</f>
        <v>Caiu no chão</v>
      </c>
    </row>
    <row r="33">
      <c r="A33" s="2">
        <f>IFERROR(__xludf.DUMMYFUNCTION("""COMPUTED_VALUE"""),45667.0)</f>
        <v>45667</v>
      </c>
      <c r="B33" s="3" t="str">
        <f>IFERROR(__xludf.DUMMYFUNCTION("""COMPUTED_VALUE"""),"Copo shot")</f>
        <v>Copo shot</v>
      </c>
      <c r="C33" s="3" t="str">
        <f>IFERROR(__xludf.DUMMYFUNCTION("""COMPUTED_VALUE"""),"Utensílio")</f>
        <v>Utensílio</v>
      </c>
      <c r="D33" s="3">
        <f>IFERROR(__xludf.DUMMYFUNCTION("""COMPUTED_VALUE"""),1.0)</f>
        <v>1</v>
      </c>
      <c r="E33" s="3" t="str">
        <f>IFERROR(__xludf.DUMMYFUNCTION("""COMPUTED_VALUE"""),"Quebra")</f>
        <v>Quebra</v>
      </c>
      <c r="F33" s="3" t="str">
        <f>IFERROR(__xludf.DUMMYFUNCTION("""COMPUTED_VALUE"""),"Rafael")</f>
        <v>Rafael</v>
      </c>
      <c r="G33" s="3" t="str">
        <f>IFERROR(__xludf.DUMMYFUNCTION("""COMPUTED_VALUE"""),"Quebrou durante lavagem")</f>
        <v>Quebrou durante lavagem</v>
      </c>
    </row>
    <row r="34">
      <c r="A34" s="2">
        <f>IFERROR(__xludf.DUMMYFUNCTION("""COMPUTED_VALUE"""),45668.0)</f>
        <v>45668</v>
      </c>
      <c r="B34" s="3" t="str">
        <f>IFERROR(__xludf.DUMMYFUNCTION("""COMPUTED_VALUE"""),"copo americano duplo")</f>
        <v>copo americano duplo</v>
      </c>
      <c r="C34" s="3" t="str">
        <f>IFERROR(__xludf.DUMMYFUNCTION("""COMPUTED_VALUE"""),"Utensílio")</f>
        <v>Utensílio</v>
      </c>
      <c r="D34" s="3"/>
      <c r="E34" s="3" t="str">
        <f>IFERROR(__xludf.DUMMYFUNCTION("""COMPUTED_VALUE"""),"Quebra")</f>
        <v>Quebra</v>
      </c>
      <c r="F34" s="3" t="str">
        <f>IFERROR(__xludf.DUMMYFUNCTION("""COMPUTED_VALUE"""),"nao sabe")</f>
        <v>nao sabe</v>
      </c>
      <c r="G34" s="3" t="str">
        <f>IFERROR(__xludf.DUMMYFUNCTION("""COMPUTED_VALUE"""),"tava quebrado na prateleira")</f>
        <v>tava quebrado na prateleira</v>
      </c>
    </row>
    <row r="35">
      <c r="A35" s="2">
        <f>IFERROR(__xludf.DUMMYFUNCTION("""COMPUTED_VALUE"""),45668.0)</f>
        <v>45668</v>
      </c>
      <c r="B35" s="3" t="str">
        <f>IFERROR(__xludf.DUMMYFUNCTION("""COMPUTED_VALUE"""),"banana")</f>
        <v>banana</v>
      </c>
      <c r="C35" s="3" t="str">
        <f>IFERROR(__xludf.DUMMYFUNCTION("""COMPUTED_VALUE"""),"Hortifruti")</f>
        <v>Hortifruti</v>
      </c>
      <c r="D35" s="3" t="str">
        <f>IFERROR(__xludf.DUMMYFUNCTION("""COMPUTED_VALUE"""),"50gr")</f>
        <v>50gr</v>
      </c>
      <c r="E35" s="3" t="str">
        <f>IFERROR(__xludf.DUMMYFUNCTION("""COMPUTED_VALUE"""),"Venceu (Validade)")</f>
        <v>Venceu (Validade)</v>
      </c>
      <c r="F35" s="3" t="str">
        <f>IFERROR(__xludf.DUMMYFUNCTION("""COMPUTED_VALUE"""),"luiz")</f>
        <v>luiz</v>
      </c>
      <c r="G35" s="3" t="str">
        <f>IFERROR(__xludf.DUMMYFUNCTION("""COMPUTED_VALUE"""),"tava muito preta")</f>
        <v>tava muito preta</v>
      </c>
    </row>
    <row r="36">
      <c r="A36" s="2">
        <f>IFERROR(__xludf.DUMMYFUNCTION("""COMPUTED_VALUE"""),45668.0)</f>
        <v>45668</v>
      </c>
      <c r="B36" s="3" t="str">
        <f>IFERROR(__xludf.DUMMYFUNCTION("""COMPUTED_VALUE"""),"xicara pequna")</f>
        <v>xicara pequna</v>
      </c>
      <c r="C36" s="3" t="str">
        <f>IFERROR(__xludf.DUMMYFUNCTION("""COMPUTED_VALUE"""),"Utensílio")</f>
        <v>Utensílio</v>
      </c>
      <c r="D36" s="3">
        <f>IFERROR(__xludf.DUMMYFUNCTION("""COMPUTED_VALUE"""),1.0)</f>
        <v>1</v>
      </c>
      <c r="E36" s="3" t="str">
        <f>IFERROR(__xludf.DUMMYFUNCTION("""COMPUTED_VALUE"""),"Quebra")</f>
        <v>Quebra</v>
      </c>
      <c r="F36" s="3" t="str">
        <f>IFERROR(__xludf.DUMMYFUNCTION("""COMPUTED_VALUE"""),"clinte")</f>
        <v>clinte</v>
      </c>
      <c r="G36" s="3" t="str">
        <f>IFERROR(__xludf.DUMMYFUNCTION("""COMPUTED_VALUE"""),"esbarrou na mesa e deixou cair")</f>
        <v>esbarrou na mesa e deixou cair</v>
      </c>
    </row>
    <row r="37">
      <c r="A37" s="2">
        <f>IFERROR(__xludf.DUMMYFUNCTION("""COMPUTED_VALUE"""),45668.0)</f>
        <v>45668</v>
      </c>
      <c r="B37" s="3" t="str">
        <f>IFERROR(__xludf.DUMMYFUNCTION("""COMPUTED_VALUE"""),"copo americano duplo")</f>
        <v>copo americano duplo</v>
      </c>
      <c r="C37" s="3" t="str">
        <f>IFERROR(__xludf.DUMMYFUNCTION("""COMPUTED_VALUE"""),"Utensílio")</f>
        <v>Utensílio</v>
      </c>
      <c r="D37" s="3">
        <f>IFERROR(__xludf.DUMMYFUNCTION("""COMPUTED_VALUE"""),1.0)</f>
        <v>1</v>
      </c>
      <c r="E37" s="3" t="str">
        <f>IFERROR(__xludf.DUMMYFUNCTION("""COMPUTED_VALUE"""),"Quebra")</f>
        <v>Quebra</v>
      </c>
      <c r="F37" s="3" t="str">
        <f>IFERROR(__xludf.DUMMYFUNCTION("""COMPUTED_VALUE"""),"edina")</f>
        <v>edina</v>
      </c>
      <c r="G37" s="3" t="str">
        <f>IFERROR(__xludf.DUMMYFUNCTION("""COMPUTED_VALUE"""),"Quebrou ao lavar louça da cozinha")</f>
        <v>Quebrou ao lavar louça da cozinha</v>
      </c>
    </row>
    <row r="38">
      <c r="A38" s="2">
        <f>IFERROR(__xludf.DUMMYFUNCTION("""COMPUTED_VALUE"""),45668.0)</f>
        <v>45668</v>
      </c>
      <c r="B38" s="3" t="str">
        <f>IFERROR(__xludf.DUMMYFUNCTION("""COMPUTED_VALUE"""),"coado descafinado")</f>
        <v>coado descafinado</v>
      </c>
      <c r="C38" s="3" t="str">
        <f>IFERROR(__xludf.DUMMYFUNCTION("""COMPUTED_VALUE"""),"Produto final")</f>
        <v>Produto final</v>
      </c>
      <c r="D38" s="3">
        <f>IFERROR(__xludf.DUMMYFUNCTION("""COMPUTED_VALUE"""),1.0)</f>
        <v>1</v>
      </c>
      <c r="E38" s="3" t="str">
        <f>IFERROR(__xludf.DUMMYFUNCTION("""COMPUTED_VALUE"""),"Erro de processo")</f>
        <v>Erro de processo</v>
      </c>
      <c r="F38" s="3" t="str">
        <f>IFERROR(__xludf.DUMMYFUNCTION("""COMPUTED_VALUE"""),"luiz")</f>
        <v>luiz</v>
      </c>
      <c r="G38" s="3" t="str">
        <f>IFERROR(__xludf.DUMMYFUNCTION("""COMPUTED_VALUE"""),"cliente disse que estava gelado")</f>
        <v>cliente disse que estava gelado</v>
      </c>
    </row>
    <row r="39">
      <c r="A39" s="2">
        <f>IFERROR(__xludf.DUMMYFUNCTION("""COMPUTED_VALUE"""),45668.0)</f>
        <v>45668</v>
      </c>
      <c r="B39" s="3" t="str">
        <f>IFERROR(__xludf.DUMMYFUNCTION("""COMPUTED_VALUE"""),"toxtex de ciabata")</f>
        <v>toxtex de ciabata</v>
      </c>
      <c r="C39" s="3" t="str">
        <f>IFERROR(__xludf.DUMMYFUNCTION("""COMPUTED_VALUE"""),"Produto final")</f>
        <v>Produto final</v>
      </c>
      <c r="D39" s="3">
        <f>IFERROR(__xludf.DUMMYFUNCTION("""COMPUTED_VALUE"""),2.0)</f>
        <v>2</v>
      </c>
      <c r="E39" s="3" t="str">
        <f>IFERROR(__xludf.DUMMYFUNCTION("""COMPUTED_VALUE"""),"Erro de processo")</f>
        <v>Erro de processo</v>
      </c>
      <c r="F39" s="3" t="str">
        <f>IFERROR(__xludf.DUMMYFUNCTION("""COMPUTED_VALUE"""),"luiz")</f>
        <v>luiz</v>
      </c>
      <c r="G39" s="3" t="str">
        <f>IFERROR(__xludf.DUMMYFUNCTION("""COMPUTED_VALUE"""),"esqueceu na chapa  queimou")</f>
        <v>esqueceu na chapa  queimou</v>
      </c>
    </row>
    <row r="40">
      <c r="A40" s="2">
        <f>IFERROR(__xludf.DUMMYFUNCTION("""COMPUTED_VALUE"""),45669.0)</f>
        <v>45669</v>
      </c>
      <c r="B40" s="3" t="str">
        <f>IFERROR(__xludf.DUMMYFUNCTION("""COMPUTED_VALUE"""),"Alface")</f>
        <v>Alface</v>
      </c>
      <c r="C40" s="3" t="str">
        <f>IFERROR(__xludf.DUMMYFUNCTION("""COMPUTED_VALUE"""),"Hortifruti")</f>
        <v>Hortifruti</v>
      </c>
      <c r="D40" s="3" t="str">
        <f>IFERROR(__xludf.DUMMYFUNCTION("""COMPUTED_VALUE"""),"460gr")</f>
        <v>460gr</v>
      </c>
      <c r="E40" s="3" t="str">
        <f>IFERROR(__xludf.DUMMYFUNCTION("""COMPUTED_VALUE"""),"Venceu (Validade)")</f>
        <v>Venceu (Validade)</v>
      </c>
      <c r="F40" s="3" t="str">
        <f>IFERROR(__xludf.DUMMYFUNCTION("""COMPUTED_VALUE"""),"Patrícia")</f>
        <v>Patrícia</v>
      </c>
      <c r="G40" s="3" t="str">
        <f>IFERROR(__xludf.DUMMYFUNCTION("""COMPUTED_VALUE"""),"Vencida (Folhas queimadas)")</f>
        <v>Vencida (Folhas queimadas)</v>
      </c>
    </row>
    <row r="41">
      <c r="A41" s="2">
        <f>IFERROR(__xludf.DUMMYFUNCTION("""COMPUTED_VALUE"""),45669.0)</f>
        <v>45669</v>
      </c>
      <c r="B41" s="3" t="str">
        <f>IFERROR(__xludf.DUMMYFUNCTION("""COMPUTED_VALUE"""),"Tomate cereja")</f>
        <v>Tomate cereja</v>
      </c>
      <c r="C41" s="3" t="str">
        <f>IFERROR(__xludf.DUMMYFUNCTION("""COMPUTED_VALUE"""),"Insumos")</f>
        <v>Insumos</v>
      </c>
      <c r="D41" s="3" t="str">
        <f>IFERROR(__xludf.DUMMYFUNCTION("""COMPUTED_VALUE"""),"78gr")</f>
        <v>78gr</v>
      </c>
      <c r="E41" s="3" t="str">
        <f>IFERROR(__xludf.DUMMYFUNCTION("""COMPUTED_VALUE"""),"Venceu (Validade)")</f>
        <v>Venceu (Validade)</v>
      </c>
      <c r="F41" s="3" t="str">
        <f>IFERROR(__xludf.DUMMYFUNCTION("""COMPUTED_VALUE"""),"Patrícia")</f>
        <v>Patrícia</v>
      </c>
      <c r="G41" s="3" t="str">
        <f>IFERROR(__xludf.DUMMYFUNCTION("""COMPUTED_VALUE"""),"Vencido")</f>
        <v>Vencido</v>
      </c>
    </row>
    <row r="42">
      <c r="A42" s="2">
        <f>IFERROR(__xludf.DUMMYFUNCTION("""COMPUTED_VALUE"""),45670.0)</f>
        <v>45670</v>
      </c>
      <c r="B42" s="3" t="str">
        <f>IFERROR(__xludf.DUMMYFUNCTION("""COMPUTED_VALUE"""),"banana")</f>
        <v>banana</v>
      </c>
      <c r="C42" s="3" t="str">
        <f>IFERROR(__xludf.DUMMYFUNCTION("""COMPUTED_VALUE"""),"Hortifruti")</f>
        <v>Hortifruti</v>
      </c>
      <c r="D42" s="3" t="str">
        <f>IFERROR(__xludf.DUMMYFUNCTION("""COMPUTED_VALUE"""),"4un")</f>
        <v>4un</v>
      </c>
      <c r="E42" s="3" t="str">
        <f>IFERROR(__xludf.DUMMYFUNCTION("""COMPUTED_VALUE"""),"Venceu (Validade)")</f>
        <v>Venceu (Validade)</v>
      </c>
      <c r="F42" s="3" t="str">
        <f>IFERROR(__xludf.DUMMYFUNCTION("""COMPUTED_VALUE"""),"fernando")</f>
        <v>fernando</v>
      </c>
      <c r="G42" s="3" t="str">
        <f>IFERROR(__xludf.DUMMYFUNCTION("""COMPUTED_VALUE"""),"tava muito preta")</f>
        <v>tava muito preta</v>
      </c>
    </row>
    <row r="43">
      <c r="A43" s="2">
        <f>IFERROR(__xludf.DUMMYFUNCTION("""COMPUTED_VALUE"""),45670.0)</f>
        <v>45670</v>
      </c>
      <c r="B43" s="3" t="str">
        <f>IFERROR(__xludf.DUMMYFUNCTION("""COMPUTED_VALUE"""),"Pao de batata req.")</f>
        <v>Pao de batata req.</v>
      </c>
      <c r="C43" s="3" t="str">
        <f>IFERROR(__xludf.DUMMYFUNCTION("""COMPUTED_VALUE"""),"Produto final")</f>
        <v>Produto final</v>
      </c>
      <c r="D43" s="3" t="str">
        <f>IFERROR(__xludf.DUMMYFUNCTION("""COMPUTED_VALUE"""),"2pct")</f>
        <v>2pct</v>
      </c>
      <c r="E43" s="3" t="str">
        <f>IFERROR(__xludf.DUMMYFUNCTION("""COMPUTED_VALUE"""),"Erro de processo")</f>
        <v>Erro de processo</v>
      </c>
      <c r="F43" s="3" t="str">
        <f>IFERROR(__xludf.DUMMYFUNCTION("""COMPUTED_VALUE"""),"Patrícia")</f>
        <v>Patrícia</v>
      </c>
      <c r="G43" s="3" t="str">
        <f>IFERROR(__xludf.DUMMYFUNCTION("""COMPUTED_VALUE"""),"esqueceram em cima do freezer da cozinha")</f>
        <v>esqueceram em cima do freezer da cozinha</v>
      </c>
    </row>
    <row r="44">
      <c r="A44" s="2">
        <f>IFERROR(__xludf.DUMMYFUNCTION("""COMPUTED_VALUE"""),45671.0)</f>
        <v>45671</v>
      </c>
      <c r="B44" s="3" t="str">
        <f>IFERROR(__xludf.DUMMYFUNCTION("""COMPUTED_VALUE"""),"Quiche Alho poró")</f>
        <v>Quiche Alho poró</v>
      </c>
      <c r="C44" s="3" t="str">
        <f>IFERROR(__xludf.DUMMYFUNCTION("""COMPUTED_VALUE"""),"Produto final")</f>
        <v>Produto final</v>
      </c>
      <c r="D44" s="3">
        <f>IFERROR(__xludf.DUMMYFUNCTION("""COMPUTED_VALUE"""),1.0)</f>
        <v>1</v>
      </c>
      <c r="E44" s="3" t="str">
        <f>IFERROR(__xludf.DUMMYFUNCTION("""COMPUTED_VALUE"""),"Lançamento errado")</f>
        <v>Lançamento errado</v>
      </c>
      <c r="F44" s="3" t="str">
        <f>IFERROR(__xludf.DUMMYFUNCTION("""COMPUTED_VALUE"""),"Lucas")</f>
        <v>Lucas</v>
      </c>
      <c r="G44" s="3" t="str">
        <f>IFERROR(__xludf.DUMMYFUNCTION("""COMPUTED_VALUE"""),"Cliente pediu 4 queijo efoi digitado Alho poró")</f>
        <v>Cliente pediu 4 queijo efoi digitado Alho poró</v>
      </c>
    </row>
    <row r="45">
      <c r="A45" s="2">
        <f>IFERROR(__xludf.DUMMYFUNCTION("""COMPUTED_VALUE"""),45671.0)</f>
        <v>45671</v>
      </c>
      <c r="B45" s="3" t="str">
        <f>IFERROR(__xludf.DUMMYFUNCTION("""COMPUTED_VALUE"""),"Tiramissu")</f>
        <v>Tiramissu</v>
      </c>
      <c r="C45" s="3" t="str">
        <f>IFERROR(__xludf.DUMMYFUNCTION("""COMPUTED_VALUE"""),"Produto final")</f>
        <v>Produto final</v>
      </c>
      <c r="D45" s="3">
        <f>IFERROR(__xludf.DUMMYFUNCTION("""COMPUTED_VALUE"""),1.0)</f>
        <v>1</v>
      </c>
      <c r="E45" s="3" t="str">
        <f>IFERROR(__xludf.DUMMYFUNCTION("""COMPUTED_VALUE"""),"Cliente")</f>
        <v>Cliente</v>
      </c>
      <c r="F45" s="3" t="str">
        <f>IFERROR(__xludf.DUMMYFUNCTION("""COMPUTED_VALUE"""),"Tiago")</f>
        <v>Tiago</v>
      </c>
      <c r="G45" s="3" t="str">
        <f>IFERROR(__xludf.DUMMYFUNCTION("""COMPUTED_VALUE"""),"Cliente devolveu alegando que não era como ela esperava")</f>
        <v>Cliente devolveu alegando que não era como ela esperava</v>
      </c>
    </row>
    <row r="46">
      <c r="A46" s="2">
        <f>IFERROR(__xludf.DUMMYFUNCTION("""COMPUTED_VALUE"""),45671.0)</f>
        <v>45671</v>
      </c>
      <c r="B46" s="3" t="str">
        <f>IFERROR(__xludf.DUMMYFUNCTION("""COMPUTED_VALUE"""),"Bourbon Amarelo")</f>
        <v>Bourbon Amarelo</v>
      </c>
      <c r="C46" s="3" t="str">
        <f>IFERROR(__xludf.DUMMYFUNCTION("""COMPUTED_VALUE"""),"Produto final")</f>
        <v>Produto final</v>
      </c>
      <c r="D46" s="3" t="str">
        <f>IFERROR(__xludf.DUMMYFUNCTION("""COMPUTED_VALUE"""),"15gr")</f>
        <v>15gr</v>
      </c>
      <c r="E46" s="3" t="str">
        <f>IFERROR(__xludf.DUMMYFUNCTION("""COMPUTED_VALUE"""),"Erro de processo")</f>
        <v>Erro de processo</v>
      </c>
      <c r="F46" s="3" t="str">
        <f>IFERROR(__xludf.DUMMYFUNCTION("""COMPUTED_VALUE"""),"Tiago")</f>
        <v>Tiago</v>
      </c>
      <c r="G46" s="3" t="str">
        <f>IFERROR(__xludf.DUMMYFUNCTION("""COMPUTED_VALUE"""),"Extração mal executada (à menor) na mesa.")</f>
        <v>Extração mal executada (à menor) na mesa.</v>
      </c>
    </row>
    <row r="47">
      <c r="A47" s="2">
        <f>IFERROR(__xludf.DUMMYFUNCTION("""COMPUTED_VALUE"""),45673.0)</f>
        <v>45673</v>
      </c>
      <c r="B47" s="3" t="str">
        <f>IFERROR(__xludf.DUMMYFUNCTION("""COMPUTED_VALUE"""),"Empada palmito")</f>
        <v>Empada palmito</v>
      </c>
      <c r="C47" s="3" t="str">
        <f>IFERROR(__xludf.DUMMYFUNCTION("""COMPUTED_VALUE"""),"Produto final")</f>
        <v>Produto final</v>
      </c>
      <c r="D47" s="3">
        <f>IFERROR(__xludf.DUMMYFUNCTION("""COMPUTED_VALUE"""),1.0)</f>
        <v>1</v>
      </c>
      <c r="E47" s="3" t="str">
        <f>IFERROR(__xludf.DUMMYFUNCTION("""COMPUTED_VALUE"""),"Cliente")</f>
        <v>Cliente</v>
      </c>
      <c r="F47" s="3" t="str">
        <f>IFERROR(__xludf.DUMMYFUNCTION("""COMPUTED_VALUE"""),"Vitor")</f>
        <v>Vitor</v>
      </c>
      <c r="G47" s="3" t="str">
        <f>IFERROR(__xludf.DUMMYFUNCTION("""COMPUTED_VALUE"""),"Cliente pediu de palmito e foi corretamente, porém quando chegou na mesa o mesmo insistiu qu era de frango, porém estava correto.")</f>
        <v>Cliente pediu de palmito e foi corretamente, porém quando chegou na mesa o mesmo insistiu qu era de frango, porém estava correto.</v>
      </c>
    </row>
    <row r="48">
      <c r="A48" s="2">
        <f>IFERROR(__xludf.DUMMYFUNCTION("""COMPUTED_VALUE"""),45674.0)</f>
        <v>45674</v>
      </c>
      <c r="B48" s="3" t="str">
        <f>IFERROR(__xludf.DUMMYFUNCTION("""COMPUTED_VALUE"""),"Shake Oreo")</f>
        <v>Shake Oreo</v>
      </c>
      <c r="C48" s="3" t="str">
        <f>IFERROR(__xludf.DUMMYFUNCTION("""COMPUTED_VALUE"""),"Produto final")</f>
        <v>Produto final</v>
      </c>
      <c r="D48" s="3">
        <f>IFERROR(__xludf.DUMMYFUNCTION("""COMPUTED_VALUE"""),1.0)</f>
        <v>1</v>
      </c>
      <c r="E48" s="3" t="str">
        <f>IFERROR(__xludf.DUMMYFUNCTION("""COMPUTED_VALUE"""),"Erro de processo")</f>
        <v>Erro de processo</v>
      </c>
      <c r="F48" s="3" t="str">
        <f>IFERROR(__xludf.DUMMYFUNCTION("""COMPUTED_VALUE"""),"Luiz")</f>
        <v>Luiz</v>
      </c>
      <c r="G48" s="3" t="str">
        <f>IFERROR(__xludf.DUMMYFUNCTION("""COMPUTED_VALUE"""),"FEZ ERRADO")</f>
        <v>FEZ ERRADO</v>
      </c>
    </row>
    <row r="49">
      <c r="A49" s="2">
        <f>IFERROR(__xludf.DUMMYFUNCTION("""COMPUTED_VALUE"""),45674.0)</f>
        <v>45674</v>
      </c>
      <c r="B49" s="3" t="str">
        <f>IFERROR(__xludf.DUMMYFUNCTION("""COMPUTED_VALUE"""),"Cafe Latte duplo")</f>
        <v>Cafe Latte duplo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IFERROR(__xludf.DUMMYFUNCTION("""COMPUTED_VALUE"""),"Lançamento errado")</f>
        <v>Lançamento errado</v>
      </c>
      <c r="F49" s="3" t="str">
        <f>IFERROR(__xludf.DUMMYFUNCTION("""COMPUTED_VALUE"""),"Rafael")</f>
        <v>Rafael</v>
      </c>
      <c r="G49" s="3"/>
    </row>
    <row r="50">
      <c r="A50" s="2">
        <f>IFERROR(__xludf.DUMMYFUNCTION("""COMPUTED_VALUE"""),45675.0)</f>
        <v>45675</v>
      </c>
      <c r="B50" s="3" t="str">
        <f>IFERROR(__xludf.DUMMYFUNCTION("""COMPUTED_VALUE"""),"Torta Palmito")</f>
        <v>Torta Palmito</v>
      </c>
      <c r="C50" s="3" t="str">
        <f>IFERROR(__xludf.DUMMYFUNCTION("""COMPUTED_VALUE"""),"Produto final")</f>
        <v>Produto final</v>
      </c>
      <c r="D50" s="3">
        <f>IFERROR(__xludf.DUMMYFUNCTION("""COMPUTED_VALUE"""),2.0)</f>
        <v>2</v>
      </c>
      <c r="E50" s="3" t="str">
        <f>IFERROR(__xludf.DUMMYFUNCTION("""COMPUTED_VALUE"""),"Venceu (Validade)")</f>
        <v>Venceu (Validade)</v>
      </c>
      <c r="F50" s="3" t="str">
        <f>IFERROR(__xludf.DUMMYFUNCTION("""COMPUTED_VALUE"""),"Melissa")</f>
        <v>Melissa</v>
      </c>
      <c r="G50" s="3" t="str">
        <f>IFERROR(__xludf.DUMMYFUNCTION("""COMPUTED_VALUE"""),"Vencido. Etiqueta trocada (Com mofo na parte inferior)")</f>
        <v>Vencido. Etiqueta trocada (Com mofo na parte inferior)</v>
      </c>
    </row>
    <row r="51">
      <c r="A51" s="2">
        <f>IFERROR(__xludf.DUMMYFUNCTION("""COMPUTED_VALUE"""),45675.0)</f>
        <v>45675</v>
      </c>
      <c r="B51" s="3" t="str">
        <f>IFERROR(__xludf.DUMMYFUNCTION("""COMPUTED_VALUE"""),"Café Latte Gelado")</f>
        <v>Café Latte Gelado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IFERROR(__xludf.DUMMYFUNCTION("""COMPUTED_VALUE"""),"Lucas")</f>
        <v>Lucas</v>
      </c>
      <c r="G51" s="3" t="str">
        <f>IFERROR(__xludf.DUMMYFUNCTION("""COMPUTED_VALUE"""),"Cliente pediu e depois disse que não gostou, após cosumir uma parte.")</f>
        <v>Cliente pediu e depois disse que não gostou, após cosumir uma parte.</v>
      </c>
    </row>
    <row r="52">
      <c r="A52" s="2">
        <f>IFERROR(__xludf.DUMMYFUNCTION("""COMPUTED_VALUE"""),45676.0)</f>
        <v>45676</v>
      </c>
      <c r="B52" s="3" t="str">
        <f>IFERROR(__xludf.DUMMYFUNCTION("""COMPUTED_VALUE"""),"croissant")</f>
        <v>croissant</v>
      </c>
      <c r="C52" s="3" t="str">
        <f>IFERROR(__xludf.DUMMYFUNCTION("""COMPUTED_VALUE"""),"Produto final")</f>
        <v>Produto final</v>
      </c>
      <c r="D52" s="3">
        <f>IFERROR(__xludf.DUMMYFUNCTION("""COMPUTED_VALUE"""),2.0)</f>
        <v>2</v>
      </c>
      <c r="E52" s="3" t="str">
        <f>IFERROR(__xludf.DUMMYFUNCTION("""COMPUTED_VALUE"""),"Erro de processo")</f>
        <v>Erro de processo</v>
      </c>
      <c r="F52" s="3" t="str">
        <f>IFERROR(__xludf.DUMMYFUNCTION("""COMPUTED_VALUE"""),"francisca")</f>
        <v>francisca</v>
      </c>
      <c r="G52" s="3" t="str">
        <f>IFERROR(__xludf.DUMMYFUNCTION("""COMPUTED_VALUE"""),"queimou na chapa")</f>
        <v>queimou na chapa</v>
      </c>
    </row>
    <row r="53">
      <c r="A53" s="2">
        <f>IFERROR(__xludf.DUMMYFUNCTION("""COMPUTED_VALUE"""),45676.0)</f>
        <v>45676</v>
      </c>
      <c r="B53" s="3" t="str">
        <f>IFERROR(__xludf.DUMMYFUNCTION("""COMPUTED_VALUE"""),"mesa")</f>
        <v>mesa</v>
      </c>
      <c r="C53" s="3" t="str">
        <f>IFERROR(__xludf.DUMMYFUNCTION("""COMPUTED_VALUE"""),"Outros")</f>
        <v>Outros</v>
      </c>
      <c r="D53" s="3">
        <f>IFERROR(__xludf.DUMMYFUNCTION("""COMPUTED_VALUE"""),1.0)</f>
        <v>1</v>
      </c>
      <c r="E53" s="3" t="str">
        <f>IFERROR(__xludf.DUMMYFUNCTION("""COMPUTED_VALUE"""),"Saiu sem pagar")</f>
        <v>Saiu sem pagar</v>
      </c>
      <c r="F53" s="3" t="str">
        <f>IFERROR(__xludf.DUMMYFUNCTION("""COMPUTED_VALUE"""),"vitor")</f>
        <v>vitor</v>
      </c>
      <c r="G53" s="3" t="str">
        <f>IFERROR(__xludf.DUMMYFUNCTION("""COMPUTED_VALUE"""),"cliente saiu no movimento e ele nao viu")</f>
        <v>cliente saiu no movimento e ele nao viu</v>
      </c>
    </row>
    <row r="54">
      <c r="A54" s="2">
        <f>IFERROR(__xludf.DUMMYFUNCTION("""COMPUTED_VALUE"""),45677.0)</f>
        <v>45677</v>
      </c>
      <c r="B54" s="3" t="str">
        <f>IFERROR(__xludf.DUMMYFUNCTION("""COMPUTED_VALUE"""),"folhado napoli")</f>
        <v>folhado napoli</v>
      </c>
      <c r="C54" s="3" t="str">
        <f>IFERROR(__xludf.DUMMYFUNCTION("""COMPUTED_VALUE"""),"Produto final")</f>
        <v>Produto final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IFERROR(__xludf.DUMMYFUNCTION("""COMPUTED_VALUE"""),"cozinha")</f>
        <v>cozinha</v>
      </c>
      <c r="G54" s="3"/>
    </row>
    <row r="55">
      <c r="A55" s="2">
        <f>IFERROR(__xludf.DUMMYFUNCTION("""COMPUTED_VALUE"""),45679.0)</f>
        <v>45679</v>
      </c>
      <c r="B55" s="3" t="str">
        <f>IFERROR(__xludf.DUMMYFUNCTION("""COMPUTED_VALUE"""),"Mel")</f>
        <v>Mel</v>
      </c>
      <c r="C55" s="3" t="str">
        <f>IFERROR(__xludf.DUMMYFUNCTION("""COMPUTED_VALUE"""),"Insumos")</f>
        <v>Insumos</v>
      </c>
      <c r="D55" s="3" t="str">
        <f>IFERROR(__xludf.DUMMYFUNCTION("""COMPUTED_VALUE"""),"40gr")</f>
        <v>40gr</v>
      </c>
      <c r="E55" s="3" t="str">
        <f>IFERROR(__xludf.DUMMYFUNCTION("""COMPUTED_VALUE"""),"Outro")</f>
        <v>Outro</v>
      </c>
      <c r="F55" s="3" t="str">
        <f>IFERROR(__xludf.DUMMYFUNCTION("""COMPUTED_VALUE"""),"Alex")</f>
        <v>Alex</v>
      </c>
      <c r="G55" s="3"/>
    </row>
    <row r="56">
      <c r="A56" s="2">
        <f>IFERROR(__xludf.DUMMYFUNCTION("""COMPUTED_VALUE"""),45679.0)</f>
        <v>45679</v>
      </c>
      <c r="B56" s="3" t="str">
        <f>IFERROR(__xludf.DUMMYFUNCTION("""COMPUTED_VALUE"""),"limão")</f>
        <v>limão</v>
      </c>
      <c r="C56" s="3" t="str">
        <f>IFERROR(__xludf.DUMMYFUNCTION("""COMPUTED_VALUE"""),"Insumos")</f>
        <v>Insumos</v>
      </c>
      <c r="D56" s="3">
        <f>IFERROR(__xludf.DUMMYFUNCTION("""COMPUTED_VALUE"""),4.0)</f>
        <v>4</v>
      </c>
      <c r="E56" s="3" t="str">
        <f>IFERROR(__xludf.DUMMYFUNCTION("""COMPUTED_VALUE"""),"Outro")</f>
        <v>Outro</v>
      </c>
      <c r="F56" s="3" t="str">
        <f>IFERROR(__xludf.DUMMYFUNCTION("""COMPUTED_VALUE"""),"Alex")</f>
        <v>Alex</v>
      </c>
      <c r="G56" s="3"/>
    </row>
    <row r="57">
      <c r="A57" s="2">
        <f>IFERROR(__xludf.DUMMYFUNCTION("""COMPUTED_VALUE"""),45681.0)</f>
        <v>45681</v>
      </c>
      <c r="B57" s="3" t="str">
        <f>IFERROR(__xludf.DUMMYFUNCTION("""COMPUTED_VALUE"""),"Café Cheescake Morango")</f>
        <v>Café Cheescake Morango</v>
      </c>
      <c r="C57" s="3" t="str">
        <f>IFERROR(__xludf.DUMMYFUNCTION("""COMPUTED_VALUE"""),"Produto final")</f>
        <v>Produto final</v>
      </c>
      <c r="D57" s="3" t="str">
        <f>IFERROR(__xludf.DUMMYFUNCTION("""COMPUTED_VALUE"""),"15gr")</f>
        <v>15gr</v>
      </c>
      <c r="E57" s="3" t="str">
        <f>IFERROR(__xludf.DUMMYFUNCTION("""COMPUTED_VALUE"""),"Outro")</f>
        <v>Outro</v>
      </c>
      <c r="F57" s="3" t="str">
        <f>IFERROR(__xludf.DUMMYFUNCTION("""COMPUTED_VALUE"""),"Alex")</f>
        <v>Alex</v>
      </c>
      <c r="G57" s="3" t="str">
        <f>IFERROR(__xludf.DUMMYFUNCTION("""COMPUTED_VALUE"""),"Prova equipe")</f>
        <v>Prova equipe</v>
      </c>
    </row>
    <row r="58">
      <c r="A58" s="2">
        <f>IFERROR(__xludf.DUMMYFUNCTION("""COMPUTED_VALUE"""),45681.0)</f>
        <v>45681</v>
      </c>
      <c r="B58" s="3" t="str">
        <f>IFERROR(__xludf.DUMMYFUNCTION("""COMPUTED_VALUE"""),"Coca Zero")</f>
        <v>Coca Zero</v>
      </c>
      <c r="C58" s="3" t="str">
        <f>IFERROR(__xludf.DUMMYFUNCTION("""COMPUTED_VALUE"""),"Produto final")</f>
        <v>Produto final</v>
      </c>
      <c r="D58" s="3">
        <f>IFERROR(__xludf.DUMMYFUNCTION("""COMPUTED_VALUE"""),2.0)</f>
        <v>2</v>
      </c>
      <c r="E58" s="3" t="str">
        <f>IFERROR(__xludf.DUMMYFUNCTION("""COMPUTED_VALUE"""),"Quebra")</f>
        <v>Quebra</v>
      </c>
      <c r="F58" s="3" t="str">
        <f>IFERROR(__xludf.DUMMYFUNCTION("""COMPUTED_VALUE"""),"Melissa")</f>
        <v>Melissa</v>
      </c>
      <c r="G58" s="3" t="str">
        <f>IFERROR(__xludf.DUMMYFUNCTION("""COMPUTED_VALUE"""),"Uma furada no fardo e outra caiu durante abastecimento")</f>
        <v>Uma furada no fardo e outra caiu durante abastecimento</v>
      </c>
    </row>
    <row r="59">
      <c r="A59" s="2">
        <f>IFERROR(__xludf.DUMMYFUNCTION("""COMPUTED_VALUE"""),45682.0)</f>
        <v>45682</v>
      </c>
      <c r="B59" s="3" t="str">
        <f>IFERROR(__xludf.DUMMYFUNCTION("""COMPUTED_VALUE"""),"tapioca goma")</f>
        <v>tapioca goma</v>
      </c>
      <c r="C59" s="3" t="str">
        <f>IFERROR(__xludf.DUMMYFUNCTION("""COMPUTED_VALUE"""),"Produto final")</f>
        <v>Produto final</v>
      </c>
      <c r="D59" s="3" t="str">
        <f>IFERROR(__xludf.DUMMYFUNCTION("""COMPUTED_VALUE"""),"508gr")</f>
        <v>508gr</v>
      </c>
      <c r="E59" s="3" t="str">
        <f>IFERROR(__xludf.DUMMYFUNCTION("""COMPUTED_VALUE"""),"Outro")</f>
        <v>Outro</v>
      </c>
      <c r="F59" s="3" t="str">
        <f>IFERROR(__xludf.DUMMYFUNCTION("""COMPUTED_VALUE"""),"fernando")</f>
        <v>fernando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IFERROR(__xludf.DUMMYFUNCTION("""COMPUTED_VALUE"""),45683.0)</f>
        <v>45683</v>
      </c>
      <c r="B60" s="3" t="str">
        <f>IFERROR(__xludf.DUMMYFUNCTION("""COMPUTED_VALUE"""),"Pasta de Comanda")</f>
        <v>Pasta de Comanda</v>
      </c>
      <c r="C60" s="3" t="str">
        <f>IFERROR(__xludf.DUMMYFUNCTION("""COMPUTED_VALUE"""),"Utensílio")</f>
        <v>Utensílio</v>
      </c>
      <c r="D60" s="3">
        <f>IFERROR(__xludf.DUMMYFUNCTION("""COMPUTED_VALUE"""),2.0)</f>
        <v>2</v>
      </c>
      <c r="E60" s="3" t="str">
        <f>IFERROR(__xludf.DUMMYFUNCTION("""COMPUTED_VALUE"""),"Quebra")</f>
        <v>Quebra</v>
      </c>
      <c r="F60" s="3" t="str">
        <f>IFERROR(__xludf.DUMMYFUNCTION("""COMPUTED_VALUE"""),"Alex")</f>
        <v>Alex</v>
      </c>
      <c r="G60" s="3" t="str">
        <f>IFERROR(__xludf.DUMMYFUNCTION("""COMPUTED_VALUE"""),"Substituída (Rasgada)")</f>
        <v>Substituída (Rasgada)</v>
      </c>
    </row>
    <row r="61">
      <c r="A61" s="2">
        <f>IFERROR(__xludf.DUMMYFUNCTION("""COMPUTED_VALUE"""),45683.0)</f>
        <v>45683</v>
      </c>
      <c r="B61" s="3" t="str">
        <f>IFERROR(__xludf.DUMMYFUNCTION("""COMPUTED_VALUE"""),"Chantilly")</f>
        <v>Chantilly</v>
      </c>
      <c r="C61" s="3" t="str">
        <f>IFERROR(__xludf.DUMMYFUNCTION("""COMPUTED_VALUE"""),"Insumos")</f>
        <v>Insumos</v>
      </c>
      <c r="D61" s="3" t="str">
        <f>IFERROR(__xludf.DUMMYFUNCTION("""COMPUTED_VALUE"""),"1,6kg")</f>
        <v>1,6kg</v>
      </c>
      <c r="E61" s="3" t="str">
        <f>IFERROR(__xludf.DUMMYFUNCTION("""COMPUTED_VALUE"""),"Venceu (Validade)")</f>
        <v>Venceu (Validade)</v>
      </c>
      <c r="F61" s="3" t="str">
        <f>IFERROR(__xludf.DUMMYFUNCTION("""COMPUTED_VALUE"""),"Alex")</f>
        <v>Alex</v>
      </c>
      <c r="G61" s="3" t="str">
        <f>IFERROR(__xludf.DUMMYFUNCTION("""COMPUTED_VALUE"""),"Talhado.")</f>
        <v>Talhado.</v>
      </c>
    </row>
    <row r="62">
      <c r="A62" s="2">
        <f>IFERROR(__xludf.DUMMYFUNCTION("""COMPUTED_VALUE"""),45683.0)</f>
        <v>45683</v>
      </c>
      <c r="B62" s="3" t="str">
        <f>IFERROR(__xludf.DUMMYFUNCTION("""COMPUTED_VALUE"""),"Ovo mexido com bacon")</f>
        <v>Ovo mexido com bacon</v>
      </c>
      <c r="C62" s="3" t="str">
        <f>IFERROR(__xludf.DUMMYFUNCTION("""COMPUTED_VALUE"""),"Insumos")</f>
        <v>Insumos</v>
      </c>
      <c r="D62" s="3">
        <f>IFERROR(__xludf.DUMMYFUNCTION("""COMPUTED_VALUE"""),2.0)</f>
        <v>2</v>
      </c>
      <c r="E62" s="3" t="str">
        <f>IFERROR(__xludf.DUMMYFUNCTION("""COMPUTED_VALUE"""),"Cliente")</f>
        <v>Cliente</v>
      </c>
      <c r="F62" s="3" t="str">
        <f>IFERROR(__xludf.DUMMYFUNCTION("""COMPUTED_VALUE"""),"Alex")</f>
        <v>Alex</v>
      </c>
      <c r="G62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3">
      <c r="A63" s="2">
        <f>IFERROR(__xludf.DUMMYFUNCTION("""COMPUTED_VALUE"""),45683.0)</f>
        <v>45683</v>
      </c>
      <c r="B63" s="3" t="str">
        <f>IFERROR(__xludf.DUMMYFUNCTION("""COMPUTED_VALUE"""),"Chocolate gelado")</f>
        <v>Chocolate gelado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IFERROR(__xludf.DUMMYFUNCTION("""COMPUTED_VALUE"""),"Cliente")</f>
        <v>Cliente</v>
      </c>
      <c r="F63" s="3" t="str">
        <f>IFERROR(__xludf.DUMMYFUNCTION("""COMPUTED_VALUE"""),"Alex")</f>
        <v>Alex</v>
      </c>
      <c r="G63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4">
      <c r="A64" s="2">
        <f>IFERROR(__xludf.DUMMYFUNCTION("""COMPUTED_VALUE"""),45683.0)</f>
        <v>45683</v>
      </c>
      <c r="B64" s="3" t="str">
        <f>IFERROR(__xludf.DUMMYFUNCTION("""COMPUTED_VALUE"""),"Água c/ gás")</f>
        <v>Água c/ gás</v>
      </c>
      <c r="C64" s="3" t="str">
        <f>IFERROR(__xludf.DUMMYFUNCTION("""COMPUTED_VALUE"""),"Produto final")</f>
        <v>Produto final</v>
      </c>
      <c r="D64" s="3">
        <f>IFERROR(__xludf.DUMMYFUNCTION("""COMPUTED_VALUE"""),1.0)</f>
        <v>1</v>
      </c>
      <c r="E64" s="3" t="str">
        <f>IFERROR(__xludf.DUMMYFUNCTION("""COMPUTED_VALUE"""),"Cliente")</f>
        <v>Cliente</v>
      </c>
      <c r="F64" s="3" t="str">
        <f>IFERROR(__xludf.DUMMYFUNCTION("""COMPUTED_VALUE"""),"Alex")</f>
        <v>Alex</v>
      </c>
      <c r="G64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5">
      <c r="A65" s="2">
        <f>IFERROR(__xludf.DUMMYFUNCTION("""COMPUTED_VALUE"""),45684.0)</f>
        <v>45684</v>
      </c>
      <c r="B65" s="3" t="str">
        <f>IFERROR(__xludf.DUMMYFUNCTION("""COMPUTED_VALUE"""),"aeroprex blend")</f>
        <v>aeroprex blend</v>
      </c>
      <c r="C65" s="3" t="str">
        <f>IFERROR(__xludf.DUMMYFUNCTION("""COMPUTED_VALUE"""),"Produto final")</f>
        <v>Produto final</v>
      </c>
      <c r="D65" s="3">
        <f>IFERROR(__xludf.DUMMYFUNCTION("""COMPUTED_VALUE"""),1.0)</f>
        <v>1</v>
      </c>
      <c r="E65" s="3" t="str">
        <f>IFERROR(__xludf.DUMMYFUNCTION("""COMPUTED_VALUE"""),"Erro de processo")</f>
        <v>Erro de processo</v>
      </c>
      <c r="F65" s="3" t="str">
        <f>IFERROR(__xludf.DUMMYFUNCTION("""COMPUTED_VALUE"""),"Maria Eduarda")</f>
        <v>Maria Eduarda</v>
      </c>
      <c r="G65" s="3" t="str">
        <f>IFERROR(__xludf.DUMMYFUNCTION("""COMPUTED_VALUE"""),"nao estava fechada direito entornou na mesa")</f>
        <v>nao estava fechada direito entornou na mesa</v>
      </c>
    </row>
    <row r="66">
      <c r="A66" s="2">
        <f>IFERROR(__xludf.DUMMYFUNCTION("""COMPUTED_VALUE"""),45684.0)</f>
        <v>45684</v>
      </c>
      <c r="B66" s="3" t="str">
        <f>IFERROR(__xludf.DUMMYFUNCTION("""COMPUTED_VALUE"""),"cafe latte simples")</f>
        <v>cafe latte simples</v>
      </c>
      <c r="C66" s="3" t="str">
        <f>IFERROR(__xludf.DUMMYFUNCTION("""COMPUTED_VALUE"""),"Produto final")</f>
        <v>Produto final</v>
      </c>
      <c r="D66" s="3">
        <f>IFERROR(__xludf.DUMMYFUNCTION("""COMPUTED_VALUE"""),1.0)</f>
        <v>1</v>
      </c>
      <c r="E66" s="3" t="str">
        <f>IFERROR(__xludf.DUMMYFUNCTION("""COMPUTED_VALUE"""),"Erro de processo")</f>
        <v>Erro de processo</v>
      </c>
      <c r="F66" s="3" t="str">
        <f>IFERROR(__xludf.DUMMYFUNCTION("""COMPUTED_VALUE"""),"maria Eduarda")</f>
        <v>maria Eduarda</v>
      </c>
      <c r="G66" s="3" t="str">
        <f>IFERROR(__xludf.DUMMYFUNCTION("""COMPUTED_VALUE"""),"era duplo e fez simples")</f>
        <v>era duplo e fez simples</v>
      </c>
    </row>
    <row r="67">
      <c r="A67" s="2">
        <f>IFERROR(__xludf.DUMMYFUNCTION("""COMPUTED_VALUE"""),45684.0)</f>
        <v>45684</v>
      </c>
      <c r="B67" s="3" t="str">
        <f>IFERROR(__xludf.DUMMYFUNCTION("""COMPUTED_VALUE"""),"suco acerola com laranja")</f>
        <v>suco acerola com laranja</v>
      </c>
      <c r="C67" s="3" t="str">
        <f>IFERROR(__xludf.DUMMYFUNCTION("""COMPUTED_VALUE"""),"Produto final")</f>
        <v>Produto final</v>
      </c>
      <c r="D67" s="3">
        <f>IFERROR(__xludf.DUMMYFUNCTION("""COMPUTED_VALUE"""),1.0)</f>
        <v>1</v>
      </c>
      <c r="E67" s="3" t="str">
        <f>IFERROR(__xludf.DUMMYFUNCTION("""COMPUTED_VALUE"""),"Cliente")</f>
        <v>Cliente</v>
      </c>
      <c r="F67" s="3" t="str">
        <f>IFERROR(__xludf.DUMMYFUNCTION("""COMPUTED_VALUE"""),"jhonatan")</f>
        <v>jhonatan</v>
      </c>
      <c r="G67" s="3" t="str">
        <f>IFERROR(__xludf.DUMMYFUNCTION("""COMPUTED_VALUE"""),"cliente pediu e nao gostou")</f>
        <v>cliente pediu e nao gostou</v>
      </c>
    </row>
    <row r="68">
      <c r="A68" s="2">
        <f>IFERROR(__xludf.DUMMYFUNCTION("""COMPUTED_VALUE"""),45684.0)</f>
        <v>45684</v>
      </c>
      <c r="B68" s="3" t="str">
        <f>IFERROR(__xludf.DUMMYFUNCTION("""COMPUTED_VALUE"""),"strogonoff de frango")</f>
        <v>strogonoff de frango</v>
      </c>
      <c r="C68" s="3" t="str">
        <f>IFERROR(__xludf.DUMMYFUNCTION("""COMPUTED_VALUE"""),"Produto final")</f>
        <v>Produto final</v>
      </c>
      <c r="D68" s="3">
        <f>IFERROR(__xludf.DUMMYFUNCTION("""COMPUTED_VALUE"""),1.0)</f>
        <v>1</v>
      </c>
      <c r="E68" s="3" t="str">
        <f>IFERROR(__xludf.DUMMYFUNCTION("""COMPUTED_VALUE"""),"Cliente")</f>
        <v>Cliente</v>
      </c>
      <c r="F68" s="3" t="str">
        <f>IFERROR(__xludf.DUMMYFUNCTION("""COMPUTED_VALUE"""),"edina")</f>
        <v>edina</v>
      </c>
      <c r="G68" s="3" t="str">
        <f>IFERROR(__xludf.DUMMYFUNCTION("""COMPUTED_VALUE"""),"cliente pediu mais foi na farmacia e nao voltou mais")</f>
        <v>cliente pediu mais foi na farmacia e nao voltou mais</v>
      </c>
    </row>
    <row r="69">
      <c r="A69" s="2">
        <f>IFERROR(__xludf.DUMMYFUNCTION("""COMPUTED_VALUE"""),45685.0)</f>
        <v>45685</v>
      </c>
      <c r="B69" s="3" t="str">
        <f>IFERROR(__xludf.DUMMYFUNCTION("""COMPUTED_VALUE"""),"Alface americano")</f>
        <v>Alface americano</v>
      </c>
      <c r="C69" s="3" t="str">
        <f>IFERROR(__xludf.DUMMYFUNCTION("""COMPUTED_VALUE"""),"Hortifruti")</f>
        <v>Hortifruti</v>
      </c>
      <c r="D69" s="3" t="str">
        <f>IFERROR(__xludf.DUMMYFUNCTION("""COMPUTED_VALUE"""),"241gr")</f>
        <v>241gr</v>
      </c>
      <c r="E69" s="3" t="str">
        <f>IFERROR(__xludf.DUMMYFUNCTION("""COMPUTED_VALUE"""),"Venceu (Validade)")</f>
        <v>Venceu (Validade)</v>
      </c>
      <c r="F69" s="3" t="str">
        <f>IFERROR(__xludf.DUMMYFUNCTION("""COMPUTED_VALUE"""),"Patrícia")</f>
        <v>Patrícia</v>
      </c>
      <c r="G69" s="3" t="str">
        <f>IFERROR(__xludf.DUMMYFUNCTION("""COMPUTED_VALUE"""),"Vencida.")</f>
        <v>Vencida.</v>
      </c>
    </row>
    <row r="70">
      <c r="A70" s="2">
        <f>IFERROR(__xludf.DUMMYFUNCTION("""COMPUTED_VALUE"""),45685.0)</f>
        <v>45685</v>
      </c>
      <c r="B70" s="3" t="str">
        <f>IFERROR(__xludf.DUMMYFUNCTION("""COMPUTED_VALUE"""),"Banana")</f>
        <v>Banana</v>
      </c>
      <c r="C70" s="3" t="str">
        <f>IFERROR(__xludf.DUMMYFUNCTION("""COMPUTED_VALUE"""),"Hortifruti")</f>
        <v>Hortifruti</v>
      </c>
      <c r="D70" s="3" t="str">
        <f>IFERROR(__xludf.DUMMYFUNCTION("""COMPUTED_VALUE"""),"221gr")</f>
        <v>221gr</v>
      </c>
      <c r="E70" s="3" t="str">
        <f>IFERROR(__xludf.DUMMYFUNCTION("""COMPUTED_VALUE"""),"Venceu (Validade)")</f>
        <v>Venceu (Validade)</v>
      </c>
      <c r="F70" s="3" t="str">
        <f>IFERROR(__xludf.DUMMYFUNCTION("""COMPUTED_VALUE"""),"Patrícia")</f>
        <v>Patrícia</v>
      </c>
      <c r="G70" s="3" t="str">
        <f>IFERROR(__xludf.DUMMYFUNCTION("""COMPUTED_VALUE"""),"Vencida.")</f>
        <v>Vencida.</v>
      </c>
    </row>
    <row r="71">
      <c r="A71" s="2">
        <f>IFERROR(__xludf.DUMMYFUNCTION("""COMPUTED_VALUE"""),45685.0)</f>
        <v>45685</v>
      </c>
      <c r="B71" s="3" t="str">
        <f>IFERROR(__xludf.DUMMYFUNCTION("""COMPUTED_VALUE"""),"Chá Natural Limão")</f>
        <v>Chá Natural Limão</v>
      </c>
      <c r="C71" s="3" t="str">
        <f>IFERROR(__xludf.DUMMYFUNCTION("""COMPUTED_VALUE"""),"Produto final")</f>
        <v>Produto final</v>
      </c>
      <c r="D71" s="3">
        <f>IFERROR(__xludf.DUMMYFUNCTION("""COMPUTED_VALUE"""),1.0)</f>
        <v>1</v>
      </c>
      <c r="E71" s="3" t="str">
        <f>IFERROR(__xludf.DUMMYFUNCTION("""COMPUTED_VALUE"""),"Lançamento errado")</f>
        <v>Lançamento errado</v>
      </c>
      <c r="F71" s="3" t="str">
        <f>IFERROR(__xludf.DUMMYFUNCTION("""COMPUTED_VALUE"""),"Rafael")</f>
        <v>Rafael</v>
      </c>
      <c r="G71" s="3" t="str">
        <f>IFERROR(__xludf.DUMMYFUNCTION("""COMPUTED_VALUE"""),"Cliente pediu chá quente e foi lançado natural com limão")</f>
        <v>Cliente pediu chá quente e foi lançado natural com limão</v>
      </c>
    </row>
    <row r="72">
      <c r="A72" s="2">
        <f>IFERROR(__xludf.DUMMYFUNCTION("""COMPUTED_VALUE"""),45685.0)</f>
        <v>45685</v>
      </c>
      <c r="B72" s="3" t="str">
        <f>IFERROR(__xludf.DUMMYFUNCTION("""COMPUTED_VALUE"""),"croissant")</f>
        <v>croissant</v>
      </c>
      <c r="C72" s="3" t="str">
        <f>IFERROR(__xludf.DUMMYFUNCTION("""COMPUTED_VALUE"""),"Produto final")</f>
        <v>Produto final</v>
      </c>
      <c r="D72" s="3">
        <f>IFERROR(__xludf.DUMMYFUNCTION("""COMPUTED_VALUE"""),1.0)</f>
        <v>1</v>
      </c>
      <c r="E72" s="3" t="str">
        <f>IFERROR(__xludf.DUMMYFUNCTION("""COMPUTED_VALUE"""),"Erro de processo")</f>
        <v>Erro de processo</v>
      </c>
      <c r="F72" s="3" t="str">
        <f>IFERROR(__xludf.DUMMYFUNCTION("""COMPUTED_VALUE"""),"Melissa")</f>
        <v>Melissa</v>
      </c>
      <c r="G72" s="3" t="str">
        <f>IFERROR(__xludf.DUMMYFUNCTION("""COMPUTED_VALUE"""),"Deixou cair no chão")</f>
        <v>Deixou cair no chão</v>
      </c>
    </row>
    <row r="73">
      <c r="A73" s="2">
        <f>IFERROR(__xludf.DUMMYFUNCTION("""COMPUTED_VALUE"""),45687.0)</f>
        <v>45687</v>
      </c>
      <c r="B73" s="3" t="str">
        <f>IFERROR(__xludf.DUMMYFUNCTION("""COMPUTED_VALUE"""),"Tostex ciabatta")</f>
        <v>Tostex ciabatta</v>
      </c>
      <c r="C73" s="3" t="str">
        <f>IFERROR(__xludf.DUMMYFUNCTION("""COMPUTED_VALUE"""),"Produto final")</f>
        <v>Produto final</v>
      </c>
      <c r="D73" s="3">
        <f>IFERROR(__xludf.DUMMYFUNCTION("""COMPUTED_VALUE"""),1.0)</f>
        <v>1</v>
      </c>
      <c r="E73" s="3" t="str">
        <f>IFERROR(__xludf.DUMMYFUNCTION("""COMPUTED_VALUE"""),"Lançamento errado")</f>
        <v>Lançamento errado</v>
      </c>
      <c r="F73" s="3" t="str">
        <f>IFERROR(__xludf.DUMMYFUNCTION("""COMPUTED_VALUE"""),"Vitor")</f>
        <v>Vitor</v>
      </c>
      <c r="G73" s="3" t="str">
        <f>IFERROR(__xludf.DUMMYFUNCTION("""COMPUTED_VALUE"""),"Lançou errado.")</f>
        <v>Lançou errado.</v>
      </c>
    </row>
    <row r="74">
      <c r="A74" s="2">
        <f>IFERROR(__xludf.DUMMYFUNCTION("""COMPUTED_VALUE"""),45688.0)</f>
        <v>45688</v>
      </c>
      <c r="B74" s="3" t="str">
        <f>IFERROR(__xludf.DUMMYFUNCTION("""COMPUTED_VALUE"""),"cha gelado framboesa")</f>
        <v>cha gelado framboesa</v>
      </c>
      <c r="C74" s="3" t="str">
        <f>IFERROR(__xludf.DUMMYFUNCTION("""COMPUTED_VALUE"""),"Produto final")</f>
        <v>Produto final</v>
      </c>
      <c r="D74" s="3">
        <f>IFERROR(__xludf.DUMMYFUNCTION("""COMPUTED_VALUE"""),1.0)</f>
        <v>1</v>
      </c>
      <c r="E74" s="3" t="str">
        <f>IFERROR(__xludf.DUMMYFUNCTION("""COMPUTED_VALUE"""),"Cliente")</f>
        <v>Cliente</v>
      </c>
      <c r="F74" s="3" t="str">
        <f>IFERROR(__xludf.DUMMYFUNCTION("""COMPUTED_VALUE"""),"jhonatan")</f>
        <v>jhonatan</v>
      </c>
      <c r="G74" s="3" t="str">
        <f>IFERROR(__xludf.DUMMYFUNCTION("""COMPUTED_VALUE"""),"cliente achou que era quente")</f>
        <v>cliente achou que era quente</v>
      </c>
    </row>
    <row r="75">
      <c r="A75" s="2">
        <f>IFERROR(__xludf.DUMMYFUNCTION("""COMPUTED_VALUE"""),45689.0)</f>
        <v>45689</v>
      </c>
      <c r="B75" s="3" t="str">
        <f>IFERROR(__xludf.DUMMYFUNCTION("""COMPUTED_VALUE"""),"xicara grande")</f>
        <v>xicara grande</v>
      </c>
      <c r="C75" s="3" t="str">
        <f>IFERROR(__xludf.DUMMYFUNCTION("""COMPUTED_VALUE"""),"Utensílio")</f>
        <v>Utensílio</v>
      </c>
      <c r="D75" s="3">
        <f>IFERROR(__xludf.DUMMYFUNCTION("""COMPUTED_VALUE"""),1.0)</f>
        <v>1</v>
      </c>
      <c r="E75" s="3" t="str">
        <f>IFERROR(__xludf.DUMMYFUNCTION("""COMPUTED_VALUE"""),"Quebra")</f>
        <v>Quebra</v>
      </c>
      <c r="F75" s="3" t="str">
        <f>IFERROR(__xludf.DUMMYFUNCTION("""COMPUTED_VALUE"""),"Rafael")</f>
        <v>Rafael</v>
      </c>
      <c r="G75" s="3" t="str">
        <f>IFERROR(__xludf.DUMMYFUNCTION("""COMPUTED_VALUE"""),"deixou cair")</f>
        <v>deixou cair</v>
      </c>
    </row>
    <row r="76">
      <c r="A76" s="2">
        <f>IFERROR(__xludf.DUMMYFUNCTION("""COMPUTED_VALUE"""),45690.0)</f>
        <v>45690</v>
      </c>
      <c r="B76" s="3" t="str">
        <f>IFERROR(__xludf.DUMMYFUNCTION("""COMPUTED_VALUE"""),"Pao de queijo porção (unidades da porção)")</f>
        <v>Pao de queijo porção (unidades da porção)</v>
      </c>
      <c r="C76" s="3" t="str">
        <f>IFERROR(__xludf.DUMMYFUNCTION("""COMPUTED_VALUE"""),"Produto final")</f>
        <v>Produto final</v>
      </c>
      <c r="D76" s="3">
        <f>IFERROR(__xludf.DUMMYFUNCTION("""COMPUTED_VALUE"""),56.0)</f>
        <v>56</v>
      </c>
      <c r="E76" s="3" t="str">
        <f>IFERROR(__xludf.DUMMYFUNCTION("""COMPUTED_VALUE"""),"Venceu (Validade)")</f>
        <v>Venceu (Validade)</v>
      </c>
      <c r="F76" s="3" t="str">
        <f>IFERROR(__xludf.DUMMYFUNCTION("""COMPUTED_VALUE"""),"marilene")</f>
        <v>marilene</v>
      </c>
      <c r="G76" s="3" t="str">
        <f>IFERROR(__xludf.DUMMYFUNCTION("""COMPUTED_VALUE"""),"estava vencido na geladira")</f>
        <v>estava vencido na geladira</v>
      </c>
    </row>
    <row r="77">
      <c r="A77" s="2">
        <f>IFERROR(__xludf.DUMMYFUNCTION("""COMPUTED_VALUE"""),45690.0)</f>
        <v>45690</v>
      </c>
      <c r="B77" s="3" t="str">
        <f>IFERROR(__xludf.DUMMYFUNCTION("""COMPUTED_VALUE"""),"Manjericao")</f>
        <v>Manjericao</v>
      </c>
      <c r="C77" s="3" t="str">
        <f>IFERROR(__xludf.DUMMYFUNCTION("""COMPUTED_VALUE"""),"Insumos")</f>
        <v>Insumos</v>
      </c>
      <c r="D77" s="3" t="str">
        <f>IFERROR(__xludf.DUMMYFUNCTION("""COMPUTED_VALUE"""),"57g")</f>
        <v>57g</v>
      </c>
      <c r="E77" s="3" t="str">
        <f>IFERROR(__xludf.DUMMYFUNCTION("""COMPUTED_VALUE"""),"Venceu (Validade)")</f>
        <v>Venceu (Validade)</v>
      </c>
      <c r="F77" s="3" t="str">
        <f>IFERROR(__xludf.DUMMYFUNCTION("""COMPUTED_VALUE"""),"marilene")</f>
        <v>marilene</v>
      </c>
      <c r="G77" s="3" t="str">
        <f>IFERROR(__xludf.DUMMYFUNCTION("""COMPUTED_VALUE"""),"estava ruim")</f>
        <v>estava ruim</v>
      </c>
    </row>
    <row r="78">
      <c r="A78" s="2">
        <f>IFERROR(__xludf.DUMMYFUNCTION("""COMPUTED_VALUE"""),45691.0)</f>
        <v>45691</v>
      </c>
      <c r="B78" s="3" t="str">
        <f>IFERROR(__xludf.DUMMYFUNCTION("""COMPUTED_VALUE"""),"Banana")</f>
        <v>Banana</v>
      </c>
      <c r="C78" s="3" t="str">
        <f>IFERROR(__xludf.DUMMYFUNCTION("""COMPUTED_VALUE"""),"Hortifruti")</f>
        <v>Hortifruti</v>
      </c>
      <c r="D78" s="3" t="str">
        <f>IFERROR(__xludf.DUMMYFUNCTION("""COMPUTED_VALUE"""),"40gr")</f>
        <v>40gr</v>
      </c>
      <c r="E78" s="3" t="str">
        <f>IFERROR(__xludf.DUMMYFUNCTION("""COMPUTED_VALUE"""),"Venceu (Validade)")</f>
        <v>Venceu (Validade)</v>
      </c>
      <c r="F78" s="3" t="str">
        <f>IFERROR(__xludf.DUMMYFUNCTION("""COMPUTED_VALUE"""),"Melissa")</f>
        <v>Melissa</v>
      </c>
      <c r="G78" s="3" t="str">
        <f>IFERROR(__xludf.DUMMYFUNCTION("""COMPUTED_VALUE"""),"Vencido")</f>
        <v>Vencido</v>
      </c>
    </row>
    <row r="79">
      <c r="A79" s="2">
        <f>IFERROR(__xludf.DUMMYFUNCTION("""COMPUTED_VALUE"""),45691.0)</f>
        <v>45691</v>
      </c>
      <c r="B79" s="3" t="str">
        <f>IFERROR(__xludf.DUMMYFUNCTION("""COMPUTED_VALUE"""),"Rúcula")</f>
        <v>Rúcula</v>
      </c>
      <c r="C79" s="3" t="str">
        <f>IFERROR(__xludf.DUMMYFUNCTION("""COMPUTED_VALUE"""),"Insumos")</f>
        <v>Insumos</v>
      </c>
      <c r="D79" s="3" t="str">
        <f>IFERROR(__xludf.DUMMYFUNCTION("""COMPUTED_VALUE"""),"58gr")</f>
        <v>58gr</v>
      </c>
      <c r="E79" s="3" t="str">
        <f>IFERROR(__xludf.DUMMYFUNCTION("""COMPUTED_VALUE"""),"Venceu (Validade)")</f>
        <v>Venceu (Validade)</v>
      </c>
      <c r="F79" s="3" t="str">
        <f>IFERROR(__xludf.DUMMYFUNCTION("""COMPUTED_VALUE"""),"Patrícia")</f>
        <v>Patrícia</v>
      </c>
      <c r="G79" s="3" t="str">
        <f>IFERROR(__xludf.DUMMYFUNCTION("""COMPUTED_VALUE"""),"Vencido")</f>
        <v>Vencido</v>
      </c>
    </row>
    <row r="80">
      <c r="A80" s="2">
        <f>IFERROR(__xludf.DUMMYFUNCTION("""COMPUTED_VALUE"""),45692.0)</f>
        <v>45692</v>
      </c>
      <c r="B80" s="3" t="str">
        <f>IFERROR(__xludf.DUMMYFUNCTION("""COMPUTED_VALUE"""),"Croissant misto")</f>
        <v>Croissant misto</v>
      </c>
      <c r="C80" s="3" t="str">
        <f>IFERROR(__xludf.DUMMYFUNCTION("""COMPUTED_VALUE"""),"Produto final")</f>
        <v>Produto final</v>
      </c>
      <c r="D80" s="3">
        <f>IFERROR(__xludf.DUMMYFUNCTION("""COMPUTED_VALUE"""),1.0)</f>
        <v>1</v>
      </c>
      <c r="E80" s="3" t="str">
        <f>IFERROR(__xludf.DUMMYFUNCTION("""COMPUTED_VALUE"""),"Erro de processo")</f>
        <v>Erro de processo</v>
      </c>
      <c r="F80" s="3" t="str">
        <f>IFERROR(__xludf.DUMMYFUNCTION("""COMPUTED_VALUE"""),"francisca")</f>
        <v>francisca</v>
      </c>
      <c r="G80" s="3" t="str">
        <f>IFERROR(__xludf.DUMMYFUNCTION("""COMPUTED_VALUE"""),"fez duas vezes")</f>
        <v>fez duas vezes</v>
      </c>
    </row>
    <row r="81">
      <c r="A81" s="2">
        <f>IFERROR(__xludf.DUMMYFUNCTION("""COMPUTED_VALUE"""),45692.0)</f>
        <v>45692</v>
      </c>
      <c r="B81" s="3" t="str">
        <f>IFERROR(__xludf.DUMMYFUNCTION("""COMPUTED_VALUE"""),"Coca normal")</f>
        <v>Coca normal</v>
      </c>
      <c r="C81" s="3" t="str">
        <f>IFERROR(__xludf.DUMMYFUNCTION("""COMPUTED_VALUE"""),"Produto final")</f>
        <v>Produto final</v>
      </c>
      <c r="D81" s="3">
        <f>IFERROR(__xludf.DUMMYFUNCTION("""COMPUTED_VALUE"""),2.0)</f>
        <v>2</v>
      </c>
      <c r="E81" s="3" t="str">
        <f>IFERROR(__xludf.DUMMYFUNCTION("""COMPUTED_VALUE"""),"Quebra")</f>
        <v>Quebra</v>
      </c>
      <c r="F81" s="3" t="str">
        <f>IFERROR(__xludf.DUMMYFUNCTION("""COMPUTED_VALUE"""),"maria Eduarda")</f>
        <v>maria Eduarda</v>
      </c>
      <c r="G81" s="3" t="str">
        <f>IFERROR(__xludf.DUMMYFUNCTION("""COMPUTED_VALUE"""),"estava amassada na geladeira")</f>
        <v>estava amassada na geladeira</v>
      </c>
    </row>
    <row r="82">
      <c r="A82" s="2">
        <f>IFERROR(__xludf.DUMMYFUNCTION("""COMPUTED_VALUE"""),45693.0)</f>
        <v>45693</v>
      </c>
      <c r="B82" s="3" t="str">
        <f>IFERROR(__xludf.DUMMYFUNCTION("""COMPUTED_VALUE"""),"agua c gas")</f>
        <v>agua c gas</v>
      </c>
      <c r="C82" s="3" t="str">
        <f>IFERROR(__xludf.DUMMYFUNCTION("""COMPUTED_VALUE"""),"Produto final")</f>
        <v>Produto final</v>
      </c>
      <c r="D82" s="3">
        <f>IFERROR(__xludf.DUMMYFUNCTION("""COMPUTED_VALUE"""),1.0)</f>
        <v>1</v>
      </c>
      <c r="E82" s="3" t="str">
        <f>IFERROR(__xludf.DUMMYFUNCTION("""COMPUTED_VALUE"""),"Erro de processo")</f>
        <v>Erro de processo</v>
      </c>
      <c r="F82" s="3" t="str">
        <f>IFERROR(__xludf.DUMMYFUNCTION("""COMPUTED_VALUE"""),"Patrícia")</f>
        <v>Patrícia</v>
      </c>
      <c r="G82" s="3" t="str">
        <f>IFERROR(__xludf.DUMMYFUNCTION("""COMPUTED_VALUE"""),"entregou errada era sem gas")</f>
        <v>entregou errada era sem gas</v>
      </c>
    </row>
    <row r="83">
      <c r="A83" s="2">
        <f>IFERROR(__xludf.DUMMYFUNCTION("""COMPUTED_VALUE"""),45693.0)</f>
        <v>45693</v>
      </c>
      <c r="B83" s="3" t="str">
        <f>IFERROR(__xludf.DUMMYFUNCTION("""COMPUTED_VALUE"""),"Coado Descafeinado")</f>
        <v>Coado Descafeinado</v>
      </c>
      <c r="C83" s="3" t="str">
        <f>IFERROR(__xludf.DUMMYFUNCTION("""COMPUTED_VALUE"""),"Produto final")</f>
        <v>Produto final</v>
      </c>
      <c r="D83" s="3">
        <f>IFERROR(__xludf.DUMMYFUNCTION("""COMPUTED_VALUE"""),1.0)</f>
        <v>1</v>
      </c>
      <c r="E83" s="3" t="str">
        <f>IFERROR(__xludf.DUMMYFUNCTION("""COMPUTED_VALUE"""),"Cliente")</f>
        <v>Cliente</v>
      </c>
      <c r="F83" s="3" t="str">
        <f>IFERROR(__xludf.DUMMYFUNCTION("""COMPUTED_VALUE"""),"Tiago")</f>
        <v>Tiago</v>
      </c>
      <c r="G83" s="3" t="str">
        <f>IFERROR(__xludf.DUMMYFUNCTION("""COMPUTED_VALUE"""),"Cliente pediu e alegou que o café estava fraco.")</f>
        <v>Cliente pediu e alegou que o café estava fraco.</v>
      </c>
    </row>
    <row r="84">
      <c r="A84" s="2">
        <f>IFERROR(__xludf.DUMMYFUNCTION("""COMPUTED_VALUE"""),45693.0)</f>
        <v>45693</v>
      </c>
      <c r="B84" s="3" t="str">
        <f>IFERROR(__xludf.DUMMYFUNCTION("""COMPUTED_VALUE"""),"Tostex ciabatta")</f>
        <v>Tostex ciabatta</v>
      </c>
      <c r="C84" s="3" t="str">
        <f>IFERROR(__xludf.DUMMYFUNCTION("""COMPUTED_VALUE"""),"Produto final")</f>
        <v>Produto final</v>
      </c>
      <c r="D84" s="3">
        <f>IFERROR(__xludf.DUMMYFUNCTION("""COMPUTED_VALUE"""),1.0)</f>
        <v>1</v>
      </c>
      <c r="E84" s="3" t="str">
        <f>IFERROR(__xludf.DUMMYFUNCTION("""COMPUTED_VALUE"""),"Cliente")</f>
        <v>Cliente</v>
      </c>
      <c r="F84" s="3" t="str">
        <f>IFERROR(__xludf.DUMMYFUNCTION("""COMPUTED_VALUE"""),"Marilene")</f>
        <v>Marilene</v>
      </c>
      <c r="G84" s="3" t="str">
        <f>IFERROR(__xludf.DUMMYFUNCTION("""COMPUTED_VALUE"""),"Cliente achou o tostex duro e pediu outro não tostado")</f>
        <v>Cliente achou o tostex duro e pediu outro não tostado</v>
      </c>
    </row>
    <row r="85">
      <c r="A85" s="2">
        <f>IFERROR(__xludf.DUMMYFUNCTION("""COMPUTED_VALUE"""),45693.0)</f>
        <v>45693</v>
      </c>
      <c r="B85" s="3" t="str">
        <f>IFERROR(__xludf.DUMMYFUNCTION("""COMPUTED_VALUE"""),"Suco de acerola")</f>
        <v>Suco de acerola</v>
      </c>
      <c r="C85" s="3" t="str">
        <f>IFERROR(__xludf.DUMMYFUNCTION("""COMPUTED_VALUE"""),"Produto final")</f>
        <v>Produto final</v>
      </c>
      <c r="D85" s="3">
        <f>IFERROR(__xludf.DUMMYFUNCTION("""COMPUTED_VALUE"""),1.0)</f>
        <v>1</v>
      </c>
      <c r="E85" s="3" t="str">
        <f>IFERROR(__xludf.DUMMYFUNCTION("""COMPUTED_VALUE"""),"Erro de processo")</f>
        <v>Erro de processo</v>
      </c>
      <c r="F85" s="3" t="str">
        <f>IFERROR(__xludf.DUMMYFUNCTION("""COMPUTED_VALUE"""),"Tiago")</f>
        <v>Tiago</v>
      </c>
      <c r="G85" s="3" t="str">
        <f>IFERROR(__xludf.DUMMYFUNCTION("""COMPUTED_VALUE"""),"Não lançou notempo certo, então demorou a chegar na mesa do cliente que pediu para cancelar.")</f>
        <v>Não lançou notempo certo, então demorou a chegar na mesa do cliente que pediu para cancelar.</v>
      </c>
    </row>
    <row r="86">
      <c r="A86" s="2">
        <f>IFERROR(__xludf.DUMMYFUNCTION("""COMPUTED_VALUE"""),45696.0)</f>
        <v>45696</v>
      </c>
      <c r="B86" s="3" t="str">
        <f>IFERROR(__xludf.DUMMYFUNCTION("""COMPUTED_VALUE"""),"copo xote")</f>
        <v>copo xote</v>
      </c>
      <c r="C86" s="3" t="str">
        <f>IFERROR(__xludf.DUMMYFUNCTION("""COMPUTED_VALUE"""),"Utensílio")</f>
        <v>Utensílio</v>
      </c>
      <c r="D86" s="3">
        <f>IFERROR(__xludf.DUMMYFUNCTION("""COMPUTED_VALUE"""),1.0)</f>
        <v>1</v>
      </c>
      <c r="E86" s="3" t="str">
        <f>IFERROR(__xludf.DUMMYFUNCTION("""COMPUTED_VALUE"""),"Quebra")</f>
        <v>Quebra</v>
      </c>
      <c r="F86" s="3" t="str">
        <f>IFERROR(__xludf.DUMMYFUNCTION("""COMPUTED_VALUE"""),"Luis")</f>
        <v>Luis</v>
      </c>
      <c r="G86" s="3" t="str">
        <f>IFERROR(__xludf.DUMMYFUNCTION("""COMPUTED_VALUE"""),"deixou cair")</f>
        <v>deixou cair</v>
      </c>
    </row>
    <row r="87">
      <c r="A87" s="2">
        <f>IFERROR(__xludf.DUMMYFUNCTION("""COMPUTED_VALUE"""),45696.0)</f>
        <v>45696</v>
      </c>
      <c r="B87" s="3" t="str">
        <f>IFERROR(__xludf.DUMMYFUNCTION("""COMPUTED_VALUE"""),"Pao de batata req.")</f>
        <v>Pao de batata req.</v>
      </c>
      <c r="C87" s="3" t="str">
        <f>IFERROR(__xludf.DUMMYFUNCTION("""COMPUTED_VALUE"""),"Produto final")</f>
        <v>Produto final</v>
      </c>
      <c r="D87" s="3">
        <f>IFERROR(__xludf.DUMMYFUNCTION("""COMPUTED_VALUE"""),1.0)</f>
        <v>1</v>
      </c>
      <c r="E87" s="3" t="str">
        <f>IFERROR(__xludf.DUMMYFUNCTION("""COMPUTED_VALUE"""),"Outro")</f>
        <v>Outro</v>
      </c>
      <c r="F87" s="3" t="str">
        <f>IFERROR(__xludf.DUMMYFUNCTION("""COMPUTED_VALUE"""),"marilene")</f>
        <v>marilene</v>
      </c>
      <c r="G87" s="3" t="str">
        <f>IFERROR(__xludf.DUMMYFUNCTION("""COMPUTED_VALUE"""),"Freezer do estoque comdefeito - Produto descongelado e fermentado com tempo excessivo.")</f>
        <v>Freezer do estoque comdefeito - Produto descongelado e fermentado com tempo excessivo.</v>
      </c>
    </row>
    <row r="88">
      <c r="A88" s="2">
        <f>IFERROR(__xludf.DUMMYFUNCTION("""COMPUTED_VALUE"""),45696.0)</f>
        <v>45696</v>
      </c>
      <c r="B88" s="3" t="str">
        <f>IFERROR(__xludf.DUMMYFUNCTION("""COMPUTED_VALUE"""),"PENNE")</f>
        <v>PENNE</v>
      </c>
      <c r="C88" s="3" t="str">
        <f>IFERROR(__xludf.DUMMYFUNCTION("""COMPUTED_VALUE"""),"Produto final")</f>
        <v>Produto final</v>
      </c>
      <c r="D88" s="3">
        <f>IFERROR(__xludf.DUMMYFUNCTION("""COMPUTED_VALUE"""),1.0)</f>
        <v>1</v>
      </c>
      <c r="E88" s="3" t="str">
        <f>IFERROR(__xludf.DUMMYFUNCTION("""COMPUTED_VALUE"""),"Cliente")</f>
        <v>Cliente</v>
      </c>
      <c r="F88" s="3" t="str">
        <f>IFERROR(__xludf.DUMMYFUNCTION("""COMPUTED_VALUE"""),"MARILENE")</f>
        <v>MARILENE</v>
      </c>
      <c r="G88" s="3" t="str">
        <f>IFERROR(__xludf.DUMMYFUNCTION("""COMPUTED_VALUE"""),"CLIENTE FALOU QUEM MACARRAO ESTAVA MUITO DURO")</f>
        <v>CLIENTE FALOU QUEM MACARRAO ESTAVA MUITO DURO</v>
      </c>
    </row>
    <row r="89">
      <c r="A89" s="2">
        <f>IFERROR(__xludf.DUMMYFUNCTION("""COMPUTED_VALUE"""),45697.0)</f>
        <v>45697</v>
      </c>
      <c r="B89" s="3" t="str">
        <f>IFERROR(__xludf.DUMMYFUNCTION("""COMPUTED_VALUE"""),"copo xote")</f>
        <v>copo xote</v>
      </c>
      <c r="C89" s="3" t="str">
        <f>IFERROR(__xludf.DUMMYFUNCTION("""COMPUTED_VALUE"""),"Utensílio")</f>
        <v>Utensílio</v>
      </c>
      <c r="D89" s="3">
        <f>IFERROR(__xludf.DUMMYFUNCTION("""COMPUTED_VALUE"""),1.0)</f>
        <v>1</v>
      </c>
      <c r="E89" s="3" t="str">
        <f>IFERROR(__xludf.DUMMYFUNCTION("""COMPUTED_VALUE"""),"Erro de processo")</f>
        <v>Erro de processo</v>
      </c>
      <c r="F89" s="3" t="str">
        <f>IFERROR(__xludf.DUMMYFUNCTION("""COMPUTED_VALUE"""),"MARILENE")</f>
        <v>MARILENE</v>
      </c>
      <c r="G89" s="3" t="str">
        <f>IFERROR(__xludf.DUMMYFUNCTION("""COMPUTED_VALUE"""),"SAI QUEBRADO DA MAQUINHA")</f>
        <v>SAI QUEBRADO DA MAQUINHA</v>
      </c>
    </row>
    <row r="90">
      <c r="A90" s="2">
        <f>IFERROR(__xludf.DUMMYFUNCTION("""COMPUTED_VALUE"""),45697.0)</f>
        <v>45697</v>
      </c>
      <c r="B90" s="3" t="str">
        <f>IFERROR(__xludf.DUMMYFUNCTION("""COMPUTED_VALUE"""),"Matcha")</f>
        <v>Matcha</v>
      </c>
      <c r="C90" s="3" t="str">
        <f>IFERROR(__xludf.DUMMYFUNCTION("""COMPUTED_VALUE"""),"Produto final")</f>
        <v>Produto final</v>
      </c>
      <c r="D90" s="3" t="str">
        <f>IFERROR(__xludf.DUMMYFUNCTION("""COMPUTED_VALUE"""),"8,5gr")</f>
        <v>8,5gr</v>
      </c>
      <c r="E90" s="3" t="str">
        <f>IFERROR(__xludf.DUMMYFUNCTION("""COMPUTED_VALUE"""),"Erro de processo")</f>
        <v>Erro de processo</v>
      </c>
      <c r="F90" s="3" t="str">
        <f>IFERROR(__xludf.DUMMYFUNCTION("""COMPUTED_VALUE"""),"maria Eduarda")</f>
        <v>maria Eduarda</v>
      </c>
      <c r="G90" s="3" t="str">
        <f>IFERROR(__xludf.DUMMYFUNCTION("""COMPUTED_VALUE"""),"Encontrado petrificado em uma molheira")</f>
        <v>Encontrado petrificado em uma molheira</v>
      </c>
    </row>
    <row r="91">
      <c r="A91" s="2">
        <f>IFERROR(__xludf.DUMMYFUNCTION("""COMPUTED_VALUE"""),45697.0)</f>
        <v>45697</v>
      </c>
      <c r="B91" s="3" t="str">
        <f>IFERROR(__xludf.DUMMYFUNCTION("""COMPUTED_VALUE"""),"torta yougute")</f>
        <v>torta yougute</v>
      </c>
      <c r="C91" s="3" t="str">
        <f>IFERROR(__xludf.DUMMYFUNCTION("""COMPUTED_VALUE"""),"Produto final")</f>
        <v>Produto final</v>
      </c>
      <c r="D91" s="3">
        <f>IFERROR(__xludf.DUMMYFUNCTION("""COMPUTED_VALUE"""),4.0)</f>
        <v>4</v>
      </c>
      <c r="E91" s="3" t="str">
        <f>IFERROR(__xludf.DUMMYFUNCTION("""COMPUTED_VALUE"""),"Venceu (Validade)")</f>
        <v>Venceu (Validade)</v>
      </c>
      <c r="F91" s="3" t="str">
        <f>IFERROR(__xludf.DUMMYFUNCTION("""COMPUTED_VALUE"""),"MARILENE")</f>
        <v>MARILENE</v>
      </c>
      <c r="G91" s="3" t="str">
        <f>IFERROR(__xludf.DUMMYFUNCTION("""COMPUTED_VALUE"""),"ja esta muito na vitrene e nao estava muito boa")</f>
        <v>ja esta muito na vitrene e nao estava muito boa</v>
      </c>
    </row>
    <row r="92">
      <c r="A92" s="2">
        <f>IFERROR(__xludf.DUMMYFUNCTION("""COMPUTED_VALUE"""),45698.0)</f>
        <v>45698</v>
      </c>
      <c r="B92" s="3" t="str">
        <f>IFERROR(__xludf.DUMMYFUNCTION("""COMPUTED_VALUE"""),"Suco Acbacaxi c/ hortelã")</f>
        <v>Suco Acbacaxi c/ hortelã</v>
      </c>
      <c r="C92" s="3" t="str">
        <f>IFERROR(__xludf.DUMMYFUNCTION("""COMPUTED_VALUE"""),"Produto final")</f>
        <v>Produto final</v>
      </c>
      <c r="D92" s="3">
        <f>IFERROR(__xludf.DUMMYFUNCTION("""COMPUTED_VALUE"""),1.0)</f>
        <v>1</v>
      </c>
      <c r="E92" s="3" t="str">
        <f>IFERROR(__xludf.DUMMYFUNCTION("""COMPUTED_VALUE"""),"Lançamento errado")</f>
        <v>Lançamento errado</v>
      </c>
      <c r="F92" s="3" t="str">
        <f>IFERROR(__xludf.DUMMYFUNCTION("""COMPUTED_VALUE"""),"Luis")</f>
        <v>Luis</v>
      </c>
      <c r="G92" s="3" t="str">
        <f>IFERROR(__xludf.DUMMYFUNCTION("""COMPUTED_VALUE"""),"Lançamento errado")</f>
        <v>Lançamento errado</v>
      </c>
    </row>
    <row r="93">
      <c r="A93" s="2">
        <f>IFERROR(__xludf.DUMMYFUNCTION("""COMPUTED_VALUE"""),45699.0)</f>
        <v>45699</v>
      </c>
      <c r="B93" s="3" t="str">
        <f>IFERROR(__xludf.DUMMYFUNCTION("""COMPUTED_VALUE"""),"arroz")</f>
        <v>arroz</v>
      </c>
      <c r="C93" s="3" t="str">
        <f>IFERROR(__xludf.DUMMYFUNCTION("""COMPUTED_VALUE"""),"Insumos")</f>
        <v>Insumos</v>
      </c>
      <c r="D93" s="3">
        <f>IFERROR(__xludf.DUMMYFUNCTION("""COMPUTED_VALUE"""),1.0)</f>
        <v>1</v>
      </c>
      <c r="E93" s="3" t="str">
        <f>IFERROR(__xludf.DUMMYFUNCTION("""COMPUTED_VALUE"""),"Outro")</f>
        <v>Outro</v>
      </c>
      <c r="F93" s="3" t="str">
        <f>IFERROR(__xludf.DUMMYFUNCTION("""COMPUTED_VALUE"""),"Brunna")</f>
        <v>Brunna</v>
      </c>
      <c r="G93" s="3" t="str">
        <f>IFERROR(__xludf.DUMMYFUNCTION("""COMPUTED_VALUE"""),"almoco")</f>
        <v>almoco</v>
      </c>
    </row>
    <row r="94">
      <c r="A94" s="2">
        <f>IFERROR(__xludf.DUMMYFUNCTION("""COMPUTED_VALUE"""),45700.0)</f>
        <v>45700</v>
      </c>
      <c r="B94" s="3" t="str">
        <f>IFERROR(__xludf.DUMMYFUNCTION("""COMPUTED_VALUE"""),"barbecue")</f>
        <v>barbecue</v>
      </c>
      <c r="C94" s="3" t="str">
        <f>IFERROR(__xludf.DUMMYFUNCTION("""COMPUTED_VALUE"""),"Produto final")</f>
        <v>Produto final</v>
      </c>
      <c r="D94" s="3">
        <f>IFERROR(__xludf.DUMMYFUNCTION("""COMPUTED_VALUE"""),1.0)</f>
        <v>1</v>
      </c>
      <c r="E94" s="3" t="str">
        <f>IFERROR(__xludf.DUMMYFUNCTION("""COMPUTED_VALUE"""),"Erro de processo")</f>
        <v>Erro de processo</v>
      </c>
      <c r="F94" s="3" t="str">
        <f>IFERROR(__xludf.DUMMYFUNCTION("""COMPUTED_VALUE"""),"MARILENE")</f>
        <v>MARILENE</v>
      </c>
      <c r="G94" s="3" t="str">
        <f>IFERROR(__xludf.DUMMYFUNCTION("""COMPUTED_VALUE"""),"era comida eu fiz sanduiche")</f>
        <v>era comida eu fiz sanduiche</v>
      </c>
    </row>
    <row r="95">
      <c r="A95" s="2">
        <f>IFERROR(__xludf.DUMMYFUNCTION("""COMPUTED_VALUE"""),45700.0)</f>
        <v>45700</v>
      </c>
      <c r="B95" s="3" t="str">
        <f>IFERROR(__xludf.DUMMYFUNCTION("""COMPUTED_VALUE"""),"Shake Oreo")</f>
        <v>Shake Oreo</v>
      </c>
      <c r="C95" s="3" t="str">
        <f>IFERROR(__xludf.DUMMYFUNCTION("""COMPUTED_VALUE"""),"Produto final")</f>
        <v>Produto final</v>
      </c>
      <c r="D95" s="3">
        <f>IFERROR(__xludf.DUMMYFUNCTION("""COMPUTED_VALUE"""),1.0)</f>
        <v>1</v>
      </c>
      <c r="E95" s="3" t="str">
        <f>IFERROR(__xludf.DUMMYFUNCTION("""COMPUTED_VALUE"""),"Erro de processo")</f>
        <v>Erro de processo</v>
      </c>
      <c r="F95" s="3" t="str">
        <f>IFERROR(__xludf.DUMMYFUNCTION("""COMPUTED_VALUE"""),"francisca")</f>
        <v>francisca</v>
      </c>
      <c r="G95" s="3" t="str">
        <f>IFERROR(__xludf.DUMMYFUNCTION("""COMPUTED_VALUE"""),"fez errado")</f>
        <v>fez errado</v>
      </c>
    </row>
    <row r="96">
      <c r="A96" s="2">
        <f>IFERROR(__xludf.DUMMYFUNCTION("""COMPUTED_VALUE"""),45701.0)</f>
        <v>45701</v>
      </c>
      <c r="B96" s="3" t="str">
        <f>IFERROR(__xludf.DUMMYFUNCTION("""COMPUTED_VALUE"""),"Chocolate quente")</f>
        <v>Chocolate quente</v>
      </c>
      <c r="C96" s="3" t="str">
        <f>IFERROR(__xludf.DUMMYFUNCTION("""COMPUTED_VALUE"""),"Produto final")</f>
        <v>Produto final</v>
      </c>
      <c r="D96" s="3">
        <f>IFERROR(__xludf.DUMMYFUNCTION("""COMPUTED_VALUE"""),1.0)</f>
        <v>1</v>
      </c>
      <c r="E96" s="3" t="str">
        <f>IFERROR(__xludf.DUMMYFUNCTION("""COMPUTED_VALUE"""),"Erro de processo")</f>
        <v>Erro de processo</v>
      </c>
      <c r="F96" s="3" t="str">
        <f>IFERROR(__xludf.DUMMYFUNCTION("""COMPUTED_VALUE"""),"Maria Eduarda")</f>
        <v>Maria Eduarda</v>
      </c>
      <c r="G96" s="3" t="str">
        <f>IFERROR(__xludf.DUMMYFUNCTION("""COMPUTED_VALUE"""),"Deixou na geladeira")</f>
        <v>Deixou na geladeira</v>
      </c>
    </row>
    <row r="97">
      <c r="A97" s="2">
        <f>IFERROR(__xludf.DUMMYFUNCTION("""COMPUTED_VALUE"""),45701.0)</f>
        <v>45701</v>
      </c>
      <c r="B97" s="3" t="str">
        <f>IFERROR(__xludf.DUMMYFUNCTION("""COMPUTED_VALUE"""),"Coca-cola normal")</f>
        <v>Coca-cola normal</v>
      </c>
      <c r="C97" s="3" t="str">
        <f>IFERROR(__xludf.DUMMYFUNCTION("""COMPUTED_VALUE"""),"Produto final")</f>
        <v>Produto final</v>
      </c>
      <c r="D97" s="3">
        <f>IFERROR(__xludf.DUMMYFUNCTION("""COMPUTED_VALUE"""),1.0)</f>
        <v>1</v>
      </c>
      <c r="E97" s="3" t="str">
        <f>IFERROR(__xludf.DUMMYFUNCTION("""COMPUTED_VALUE"""),"Quebra")</f>
        <v>Quebra</v>
      </c>
      <c r="F97" s="3" t="str">
        <f>IFERROR(__xludf.DUMMYFUNCTION("""COMPUTED_VALUE"""),"Melissa")</f>
        <v>Melissa</v>
      </c>
      <c r="G97" s="3" t="str">
        <f>IFERROR(__xludf.DUMMYFUNCTION("""COMPUTED_VALUE"""),"Bateu na porta da geladeira e furou a lata")</f>
        <v>Bateu na porta da geladeira e furou a lata</v>
      </c>
    </row>
    <row r="98">
      <c r="A98" s="2">
        <f>IFERROR(__xludf.DUMMYFUNCTION("""COMPUTED_VALUE"""),45701.0)</f>
        <v>45701</v>
      </c>
      <c r="B98" s="3" t="str">
        <f>IFERROR(__xludf.DUMMYFUNCTION("""COMPUTED_VALUE"""),"Croissant")</f>
        <v>Croissant</v>
      </c>
      <c r="C98" s="3" t="str">
        <f>IFERROR(__xludf.DUMMYFUNCTION("""COMPUTED_VALUE"""),"Produto final")</f>
        <v>Produto final</v>
      </c>
      <c r="D98" s="3">
        <f>IFERROR(__xludf.DUMMYFUNCTION("""COMPUTED_VALUE"""),1.0)</f>
        <v>1</v>
      </c>
      <c r="E98" s="3" t="str">
        <f>IFERROR(__xludf.DUMMYFUNCTION("""COMPUTED_VALUE"""),"Erro de processo")</f>
        <v>Erro de processo</v>
      </c>
      <c r="F98" s="3" t="str">
        <f>IFERROR(__xludf.DUMMYFUNCTION("""COMPUTED_VALUE"""),"Vitor")</f>
        <v>Vitor</v>
      </c>
      <c r="G98" s="3" t="str">
        <f>IFERROR(__xludf.DUMMYFUNCTION("""COMPUTED_VALUE"""),"Queimou na chapa")</f>
        <v>Queimou na chapa</v>
      </c>
    </row>
    <row r="99">
      <c r="A99" s="2">
        <f>IFERROR(__xludf.DUMMYFUNCTION("""COMPUTED_VALUE"""),45702.0)</f>
        <v>45702</v>
      </c>
      <c r="B99" s="3" t="str">
        <f>IFERROR(__xludf.DUMMYFUNCTION("""COMPUTED_VALUE"""),"Torta Banoffee")</f>
        <v>Torta Banoffee</v>
      </c>
      <c r="C99" s="3" t="str">
        <f>IFERROR(__xludf.DUMMYFUNCTION("""COMPUTED_VALUE"""),"Produto final")</f>
        <v>Produto final</v>
      </c>
      <c r="D99" s="3">
        <f>IFERROR(__xludf.DUMMYFUNCTION("""COMPUTED_VALUE"""),2.0)</f>
        <v>2</v>
      </c>
      <c r="E99" s="3" t="str">
        <f>IFERROR(__xludf.DUMMYFUNCTION("""COMPUTED_VALUE"""),"Venceu (Validade)")</f>
        <v>Venceu (Validade)</v>
      </c>
      <c r="F99" s="3" t="str">
        <f>IFERROR(__xludf.DUMMYFUNCTION("""COMPUTED_VALUE"""),"Marilene")</f>
        <v>Marilene</v>
      </c>
      <c r="G99" s="3" t="str">
        <f>IFERROR(__xludf.DUMMYFUNCTION("""COMPUTED_VALUE"""),"Estava a mais de 8 dias na vitrine")</f>
        <v>Estava a mais de 8 dias na vitrine</v>
      </c>
    </row>
    <row r="100">
      <c r="A100" s="2">
        <f>IFERROR(__xludf.DUMMYFUNCTION("""COMPUTED_VALUE"""),45702.0)</f>
        <v>45702</v>
      </c>
      <c r="B100" s="3" t="str">
        <f>IFERROR(__xludf.DUMMYFUNCTION("""COMPUTED_VALUE"""),"Torta Cheesecake")</f>
        <v>Torta Cheesecake</v>
      </c>
      <c r="C100" s="3" t="str">
        <f>IFERROR(__xludf.DUMMYFUNCTION("""COMPUTED_VALUE"""),"Produto final")</f>
        <v>Produto final</v>
      </c>
      <c r="D100" s="3">
        <f>IFERROR(__xludf.DUMMYFUNCTION("""COMPUTED_VALUE"""),2.0)</f>
        <v>2</v>
      </c>
      <c r="E100" s="3" t="str">
        <f>IFERROR(__xludf.DUMMYFUNCTION("""COMPUTED_VALUE"""),"Venceu (Validade)")</f>
        <v>Venceu (Validade)</v>
      </c>
      <c r="F100" s="3" t="str">
        <f>IFERROR(__xludf.DUMMYFUNCTION("""COMPUTED_VALUE"""),"Marilene")</f>
        <v>Marilene</v>
      </c>
      <c r="G100" s="3" t="str">
        <f>IFERROR(__xludf.DUMMYFUNCTION("""COMPUTED_VALUE"""),"Estava a mais de 8 dias na vitrine")</f>
        <v>Estava a mais de 8 dias na vitrine</v>
      </c>
    </row>
    <row r="101">
      <c r="A101" s="2">
        <f>IFERROR(__xludf.DUMMYFUNCTION("""COMPUTED_VALUE"""),45703.0)</f>
        <v>45703</v>
      </c>
      <c r="B101" s="3" t="str">
        <f>IFERROR(__xludf.DUMMYFUNCTION("""COMPUTED_VALUE"""),"Torta Palmito")</f>
        <v>Torta Palmito</v>
      </c>
      <c r="C101" s="3" t="str">
        <f>IFERROR(__xludf.DUMMYFUNCTION("""COMPUTED_VALUE"""),"Produto final")</f>
        <v>Produto final</v>
      </c>
      <c r="D101" s="3">
        <f>IFERROR(__xludf.DUMMYFUNCTION("""COMPUTED_VALUE"""),1.0)</f>
        <v>1</v>
      </c>
      <c r="E101" s="3" t="str">
        <f>IFERROR(__xludf.DUMMYFUNCTION("""COMPUTED_VALUE"""),"Venceu (Validade)")</f>
        <v>Venceu (Validade)</v>
      </c>
      <c r="F101" s="3" t="str">
        <f>IFERROR(__xludf.DUMMYFUNCTION("""COMPUTED_VALUE"""),"Marilene")</f>
        <v>Marilene</v>
      </c>
      <c r="G101" s="3" t="str">
        <f>IFERROR(__xludf.DUMMYFUNCTION("""COMPUTED_VALUE"""),"Vencido")</f>
        <v>Vencido</v>
      </c>
    </row>
    <row r="102">
      <c r="A102" s="2">
        <f>IFERROR(__xludf.DUMMYFUNCTION("""COMPUTED_VALUE"""),45703.0)</f>
        <v>45703</v>
      </c>
      <c r="B102" s="3" t="str">
        <f>IFERROR(__xludf.DUMMYFUNCTION("""COMPUTED_VALUE"""),"Pão de batata calabreza")</f>
        <v>Pão de batata calabreza</v>
      </c>
      <c r="C102" s="3" t="str">
        <f>IFERROR(__xludf.DUMMYFUNCTION("""COMPUTED_VALUE"""),"Produto final")</f>
        <v>Produto final</v>
      </c>
      <c r="D102" s="3">
        <f>IFERROR(__xludf.DUMMYFUNCTION("""COMPUTED_VALUE"""),1.0)</f>
        <v>1</v>
      </c>
      <c r="E102" s="3" t="str">
        <f>IFERROR(__xludf.DUMMYFUNCTION("""COMPUTED_VALUE"""),"Venceu (Validade)")</f>
        <v>Venceu (Validade)</v>
      </c>
      <c r="F102" s="3" t="str">
        <f>IFERROR(__xludf.DUMMYFUNCTION("""COMPUTED_VALUE"""),"Marilene")</f>
        <v>Marilene</v>
      </c>
      <c r="G102" s="3" t="str">
        <f>IFERROR(__xludf.DUMMYFUNCTION("""COMPUTED_VALUE"""),"Vencido")</f>
        <v>Vencido</v>
      </c>
    </row>
    <row r="103">
      <c r="A103" s="2">
        <f>IFERROR(__xludf.DUMMYFUNCTION("""COMPUTED_VALUE"""),45703.0)</f>
        <v>45703</v>
      </c>
      <c r="B103" s="3" t="str">
        <f>IFERROR(__xludf.DUMMYFUNCTION("""COMPUTED_VALUE"""),"Caneca alça")</f>
        <v>Caneca alça</v>
      </c>
      <c r="C103" s="3" t="str">
        <f>IFERROR(__xludf.DUMMYFUNCTION("""COMPUTED_VALUE"""),"Utensílio")</f>
        <v>Utensílio</v>
      </c>
      <c r="D103" s="3">
        <f>IFERROR(__xludf.DUMMYFUNCTION("""COMPUTED_VALUE"""),1.0)</f>
        <v>1</v>
      </c>
      <c r="E103" s="3" t="str">
        <f>IFERROR(__xludf.DUMMYFUNCTION("""COMPUTED_VALUE"""),"Quebra")</f>
        <v>Quebra</v>
      </c>
      <c r="F103" s="3" t="str">
        <f>IFERROR(__xludf.DUMMYFUNCTION("""COMPUTED_VALUE"""),"Patrícia")</f>
        <v>Patrícia</v>
      </c>
      <c r="G103" s="3" t="str">
        <f>IFERROR(__xludf.DUMMYFUNCTION("""COMPUTED_VALUE"""),"Quebrou ao recolher louça no salão")</f>
        <v>Quebrou ao recolher louça no salão</v>
      </c>
    </row>
    <row r="104">
      <c r="A104" s="2">
        <f>IFERROR(__xludf.DUMMYFUNCTION("""COMPUTED_VALUE"""),45703.0)</f>
        <v>45703</v>
      </c>
      <c r="B104" s="3" t="str">
        <f>IFERROR(__xludf.DUMMYFUNCTION("""COMPUTED_VALUE"""),"Croissant misto")</f>
        <v>Croissant misto</v>
      </c>
      <c r="C104" s="3" t="str">
        <f>IFERROR(__xludf.DUMMYFUNCTION("""COMPUTED_VALUE"""),"Produto final")</f>
        <v>Produto final</v>
      </c>
      <c r="D104" s="3">
        <f>IFERROR(__xludf.DUMMYFUNCTION("""COMPUTED_VALUE"""),1.0)</f>
        <v>1</v>
      </c>
      <c r="E104" s="3" t="str">
        <f>IFERROR(__xludf.DUMMYFUNCTION("""COMPUTED_VALUE"""),"Lançamento errado")</f>
        <v>Lançamento errado</v>
      </c>
      <c r="F104" s="3" t="str">
        <f>IFERROR(__xludf.DUMMYFUNCTION("""COMPUTED_VALUE"""),"Vitor")</f>
        <v>Vitor</v>
      </c>
      <c r="G104" s="3" t="str">
        <f>IFERROR(__xludf.DUMMYFUNCTION("""COMPUTED_VALUE"""),"Lançou pedido errado.")</f>
        <v>Lançou pedido errado.</v>
      </c>
    </row>
    <row r="105">
      <c r="A105" s="2">
        <f>IFERROR(__xludf.DUMMYFUNCTION("""COMPUTED_VALUE"""),45703.0)</f>
        <v>45703</v>
      </c>
      <c r="B105" s="3" t="str">
        <f>IFERROR(__xludf.DUMMYFUNCTION("""COMPUTED_VALUE"""),"Base chocolate europeu")</f>
        <v>Base chocolate europeu</v>
      </c>
      <c r="C105" s="3" t="str">
        <f>IFERROR(__xludf.DUMMYFUNCTION("""COMPUTED_VALUE"""),"Insumos")</f>
        <v>Insumos</v>
      </c>
      <c r="D105" s="3" t="str">
        <f>IFERROR(__xludf.DUMMYFUNCTION("""COMPUTED_VALUE"""),"250gr")</f>
        <v>250gr</v>
      </c>
      <c r="E105" s="3" t="str">
        <f>IFERROR(__xludf.DUMMYFUNCTION("""COMPUTED_VALUE"""),"Venceu (Validade)")</f>
        <v>Venceu (Validade)</v>
      </c>
      <c r="F105" s="3" t="str">
        <f>IFERROR(__xludf.DUMMYFUNCTION("""COMPUTED_VALUE"""),"Rafael")</f>
        <v>Rafael</v>
      </c>
      <c r="G105" s="3" t="str">
        <f>IFERROR(__xludf.DUMMYFUNCTION("""COMPUTED_VALUE"""),"Produzida em excesso e venceu.")</f>
        <v>Produzida em excesso e venceu.</v>
      </c>
    </row>
    <row r="106">
      <c r="A106" s="2">
        <f>IFERROR(__xludf.DUMMYFUNCTION("""COMPUTED_VALUE"""),45703.0)</f>
        <v>45703</v>
      </c>
      <c r="B106" s="3" t="str">
        <f>IFERROR(__xludf.DUMMYFUNCTION("""COMPUTED_VALUE"""),"torta swite")</f>
        <v>torta swite</v>
      </c>
      <c r="C106" s="3" t="str">
        <f>IFERROR(__xludf.DUMMYFUNCTION("""COMPUTED_VALUE"""),"Produto final")</f>
        <v>Produto final</v>
      </c>
      <c r="D106" s="3">
        <f>IFERROR(__xludf.DUMMYFUNCTION("""COMPUTED_VALUE"""),1.0)</f>
        <v>1</v>
      </c>
      <c r="E106" s="3" t="str">
        <f>IFERROR(__xludf.DUMMYFUNCTION("""COMPUTED_VALUE"""),"Cliente")</f>
        <v>Cliente</v>
      </c>
      <c r="F106" s="3" t="str">
        <f>IFERROR(__xludf.DUMMYFUNCTION("""COMPUTED_VALUE"""),"marilene")</f>
        <v>marilene</v>
      </c>
      <c r="G106" s="3" t="str">
        <f>IFERROR(__xludf.DUMMYFUNCTION("""COMPUTED_VALUE"""),"clente reclamou pedaco estava muito pequno devolve")</f>
        <v>clente reclamou pedaco estava muito pequno devolve</v>
      </c>
    </row>
    <row r="107">
      <c r="A107" s="2">
        <f>IFERROR(__xludf.DUMMYFUNCTION("""COMPUTED_VALUE"""),45704.0)</f>
        <v>45704</v>
      </c>
      <c r="B107" s="3" t="str">
        <f>IFERROR(__xludf.DUMMYFUNCTION("""COMPUTED_VALUE"""),"Copo grande")</f>
        <v>Copo grande</v>
      </c>
      <c r="C107" s="3" t="str">
        <f>IFERROR(__xludf.DUMMYFUNCTION("""COMPUTED_VALUE"""),"Utensílio")</f>
        <v>Utensílio</v>
      </c>
      <c r="D107" s="3">
        <f>IFERROR(__xludf.DUMMYFUNCTION("""COMPUTED_VALUE"""),1.0)</f>
        <v>1</v>
      </c>
      <c r="E107" s="3" t="str">
        <f>IFERROR(__xludf.DUMMYFUNCTION("""COMPUTED_VALUE"""),"Cliente")</f>
        <v>Cliente</v>
      </c>
      <c r="F107" s="3" t="str">
        <f>IFERROR(__xludf.DUMMYFUNCTION("""COMPUTED_VALUE"""),"marilene")</f>
        <v>marilene</v>
      </c>
      <c r="G107" s="3" t="str">
        <f>IFERROR(__xludf.DUMMYFUNCTION("""COMPUTED_VALUE"""),"cliente quebrou na mesa")</f>
        <v>cliente quebrou na mesa</v>
      </c>
    </row>
    <row r="108">
      <c r="A108" s="2">
        <f>IFERROR(__xludf.DUMMYFUNCTION("""COMPUTED_VALUE"""),45704.0)</f>
        <v>45704</v>
      </c>
      <c r="B108" s="3" t="str">
        <f>IFERROR(__xludf.DUMMYFUNCTION("""COMPUTED_VALUE"""),"Copo grande")</f>
        <v>Copo grande</v>
      </c>
      <c r="C108" s="3" t="str">
        <f>IFERROR(__xludf.DUMMYFUNCTION("""COMPUTED_VALUE"""),"Utensílio")</f>
        <v>Utensílio</v>
      </c>
      <c r="D108" s="3">
        <f>IFERROR(__xludf.DUMMYFUNCTION("""COMPUTED_VALUE"""),1.0)</f>
        <v>1</v>
      </c>
      <c r="E108" s="3" t="str">
        <f>IFERROR(__xludf.DUMMYFUNCTION("""COMPUTED_VALUE"""),"Quebra")</f>
        <v>Quebra</v>
      </c>
      <c r="F108" s="3" t="str">
        <f>IFERROR(__xludf.DUMMYFUNCTION("""COMPUTED_VALUE"""),"jhonatan")</f>
        <v>jhonatan</v>
      </c>
      <c r="G108" s="3" t="str">
        <f>IFERROR(__xludf.DUMMYFUNCTION("""COMPUTED_VALUE"""),"Deixou cair")</f>
        <v>Deixou cair</v>
      </c>
    </row>
    <row r="109">
      <c r="A109" s="2">
        <f>IFERROR(__xludf.DUMMYFUNCTION("""COMPUTED_VALUE"""),45705.0)</f>
        <v>45705</v>
      </c>
      <c r="B109" s="3" t="str">
        <f>IFERROR(__xludf.DUMMYFUNCTION("""COMPUTED_VALUE"""),"Ovo (in natura)")</f>
        <v>Ovo (in natura)</v>
      </c>
      <c r="C109" s="3" t="str">
        <f>IFERROR(__xludf.DUMMYFUNCTION("""COMPUTED_VALUE"""),"Insumos")</f>
        <v>Insumos</v>
      </c>
      <c r="D109" s="3">
        <f>IFERROR(__xludf.DUMMYFUNCTION("""COMPUTED_VALUE"""),1.0)</f>
        <v>1</v>
      </c>
      <c r="E109" s="3" t="str">
        <f>IFERROR(__xludf.DUMMYFUNCTION("""COMPUTED_VALUE"""),"Erro de processo")</f>
        <v>Erro de processo</v>
      </c>
      <c r="F109" s="3" t="str">
        <f>IFERROR(__xludf.DUMMYFUNCTION("""COMPUTED_VALUE"""),"Fernando")</f>
        <v>Fernando</v>
      </c>
      <c r="G109" s="3" t="str">
        <f>IFERROR(__xludf.DUMMYFUNCTION("""COMPUTED_VALUE"""),"Deixou cair")</f>
        <v>Deixou cair</v>
      </c>
    </row>
    <row r="110">
      <c r="A110" s="2">
        <f>IFERROR(__xludf.DUMMYFUNCTION("""COMPUTED_VALUE"""),45705.0)</f>
        <v>45705</v>
      </c>
      <c r="B110" s="3" t="str">
        <f>IFERROR(__xludf.DUMMYFUNCTION("""COMPUTED_VALUE"""),"Xícara pequena")</f>
        <v>Xícara pequena</v>
      </c>
      <c r="C110" s="3" t="str">
        <f>IFERROR(__xludf.DUMMYFUNCTION("""COMPUTED_VALUE"""),"Utensílio")</f>
        <v>Utensílio</v>
      </c>
      <c r="D110" s="3">
        <f>IFERROR(__xludf.DUMMYFUNCTION("""COMPUTED_VALUE"""),1.0)</f>
        <v>1</v>
      </c>
      <c r="E110" s="3" t="str">
        <f>IFERROR(__xludf.DUMMYFUNCTION("""COMPUTED_VALUE"""),"Quebra")</f>
        <v>Quebra</v>
      </c>
      <c r="F110" s="3" t="str">
        <f>IFERROR(__xludf.DUMMYFUNCTION("""COMPUTED_VALUE"""),"Alex")</f>
        <v>Alex</v>
      </c>
      <c r="G110" s="3" t="str">
        <f>IFERROR(__xludf.DUMMYFUNCTION("""COMPUTED_VALUE"""),"Quebrou durante lavagem")</f>
        <v>Quebrou durante lavagem</v>
      </c>
    </row>
    <row r="111">
      <c r="A111" s="2">
        <f>IFERROR(__xludf.DUMMYFUNCTION("""COMPUTED_VALUE"""),45705.0)</f>
        <v>45705</v>
      </c>
      <c r="B111" s="3" t="str">
        <f>IFERROR(__xludf.DUMMYFUNCTION("""COMPUTED_VALUE"""),"Misto tradicional")</f>
        <v>Misto tradicional</v>
      </c>
      <c r="C111" s="3" t="str">
        <f>IFERROR(__xludf.DUMMYFUNCTION("""COMPUTED_VALUE"""),"Produto final")</f>
        <v>Produto final</v>
      </c>
      <c r="D111" s="3">
        <f>IFERROR(__xludf.DUMMYFUNCTION("""COMPUTED_VALUE"""),1.0)</f>
        <v>1</v>
      </c>
      <c r="E111" s="3" t="str">
        <f>IFERROR(__xludf.DUMMYFUNCTION("""COMPUTED_VALUE"""),"Erro de processo")</f>
        <v>Erro de processo</v>
      </c>
      <c r="F111" s="3" t="str">
        <f>IFERROR(__xludf.DUMMYFUNCTION("""COMPUTED_VALUE"""),"Melissa")</f>
        <v>Melissa</v>
      </c>
      <c r="G111" s="3" t="str">
        <f>IFERROR(__xludf.DUMMYFUNCTION("""COMPUTED_VALUE"""),"Era sem presunto e fez com, porém não fo possível retirar o mesmo após o preparo.")</f>
        <v>Era sem presunto e fez com, porém não fo possível retirar o mesmo após o preparo.</v>
      </c>
    </row>
    <row r="112">
      <c r="A112" s="2">
        <f>IFERROR(__xludf.DUMMYFUNCTION("""COMPUTED_VALUE"""),45705.0)</f>
        <v>45705</v>
      </c>
      <c r="B112" s="3" t="str">
        <f>IFERROR(__xludf.DUMMYFUNCTION("""COMPUTED_VALUE"""),"Tapioca Margerita")</f>
        <v>Tapioca Margerita</v>
      </c>
      <c r="C112" s="3" t="str">
        <f>IFERROR(__xludf.DUMMYFUNCTION("""COMPUTED_VALUE"""),"Produto final")</f>
        <v>Produto final</v>
      </c>
      <c r="D112" s="3">
        <f>IFERROR(__xludf.DUMMYFUNCTION("""COMPUTED_VALUE"""),1.0)</f>
        <v>1</v>
      </c>
      <c r="E112" s="3" t="str">
        <f>IFERROR(__xludf.DUMMYFUNCTION("""COMPUTED_VALUE"""),"Erro de processo")</f>
        <v>Erro de processo</v>
      </c>
      <c r="F112" s="3" t="str">
        <f>IFERROR(__xludf.DUMMYFUNCTION("""COMPUTED_VALUE"""),"Melissa")</f>
        <v>Melissa</v>
      </c>
      <c r="G112" s="3" t="str">
        <f>IFERROR(__xludf.DUMMYFUNCTION("""COMPUTED_VALUE"""),"Erro durante preparo.")</f>
        <v>Erro durante preparo.</v>
      </c>
    </row>
    <row r="113">
      <c r="A113" s="2">
        <f>IFERROR(__xludf.DUMMYFUNCTION("""COMPUTED_VALUE"""),45706.0)</f>
        <v>45706</v>
      </c>
      <c r="B113" s="3" t="str">
        <f>IFERROR(__xludf.DUMMYFUNCTION("""COMPUTED_VALUE"""),"brigadeiro")</f>
        <v>brigadeiro</v>
      </c>
      <c r="C113" s="3" t="str">
        <f>IFERROR(__xludf.DUMMYFUNCTION("""COMPUTED_VALUE"""),"Produto final")</f>
        <v>Produto final</v>
      </c>
      <c r="D113" s="3">
        <f>IFERROR(__xludf.DUMMYFUNCTION("""COMPUTED_VALUE"""),6.0)</f>
        <v>6</v>
      </c>
      <c r="E113" s="3" t="str">
        <f>IFERROR(__xludf.DUMMYFUNCTION("""COMPUTED_VALUE"""),"Venceu (Validade)")</f>
        <v>Venceu (Validade)</v>
      </c>
      <c r="F113" s="3" t="str">
        <f>IFERROR(__xludf.DUMMYFUNCTION("""COMPUTED_VALUE"""),"Marilene")</f>
        <v>Marilene</v>
      </c>
      <c r="G113" s="3" t="str">
        <f>IFERROR(__xludf.DUMMYFUNCTION("""COMPUTED_VALUE"""),"estava muito duro na geladeira")</f>
        <v>estava muito duro na geladeira</v>
      </c>
    </row>
    <row r="114">
      <c r="A114" s="2">
        <f>IFERROR(__xludf.DUMMYFUNCTION("""COMPUTED_VALUE"""),45706.0)</f>
        <v>45706</v>
      </c>
      <c r="B114" s="3" t="str">
        <f>IFERROR(__xludf.DUMMYFUNCTION("""COMPUTED_VALUE"""),"casadinho")</f>
        <v>casadinho</v>
      </c>
      <c r="C114" s="3" t="str">
        <f>IFERROR(__xludf.DUMMYFUNCTION("""COMPUTED_VALUE"""),"Produto final")</f>
        <v>Produto final</v>
      </c>
      <c r="D114" s="3">
        <f>IFERROR(__xludf.DUMMYFUNCTION("""COMPUTED_VALUE"""),2.0)</f>
        <v>2</v>
      </c>
      <c r="E114" s="3" t="str">
        <f>IFERROR(__xludf.DUMMYFUNCTION("""COMPUTED_VALUE"""),"Venceu (Validade)")</f>
        <v>Venceu (Validade)</v>
      </c>
      <c r="F114" s="3" t="str">
        <f>IFERROR(__xludf.DUMMYFUNCTION("""COMPUTED_VALUE"""),"Marilene")</f>
        <v>Marilene</v>
      </c>
      <c r="G114" s="3" t="str">
        <f>IFERROR(__xludf.DUMMYFUNCTION("""COMPUTED_VALUE"""),"estava muito duro na geladeira")</f>
        <v>estava muito duro na geladeira</v>
      </c>
    </row>
    <row r="115">
      <c r="A115" s="2">
        <f>IFERROR(__xludf.DUMMYFUNCTION("""COMPUTED_VALUE"""),45706.0)</f>
        <v>45706</v>
      </c>
      <c r="B115" s="3" t="str">
        <f>IFERROR(__xludf.DUMMYFUNCTION("""COMPUTED_VALUE"""),"brigadeiro pre")</f>
        <v>brigadeiro pre</v>
      </c>
      <c r="C115" s="3" t="str">
        <f>IFERROR(__xludf.DUMMYFUNCTION("""COMPUTED_VALUE"""),"Produto final")</f>
        <v>Produto final</v>
      </c>
      <c r="D115" s="3">
        <f>IFERROR(__xludf.DUMMYFUNCTION("""COMPUTED_VALUE"""),3.0)</f>
        <v>3</v>
      </c>
      <c r="E115" s="3" t="str">
        <f>IFERROR(__xludf.DUMMYFUNCTION("""COMPUTED_VALUE"""),"Venceu (Validade)")</f>
        <v>Venceu (Validade)</v>
      </c>
      <c r="F115" s="3" t="str">
        <f>IFERROR(__xludf.DUMMYFUNCTION("""COMPUTED_VALUE"""),"Marilene")</f>
        <v>Marilene</v>
      </c>
      <c r="G115" s="3" t="str">
        <f>IFERROR(__xludf.DUMMYFUNCTION("""COMPUTED_VALUE"""),"estava muito duro na geladeira")</f>
        <v>estava muito duro na geladeira</v>
      </c>
    </row>
    <row r="116">
      <c r="A116" s="2">
        <f>IFERROR(__xludf.DUMMYFUNCTION("""COMPUTED_VALUE"""),45706.0)</f>
        <v>45706</v>
      </c>
      <c r="B116" s="3" t="str">
        <f>IFERROR(__xludf.DUMMYFUNCTION("""COMPUTED_VALUE"""),"Pao de queijo porção (unidades da porção)")</f>
        <v>Pao de queijo porção (unidades da porção)</v>
      </c>
      <c r="C116" s="3" t="str">
        <f>IFERROR(__xludf.DUMMYFUNCTION("""COMPUTED_VALUE"""),"Produto final")</f>
        <v>Produto final</v>
      </c>
      <c r="D116" s="3" t="str">
        <f>IFERROR(__xludf.DUMMYFUNCTION("""COMPUTED_VALUE"""),"8 u")</f>
        <v>8 u</v>
      </c>
      <c r="E116" s="3" t="str">
        <f>IFERROR(__xludf.DUMMYFUNCTION("""COMPUTED_VALUE"""),"Venceu (Validade)")</f>
        <v>Venceu (Validade)</v>
      </c>
      <c r="F116" s="3" t="str">
        <f>IFERROR(__xludf.DUMMYFUNCTION("""COMPUTED_VALUE"""),"Marilene")</f>
        <v>Marilene</v>
      </c>
      <c r="G116" s="3" t="str">
        <f>IFERROR(__xludf.DUMMYFUNCTION("""COMPUTED_VALUE"""),"vencu validade para toste")</f>
        <v>vencu validade para toste</v>
      </c>
    </row>
    <row r="117">
      <c r="A117" s="2">
        <f>IFERROR(__xludf.DUMMYFUNCTION("""COMPUTED_VALUE"""),45709.0)</f>
        <v>45709</v>
      </c>
      <c r="B117" s="3" t="str">
        <f>IFERROR(__xludf.DUMMYFUNCTION("""COMPUTED_VALUE"""),"Coca-cola zero")</f>
        <v>Coca-cola zero</v>
      </c>
      <c r="C117" s="3" t="str">
        <f>IFERROR(__xludf.DUMMYFUNCTION("""COMPUTED_VALUE"""),"Produto final")</f>
        <v>Produto final</v>
      </c>
      <c r="D117" s="3">
        <f>IFERROR(__xludf.DUMMYFUNCTION("""COMPUTED_VALUE"""),1.0)</f>
        <v>1</v>
      </c>
      <c r="E117" s="3" t="str">
        <f>IFERROR(__xludf.DUMMYFUNCTION("""COMPUTED_VALUE"""),"Quebra")</f>
        <v>Quebra</v>
      </c>
      <c r="F117" s="3" t="str">
        <f>IFERROR(__xludf.DUMMYFUNCTION("""COMPUTED_VALUE"""),"Marilene")</f>
        <v>Marilene</v>
      </c>
      <c r="G117" s="3" t="str">
        <f>IFERROR(__xludf.DUMMYFUNCTION("""COMPUTED_VALUE"""),"Amassada na geladeira")</f>
        <v>Amassada na geladeira</v>
      </c>
    </row>
    <row r="118">
      <c r="A118" s="2">
        <f>IFERROR(__xludf.DUMMYFUNCTION("""COMPUTED_VALUE"""),45709.0)</f>
        <v>45709</v>
      </c>
      <c r="B118" s="3" t="str">
        <f>IFERROR(__xludf.DUMMYFUNCTION("""COMPUTED_VALUE"""),"Coca-cola normal")</f>
        <v>Coca-cola normal</v>
      </c>
      <c r="C118" s="3" t="str">
        <f>IFERROR(__xludf.DUMMYFUNCTION("""COMPUTED_VALUE"""),"Produto final")</f>
        <v>Produto final</v>
      </c>
      <c r="D118" s="3">
        <f>IFERROR(__xludf.DUMMYFUNCTION("""COMPUTED_VALUE"""),3.0)</f>
        <v>3</v>
      </c>
      <c r="E118" s="3" t="str">
        <f>IFERROR(__xludf.DUMMYFUNCTION("""COMPUTED_VALUE"""),"Quebra")</f>
        <v>Quebra</v>
      </c>
      <c r="F118" s="3" t="str">
        <f>IFERROR(__xludf.DUMMYFUNCTION("""COMPUTED_VALUE"""),"Fernando")</f>
        <v>Fernando</v>
      </c>
      <c r="G118" s="3" t="str">
        <f>IFERROR(__xludf.DUMMYFUNCTION("""COMPUTED_VALUE"""),"Deixou cair durante arrumação")</f>
        <v>Deixou cair durante arrumação</v>
      </c>
    </row>
    <row r="119">
      <c r="A119" s="2">
        <f>IFERROR(__xludf.DUMMYFUNCTION("""COMPUTED_VALUE"""),45709.0)</f>
        <v>45709</v>
      </c>
      <c r="B119" s="3" t="str">
        <f>IFERROR(__xludf.DUMMYFUNCTION("""COMPUTED_VALUE"""),"Coca-cola normal")</f>
        <v>Coca-cola normal</v>
      </c>
      <c r="C119" s="3" t="str">
        <f>IFERROR(__xludf.DUMMYFUNCTION("""COMPUTED_VALUE"""),"Produto final")</f>
        <v>Produto final</v>
      </c>
      <c r="D119" s="3">
        <f>IFERROR(__xludf.DUMMYFUNCTION("""COMPUTED_VALUE"""),1.0)</f>
        <v>1</v>
      </c>
      <c r="E119" s="3" t="str">
        <f>IFERROR(__xludf.DUMMYFUNCTION("""COMPUTED_VALUE"""),"Quebra")</f>
        <v>Quebra</v>
      </c>
      <c r="F119" s="3" t="str">
        <f>IFERROR(__xludf.DUMMYFUNCTION("""COMPUTED_VALUE"""),"Paulo")</f>
        <v>Paulo</v>
      </c>
      <c r="G119" s="3" t="str">
        <f>IFERROR(__xludf.DUMMYFUNCTION("""COMPUTED_VALUE"""),"Clip de abertura quebrado")</f>
        <v>Clip de abertura quebrado</v>
      </c>
    </row>
    <row r="120">
      <c r="A120" s="2">
        <f>IFERROR(__xludf.DUMMYFUNCTION("""COMPUTED_VALUE"""),45709.0)</f>
        <v>45709</v>
      </c>
      <c r="B120" s="3" t="str">
        <f>IFERROR(__xludf.DUMMYFUNCTION("""COMPUTED_VALUE"""),"pao de quijo")</f>
        <v>pao de quijo</v>
      </c>
      <c r="C120" s="3" t="str">
        <f>IFERROR(__xludf.DUMMYFUNCTION("""COMPUTED_VALUE"""),"Produto final")</f>
        <v>Produto final</v>
      </c>
      <c r="D120" s="3">
        <f>IFERROR(__xludf.DUMMYFUNCTION("""COMPUTED_VALUE"""),16.0)</f>
        <v>16</v>
      </c>
      <c r="E120" s="3" t="str">
        <f>IFERROR(__xludf.DUMMYFUNCTION("""COMPUTED_VALUE"""),"Venceu (Validade)")</f>
        <v>Venceu (Validade)</v>
      </c>
      <c r="F120" s="3" t="str">
        <f>IFERROR(__xludf.DUMMYFUNCTION("""COMPUTED_VALUE"""),"Melissa")</f>
        <v>Melissa</v>
      </c>
      <c r="G120" s="3" t="str">
        <f>IFERROR(__xludf.DUMMYFUNCTION("""COMPUTED_VALUE"""),"venceu validade 16 unidade da porcao")</f>
        <v>venceu validade 16 unidade da porcao</v>
      </c>
    </row>
    <row r="121">
      <c r="A121" s="2">
        <f>IFERROR(__xludf.DUMMYFUNCTION("""COMPUTED_VALUE"""),45710.0)</f>
        <v>45710</v>
      </c>
      <c r="B121" s="3" t="str">
        <f>IFERROR(__xludf.DUMMYFUNCTION("""COMPUTED_VALUE"""),"Chantilly")</f>
        <v>Chantilly</v>
      </c>
      <c r="C121" s="3" t="str">
        <f>IFERROR(__xludf.DUMMYFUNCTION("""COMPUTED_VALUE"""),"Insumos")</f>
        <v>Insumos</v>
      </c>
      <c r="D121" s="3">
        <f>IFERROR(__xludf.DUMMYFUNCTION("""COMPUTED_VALUE"""),1.0)</f>
        <v>1</v>
      </c>
      <c r="E121" s="3" t="str">
        <f>IFERROR(__xludf.DUMMYFUNCTION("""COMPUTED_VALUE"""),"Venceu (Validade)")</f>
        <v>Venceu (Validade)</v>
      </c>
      <c r="F121" s="3" t="str">
        <f>IFERROR(__xludf.DUMMYFUNCTION("""COMPUTED_VALUE"""),"Marilene")</f>
        <v>Marilene</v>
      </c>
      <c r="G121" s="3" t="str">
        <f>IFERROR(__xludf.DUMMYFUNCTION("""COMPUTED_VALUE"""),"ESTAVA AZEIDO NA GELADEIRA ESTAVA FECHADO")</f>
        <v>ESTAVA AZEIDO NA GELADEIRA ESTAVA FECHADO</v>
      </c>
    </row>
    <row r="122">
      <c r="A122" s="2">
        <f>IFERROR(__xludf.DUMMYFUNCTION("""COMPUTED_VALUE"""),45710.0)</f>
        <v>45710</v>
      </c>
      <c r="B122" s="3" t="str">
        <f>IFERROR(__xludf.DUMMYFUNCTION("""COMPUTED_VALUE"""),"agua c gas")</f>
        <v>agua c gas</v>
      </c>
      <c r="C122" s="3" t="str">
        <f>IFERROR(__xludf.DUMMYFUNCTION("""COMPUTED_VALUE"""),"Produto final")</f>
        <v>Produto final</v>
      </c>
      <c r="D122" s="3">
        <f>IFERROR(__xludf.DUMMYFUNCTION("""COMPUTED_VALUE"""),1.0)</f>
        <v>1</v>
      </c>
      <c r="E122" s="3" t="str">
        <f>IFERROR(__xludf.DUMMYFUNCTION("""COMPUTED_VALUE"""),"Erro de processo")</f>
        <v>Erro de processo</v>
      </c>
      <c r="F122" s="3" t="str">
        <f>IFERROR(__xludf.DUMMYFUNCTION("""COMPUTED_VALUE"""),"Marilene")</f>
        <v>Marilene</v>
      </c>
      <c r="G122" s="3" t="str">
        <f>IFERROR(__xludf.DUMMYFUNCTION("""COMPUTED_VALUE"""),"ESTAVA FURADA")</f>
        <v>ESTAVA FURADA</v>
      </c>
    </row>
    <row r="123">
      <c r="A123" s="2">
        <f>IFERROR(__xludf.DUMMYFUNCTION("""COMPUTED_VALUE"""),45710.0)</f>
        <v>45710</v>
      </c>
      <c r="B123" s="3" t="str">
        <f>IFERROR(__xludf.DUMMYFUNCTION("""COMPUTED_VALUE"""),"Pao de batata req.")</f>
        <v>Pao de batata req.</v>
      </c>
      <c r="C123" s="3" t="str">
        <f>IFERROR(__xludf.DUMMYFUNCTION("""COMPUTED_VALUE"""),"Produto final")</f>
        <v>Produto final</v>
      </c>
      <c r="D123" s="3">
        <f>IFERROR(__xludf.DUMMYFUNCTION("""COMPUTED_VALUE"""),2.0)</f>
        <v>2</v>
      </c>
      <c r="E123" s="3" t="str">
        <f>IFERROR(__xludf.DUMMYFUNCTION("""COMPUTED_VALUE"""),"Erro de processo")</f>
        <v>Erro de processo</v>
      </c>
      <c r="F123" s="3" t="str">
        <f>IFERROR(__xludf.DUMMYFUNCTION("""COMPUTED_VALUE"""),"Marilene")</f>
        <v>Marilene</v>
      </c>
      <c r="G123" s="3" t="str">
        <f>IFERROR(__xludf.DUMMYFUNCTION("""COMPUTED_VALUE"""),"ESTAVA PEQUENO")</f>
        <v>ESTAVA PEQUENO</v>
      </c>
    </row>
    <row r="124">
      <c r="A124" s="2">
        <f>IFERROR(__xludf.DUMMYFUNCTION("""COMPUTED_VALUE"""),45711.0)</f>
        <v>45711</v>
      </c>
      <c r="B124" s="3" t="str">
        <f>IFERROR(__xludf.DUMMYFUNCTION("""COMPUTED_VALUE"""),"Torta iogurte")</f>
        <v>Torta iogurte</v>
      </c>
      <c r="C124" s="3" t="str">
        <f>IFERROR(__xludf.DUMMYFUNCTION("""COMPUTED_VALUE"""),"Produto final")</f>
        <v>Produto final</v>
      </c>
      <c r="D124" s="3">
        <f>IFERROR(__xludf.DUMMYFUNCTION("""COMPUTED_VALUE"""),1.0)</f>
        <v>1</v>
      </c>
      <c r="E124" s="3" t="str">
        <f>IFERROR(__xludf.DUMMYFUNCTION("""COMPUTED_VALUE"""),"Erro de processo")</f>
        <v>Erro de processo</v>
      </c>
      <c r="F124" s="3" t="str">
        <f>IFERROR(__xludf.DUMMYFUNCTION("""COMPUTED_VALUE"""),"Fernando")</f>
        <v>Fernando</v>
      </c>
      <c r="G124" s="3" t="str">
        <f>IFERROR(__xludf.DUMMYFUNCTION("""COMPUTED_VALUE"""),"Torta avariada dentro da vitrine")</f>
        <v>Torta avariada dentro da vitrine</v>
      </c>
    </row>
    <row r="125">
      <c r="A125" s="2">
        <f>IFERROR(__xludf.DUMMYFUNCTION("""COMPUTED_VALUE"""),45711.0)</f>
        <v>45711</v>
      </c>
      <c r="B125" s="3" t="str">
        <f>IFERROR(__xludf.DUMMYFUNCTION("""COMPUTED_VALUE"""),"Chantilly")</f>
        <v>Chantilly</v>
      </c>
      <c r="C125" s="3" t="str">
        <f>IFERROR(__xludf.DUMMYFUNCTION("""COMPUTED_VALUE"""),"Insumos")</f>
        <v>Insumos</v>
      </c>
      <c r="D125" s="3">
        <f>IFERROR(__xludf.DUMMYFUNCTION("""COMPUTED_VALUE"""),2.0)</f>
        <v>2</v>
      </c>
      <c r="E125" s="3" t="str">
        <f>IFERROR(__xludf.DUMMYFUNCTION("""COMPUTED_VALUE"""),"Venceu (Validade)")</f>
        <v>Venceu (Validade)</v>
      </c>
      <c r="F125" s="3" t="str">
        <f>IFERROR(__xludf.DUMMYFUNCTION("""COMPUTED_VALUE"""),"Alex")</f>
        <v>Alex</v>
      </c>
      <c r="G125" s="3" t="str">
        <f>IFERROR(__xludf.DUMMYFUNCTION("""COMPUTED_VALUE"""),"Chantilly sólido, com aspectode talhado. Não está líquido.")</f>
        <v>Chantilly sólido, com aspectode talhado. Não está líquido.</v>
      </c>
    </row>
    <row r="126">
      <c r="A126" s="2">
        <f>IFERROR(__xludf.DUMMYFUNCTION("""COMPUTED_VALUE"""),45711.0)</f>
        <v>45711</v>
      </c>
      <c r="B126" s="3" t="str">
        <f>IFERROR(__xludf.DUMMYFUNCTION("""COMPUTED_VALUE"""),"Nuttela Gateau")</f>
        <v>Nuttela Gateau</v>
      </c>
      <c r="C126" s="3" t="str">
        <f>IFERROR(__xludf.DUMMYFUNCTION("""COMPUTED_VALUE"""),"Produto final")</f>
        <v>Produto final</v>
      </c>
      <c r="D126" s="3">
        <f>IFERROR(__xludf.DUMMYFUNCTION("""COMPUTED_VALUE"""),1.0)</f>
        <v>1</v>
      </c>
      <c r="E126" s="3" t="str">
        <f>IFERROR(__xludf.DUMMYFUNCTION("""COMPUTED_VALUE"""),"Lançamento errado")</f>
        <v>Lançamento errado</v>
      </c>
      <c r="F126" s="3" t="str">
        <f>IFERROR(__xludf.DUMMYFUNCTION("""COMPUTED_VALUE"""),"Paulo")</f>
        <v>Paulo</v>
      </c>
      <c r="G126" s="3" t="str">
        <f>IFERROR(__xludf.DUMMYFUNCTION("""COMPUTED_VALUE"""),"Lançamento errado")</f>
        <v>Lançamento errado</v>
      </c>
    </row>
    <row r="127">
      <c r="A127" s="2">
        <f>IFERROR(__xludf.DUMMYFUNCTION("""COMPUTED_VALUE"""),45711.0)</f>
        <v>45711</v>
      </c>
      <c r="B127" s="3" t="str">
        <f>IFERROR(__xludf.DUMMYFUNCTION("""COMPUTED_VALUE"""),"Café Latte Gelado")</f>
        <v>Café Latte Gelado</v>
      </c>
      <c r="C127" s="3" t="str">
        <f>IFERROR(__xludf.DUMMYFUNCTION("""COMPUTED_VALUE"""),"Produto final")</f>
        <v>Produto final</v>
      </c>
      <c r="D127" s="3">
        <f>IFERROR(__xludf.DUMMYFUNCTION("""COMPUTED_VALUE"""),1.0)</f>
        <v>1</v>
      </c>
      <c r="E127" s="3" t="str">
        <f>IFERROR(__xludf.DUMMYFUNCTION("""COMPUTED_VALUE"""),"Lançamento errado")</f>
        <v>Lançamento errado</v>
      </c>
      <c r="F127" s="3" t="str">
        <f>IFERROR(__xludf.DUMMYFUNCTION("""COMPUTED_VALUE"""),"Paulo")</f>
        <v>Paulo</v>
      </c>
      <c r="G127" s="3" t="str">
        <f>IFERROR(__xludf.DUMMYFUNCTION("""COMPUTED_VALUE"""),"Lançamento errado")</f>
        <v>Lançamento errado</v>
      </c>
    </row>
    <row r="128">
      <c r="A128" s="2">
        <f>IFERROR(__xludf.DUMMYFUNCTION("""COMPUTED_VALUE"""),45711.0)</f>
        <v>45711</v>
      </c>
      <c r="B128" s="3" t="str">
        <f>IFERROR(__xludf.DUMMYFUNCTION("""COMPUTED_VALUE"""),"Torta iogurte")</f>
        <v>Torta iogurte</v>
      </c>
      <c r="C128" s="3" t="str">
        <f>IFERROR(__xludf.DUMMYFUNCTION("""COMPUTED_VALUE"""),"Produto final")</f>
        <v>Produto final</v>
      </c>
      <c r="D128" s="3">
        <f>IFERROR(__xludf.DUMMYFUNCTION("""COMPUTED_VALUE"""),3.0)</f>
        <v>3</v>
      </c>
      <c r="E128" s="3" t="str">
        <f>IFERROR(__xludf.DUMMYFUNCTION("""COMPUTED_VALUE"""),"Venceu (Validade)")</f>
        <v>Venceu (Validade)</v>
      </c>
      <c r="F128" s="3" t="str">
        <f>IFERROR(__xludf.DUMMYFUNCTION("""COMPUTED_VALUE"""),"Marilene")</f>
        <v>Marilene</v>
      </c>
      <c r="G128" s="3" t="str">
        <f>IFERROR(__xludf.DUMMYFUNCTION("""COMPUTED_VALUE"""),"Vencida.")</f>
        <v>Vencida.</v>
      </c>
    </row>
    <row r="129">
      <c r="A129" s="2">
        <f>IFERROR(__xludf.DUMMYFUNCTION("""COMPUTED_VALUE"""),45712.0)</f>
        <v>45712</v>
      </c>
      <c r="B129" s="3" t="str">
        <f>IFERROR(__xludf.DUMMYFUNCTION("""COMPUTED_VALUE"""),"Picadinho")</f>
        <v>Picadinho</v>
      </c>
      <c r="C129" s="3" t="str">
        <f>IFERROR(__xludf.DUMMYFUNCTION("""COMPUTED_VALUE"""),"Produto final")</f>
        <v>Produto final</v>
      </c>
      <c r="D129" s="3">
        <f>IFERROR(__xludf.DUMMYFUNCTION("""COMPUTED_VALUE"""),1.0)</f>
        <v>1</v>
      </c>
      <c r="E129" s="3" t="str">
        <f>IFERROR(__xludf.DUMMYFUNCTION("""COMPUTED_VALUE"""),"Cliente")</f>
        <v>Cliente</v>
      </c>
      <c r="F129" s="3" t="str">
        <f>IFERROR(__xludf.DUMMYFUNCTION("""COMPUTED_VALUE"""),"Vitor")</f>
        <v>Vitor</v>
      </c>
      <c r="G129" s="3" t="str">
        <f>IFERROR(__xludf.DUMMYFUNCTION("""COMPUTED_VALUE"""),"Cliente devolveu alegando que não come bacon / calabreza (contém no feijão).")</f>
        <v>Cliente devolveu alegando que não come bacon / calabreza (contém no feijão).</v>
      </c>
    </row>
    <row r="130">
      <c r="A130" s="2">
        <f>IFERROR(__xludf.DUMMYFUNCTION("""COMPUTED_VALUE"""),45712.0)</f>
        <v>45712</v>
      </c>
      <c r="B130" s="3" t="str">
        <f>IFERROR(__xludf.DUMMYFUNCTION("""COMPUTED_VALUE"""),"Pão de batata calabreza")</f>
        <v>Pão de batata calabreza</v>
      </c>
      <c r="C130" s="3" t="str">
        <f>IFERROR(__xludf.DUMMYFUNCTION("""COMPUTED_VALUE"""),"Produto final")</f>
        <v>Produto final</v>
      </c>
      <c r="D130" s="3">
        <f>IFERROR(__xludf.DUMMYFUNCTION("""COMPUTED_VALUE"""),1.0)</f>
        <v>1</v>
      </c>
      <c r="E130" s="3" t="str">
        <f>IFERROR(__xludf.DUMMYFUNCTION("""COMPUTED_VALUE"""),"Quebra")</f>
        <v>Quebra</v>
      </c>
      <c r="F130" s="3" t="str">
        <f>IFERROR(__xludf.DUMMYFUNCTION("""COMPUTED_VALUE"""),"francisca")</f>
        <v>francisca</v>
      </c>
      <c r="G130" s="3" t="str">
        <f>IFERROR(__xludf.DUMMYFUNCTION("""COMPUTED_VALUE"""),"Rachado e com recheio exposto")</f>
        <v>Rachado e com recheio exposto</v>
      </c>
    </row>
    <row r="131">
      <c r="A131" s="2">
        <f>IFERROR(__xludf.DUMMYFUNCTION("""COMPUTED_VALUE"""),45712.0)</f>
        <v>45712</v>
      </c>
      <c r="B131" s="3" t="str">
        <f>IFERROR(__xludf.DUMMYFUNCTION("""COMPUTED_VALUE"""),"Penne Barbecue")</f>
        <v>Penne Barbecue</v>
      </c>
      <c r="C131" s="3" t="str">
        <f>IFERROR(__xludf.DUMMYFUNCTION("""COMPUTED_VALUE"""),"Produto final")</f>
        <v>Produto final</v>
      </c>
      <c r="D131" s="3">
        <f>IFERROR(__xludf.DUMMYFUNCTION("""COMPUTED_VALUE"""),1.0)</f>
        <v>1</v>
      </c>
      <c r="E131" s="3" t="str">
        <f>IFERROR(__xludf.DUMMYFUNCTION("""COMPUTED_VALUE"""),"Cliente")</f>
        <v>Cliente</v>
      </c>
      <c r="F131" s="3" t="str">
        <f>IFERROR(__xludf.DUMMYFUNCTION("""COMPUTED_VALUE"""),"Luis")</f>
        <v>Luis</v>
      </c>
      <c r="G131" s="3" t="str">
        <f>IFERROR(__xludf.DUMMYFUNCTION("""COMPUTED_VALUE"""),"Era Picadinho e foi lançado Penne")</f>
        <v>Era Picadinho e foi lançado Penne</v>
      </c>
    </row>
    <row r="132">
      <c r="A132" s="2">
        <f>IFERROR(__xludf.DUMMYFUNCTION("""COMPUTED_VALUE"""),45713.0)</f>
        <v>45713</v>
      </c>
      <c r="B132" s="3" t="str">
        <f>IFERROR(__xludf.DUMMYFUNCTION("""COMPUTED_VALUE"""),"Torta Iogurte")</f>
        <v>Torta Iogurte</v>
      </c>
      <c r="C132" s="3" t="str">
        <f>IFERROR(__xludf.DUMMYFUNCTION("""COMPUTED_VALUE"""),"Produto final")</f>
        <v>Produto final</v>
      </c>
      <c r="D132" s="3">
        <f>IFERROR(__xludf.DUMMYFUNCTION("""COMPUTED_VALUE"""),1.0)</f>
        <v>1</v>
      </c>
      <c r="E132" s="3" t="str">
        <f>IFERROR(__xludf.DUMMYFUNCTION("""COMPUTED_VALUE"""),"Cliente")</f>
        <v>Cliente</v>
      </c>
      <c r="F132" s="3" t="str">
        <f>IFERROR(__xludf.DUMMYFUNCTION("""COMPUTED_VALUE"""),"marilene")</f>
        <v>marilene</v>
      </c>
      <c r="G132" s="3" t="str">
        <f>IFERROR(__xludf.DUMMYFUNCTION("""COMPUTED_VALUE"""),"cliente reclamou que estava muito pequena fatia")</f>
        <v>cliente reclamou que estava muito pequena fatia</v>
      </c>
    </row>
    <row r="133">
      <c r="A133" s="2">
        <f>IFERROR(__xludf.DUMMYFUNCTION("""COMPUTED_VALUE"""),45713.0)</f>
        <v>45713</v>
      </c>
      <c r="B133" s="3" t="str">
        <f>IFERROR(__xludf.DUMMYFUNCTION("""COMPUTED_VALUE"""),"Tapioca Margerita")</f>
        <v>Tapioca Margerita</v>
      </c>
      <c r="C133" s="3" t="str">
        <f>IFERROR(__xludf.DUMMYFUNCTION("""COMPUTED_VALUE"""),"Produto final")</f>
        <v>Produto final</v>
      </c>
      <c r="D133" s="3">
        <f>IFERROR(__xludf.DUMMYFUNCTION("""COMPUTED_VALUE"""),1.0)</f>
        <v>1</v>
      </c>
      <c r="E133" s="3" t="str">
        <f>IFERROR(__xludf.DUMMYFUNCTION("""COMPUTED_VALUE"""),"Erro de processo")</f>
        <v>Erro de processo</v>
      </c>
      <c r="F133" s="3" t="str">
        <f>IFERROR(__xludf.DUMMYFUNCTION("""COMPUTED_VALUE"""),"Paulo")</f>
        <v>Paulo</v>
      </c>
      <c r="G133" s="3" t="str">
        <f>IFERROR(__xludf.DUMMYFUNCTION("""COMPUTED_VALUE"""),"lancou errado")</f>
        <v>lancou errado</v>
      </c>
    </row>
    <row r="134">
      <c r="A134" s="2">
        <f>IFERROR(__xludf.DUMMYFUNCTION("""COMPUTED_VALUE"""),45713.0)</f>
        <v>45713</v>
      </c>
      <c r="B134" s="3" t="str">
        <f>IFERROR(__xludf.DUMMYFUNCTION("""COMPUTED_VALUE"""),"Alface")</f>
        <v>Alface</v>
      </c>
      <c r="C134" s="3" t="str">
        <f>IFERROR(__xludf.DUMMYFUNCTION("""COMPUTED_VALUE"""),"Hortifruti")</f>
        <v>Hortifruti</v>
      </c>
      <c r="D134" s="3" t="str">
        <f>IFERROR(__xludf.DUMMYFUNCTION("""COMPUTED_VALUE"""),"240gr")</f>
        <v>240gr</v>
      </c>
      <c r="E134" s="3" t="str">
        <f>IFERROR(__xludf.DUMMYFUNCTION("""COMPUTED_VALUE"""),"Venceu (Validade)")</f>
        <v>Venceu (Validade)</v>
      </c>
      <c r="F134" s="3" t="str">
        <f>IFERROR(__xludf.DUMMYFUNCTION("""COMPUTED_VALUE"""),"Patrícia")</f>
        <v>Patrícia</v>
      </c>
      <c r="G134" s="3" t="str">
        <f>IFERROR(__xludf.DUMMYFUNCTION("""COMPUTED_VALUE"""),"Vencido")</f>
        <v>Vencido</v>
      </c>
    </row>
    <row r="135">
      <c r="A135" s="2">
        <f>IFERROR(__xludf.DUMMYFUNCTION("""COMPUTED_VALUE"""),45713.0)</f>
        <v>45713</v>
      </c>
      <c r="B135" s="3" t="str">
        <f>IFERROR(__xludf.DUMMYFUNCTION("""COMPUTED_VALUE"""),"Tomate")</f>
        <v>Tomate</v>
      </c>
      <c r="C135" s="3" t="str">
        <f>IFERROR(__xludf.DUMMYFUNCTION("""COMPUTED_VALUE"""),"Insumos")</f>
        <v>Insumos</v>
      </c>
      <c r="D135" s="3" t="str">
        <f>IFERROR(__xludf.DUMMYFUNCTION("""COMPUTED_VALUE"""),"120gr")</f>
        <v>120gr</v>
      </c>
      <c r="E135" s="3" t="str">
        <f>IFERROR(__xludf.DUMMYFUNCTION("""COMPUTED_VALUE"""),"Venceu (Validade)")</f>
        <v>Venceu (Validade)</v>
      </c>
      <c r="F135" s="3" t="str">
        <f>IFERROR(__xludf.DUMMYFUNCTION("""COMPUTED_VALUE"""),"Patrícia")</f>
        <v>Patrícia</v>
      </c>
      <c r="G135" s="3" t="str">
        <f>IFERROR(__xludf.DUMMYFUNCTION("""COMPUTED_VALUE"""),"Vencido")</f>
        <v>Vencido</v>
      </c>
    </row>
    <row r="136">
      <c r="A136" s="2">
        <f>IFERROR(__xludf.DUMMYFUNCTION("""COMPUTED_VALUE"""),45713.0)</f>
        <v>45713</v>
      </c>
      <c r="B136" s="3" t="str">
        <f>IFERROR(__xludf.DUMMYFUNCTION("""COMPUTED_VALUE"""),"Rúcula")</f>
        <v>Rúcula</v>
      </c>
      <c r="C136" s="3" t="str">
        <f>IFERROR(__xludf.DUMMYFUNCTION("""COMPUTED_VALUE"""),"Insumos")</f>
        <v>Insumos</v>
      </c>
      <c r="D136" s="3" t="str">
        <f>IFERROR(__xludf.DUMMYFUNCTION("""COMPUTED_VALUE"""),"10gr")</f>
        <v>10gr</v>
      </c>
      <c r="E136" s="3" t="str">
        <f>IFERROR(__xludf.DUMMYFUNCTION("""COMPUTED_VALUE"""),"Venceu (Validade)")</f>
        <v>Venceu (Validade)</v>
      </c>
      <c r="F136" s="3" t="str">
        <f>IFERROR(__xludf.DUMMYFUNCTION("""COMPUTED_VALUE"""),"Patrícia")</f>
        <v>Patrícia</v>
      </c>
      <c r="G136" s="3" t="str">
        <f>IFERROR(__xludf.DUMMYFUNCTION("""COMPUTED_VALUE"""),"Vencido")</f>
        <v>Vencido</v>
      </c>
    </row>
    <row r="137">
      <c r="A137" s="2">
        <f>IFERROR(__xludf.DUMMYFUNCTION("""COMPUTED_VALUE"""),45713.0)</f>
        <v>45713</v>
      </c>
      <c r="B137" s="3" t="str">
        <f>IFERROR(__xludf.DUMMYFUNCTION("""COMPUTED_VALUE"""),"Bandeja salão")</f>
        <v>Bandeja salão</v>
      </c>
      <c r="C137" s="3" t="str">
        <f>IFERROR(__xludf.DUMMYFUNCTION("""COMPUTED_VALUE"""),"Utensílio")</f>
        <v>Utensílio</v>
      </c>
      <c r="D137" s="3">
        <f>IFERROR(__xludf.DUMMYFUNCTION("""COMPUTED_VALUE"""),1.0)</f>
        <v>1</v>
      </c>
      <c r="E137" s="3" t="str">
        <f>IFERROR(__xludf.DUMMYFUNCTION("""COMPUTED_VALUE"""),"Quebra")</f>
        <v>Quebra</v>
      </c>
      <c r="F137" s="3" t="str">
        <f>IFERROR(__xludf.DUMMYFUNCTION("""COMPUTED_VALUE"""),"Alex")</f>
        <v>Alex</v>
      </c>
      <c r="G137" s="3" t="str">
        <f>IFERROR(__xludf.DUMMYFUNCTION("""COMPUTED_VALUE"""),"Quebrada")</f>
        <v>Quebrada</v>
      </c>
    </row>
    <row r="138">
      <c r="A138" s="2">
        <f>IFERROR(__xludf.DUMMYFUNCTION("""COMPUTED_VALUE"""),45713.0)</f>
        <v>45713</v>
      </c>
      <c r="B138" s="3" t="str">
        <f>IFERROR(__xludf.DUMMYFUNCTION("""COMPUTED_VALUE"""),"Copo grande")</f>
        <v>Copo grande</v>
      </c>
      <c r="C138" s="3" t="str">
        <f>IFERROR(__xludf.DUMMYFUNCTION("""COMPUTED_VALUE"""),"Utensílio")</f>
        <v>Utensílio</v>
      </c>
      <c r="D138" s="3">
        <f>IFERROR(__xludf.DUMMYFUNCTION("""COMPUTED_VALUE"""),1.0)</f>
        <v>1</v>
      </c>
      <c r="E138" s="3" t="str">
        <f>IFERROR(__xludf.DUMMYFUNCTION("""COMPUTED_VALUE"""),"Quebra")</f>
        <v>Quebra</v>
      </c>
      <c r="F138" s="3" t="str">
        <f>IFERROR(__xludf.DUMMYFUNCTION("""COMPUTED_VALUE"""),"Marilene")</f>
        <v>Marilene</v>
      </c>
      <c r="G138" s="3" t="str">
        <f>IFERROR(__xludf.DUMMYFUNCTION("""COMPUTED_VALUE"""),"Quebrada")</f>
        <v>Quebrada</v>
      </c>
    </row>
    <row r="139">
      <c r="A139" s="2">
        <f>IFERROR(__xludf.DUMMYFUNCTION("""COMPUTED_VALUE"""),45715.0)</f>
        <v>45715</v>
      </c>
      <c r="B139" s="3" t="str">
        <f>IFERROR(__xludf.DUMMYFUNCTION("""COMPUTED_VALUE"""),"Tostex ciabatta")</f>
        <v>Tostex ciabatta</v>
      </c>
      <c r="C139" s="3" t="str">
        <f>IFERROR(__xludf.DUMMYFUNCTION("""COMPUTED_VALUE"""),"Produto final")</f>
        <v>Produto final</v>
      </c>
      <c r="D139" s="3">
        <f>IFERROR(__xludf.DUMMYFUNCTION("""COMPUTED_VALUE"""),1.0)</f>
        <v>1</v>
      </c>
      <c r="E139" s="3" t="str">
        <f>IFERROR(__xludf.DUMMYFUNCTION("""COMPUTED_VALUE"""),"Cliente")</f>
        <v>Cliente</v>
      </c>
      <c r="F139" s="3" t="str">
        <f>IFERROR(__xludf.DUMMYFUNCTION("""COMPUTED_VALUE"""),"Ana Julia")</f>
        <v>Ana Julia</v>
      </c>
      <c r="G139" s="3" t="str">
        <f>IFERROR(__xludf.DUMMYFUNCTION("""COMPUTED_VALUE"""),"Cliente alegou não saber que o chocolate europeu era chocolate puro e queria com leite cremoso a parte, porém não quis pagar o adicional de leite e cancelou o pedido.")</f>
        <v>Cliente alegou não saber que o chocolate europeu era chocolate puro e queria com leite cremoso a parte, porém não quis pagar o adicional de leite e cancelou o pedido.</v>
      </c>
    </row>
    <row r="140">
      <c r="A140" s="2">
        <f>IFERROR(__xludf.DUMMYFUNCTION("""COMPUTED_VALUE"""),45715.0)</f>
        <v>45715</v>
      </c>
      <c r="B140" s="3" t="str">
        <f>IFERROR(__xludf.DUMMYFUNCTION("""COMPUTED_VALUE"""),"Brownie Especial")</f>
        <v>Brownie Especial</v>
      </c>
      <c r="C140" s="3" t="str">
        <f>IFERROR(__xludf.DUMMYFUNCTION("""COMPUTED_VALUE"""),"Produto final")</f>
        <v>Produto final</v>
      </c>
      <c r="D140" s="3">
        <f>IFERROR(__xludf.DUMMYFUNCTION("""COMPUTED_VALUE"""),1.0)</f>
        <v>1</v>
      </c>
      <c r="E140" s="3" t="str">
        <f>IFERROR(__xludf.DUMMYFUNCTION("""COMPUTED_VALUE"""),"Cliente")</f>
        <v>Cliente</v>
      </c>
      <c r="F140" s="3" t="str">
        <f>IFERROR(__xludf.DUMMYFUNCTION("""COMPUTED_VALUE"""),"Paulo")</f>
        <v>Paulo</v>
      </c>
      <c r="G140" s="3" t="str">
        <f>IFERROR(__xludf.DUMMYFUNCTION("""COMPUTED_VALUE"""),"Cliente alegou que não pode comer nozes e cancelou após a entrega em mesa.")</f>
        <v>Cliente alegou que não pode comer nozes e cancelou após a entrega em mesa.</v>
      </c>
    </row>
    <row r="141">
      <c r="A141" s="2">
        <f>IFERROR(__xludf.DUMMYFUNCTION("""COMPUTED_VALUE"""),45715.0)</f>
        <v>45715</v>
      </c>
      <c r="B141" s="3" t="str">
        <f>IFERROR(__xludf.DUMMYFUNCTION("""COMPUTED_VALUE"""),"Torta de limão")</f>
        <v>Torta de limão</v>
      </c>
      <c r="C141" s="3" t="str">
        <f>IFERROR(__xludf.DUMMYFUNCTION("""COMPUTED_VALUE"""),"Produto final")</f>
        <v>Produto final</v>
      </c>
      <c r="D141" s="3">
        <f>IFERROR(__xludf.DUMMYFUNCTION("""COMPUTED_VALUE"""),1.0)</f>
        <v>1</v>
      </c>
      <c r="E141" s="3" t="str">
        <f>IFERROR(__xludf.DUMMYFUNCTION("""COMPUTED_VALUE"""),"Erro de processo")</f>
        <v>Erro de processo</v>
      </c>
      <c r="F141" s="3" t="str">
        <f>IFERROR(__xludf.DUMMYFUNCTION("""COMPUTED_VALUE"""),"Melissa")</f>
        <v>Melissa</v>
      </c>
      <c r="G141" s="3" t="str">
        <f>IFERROR(__xludf.DUMMYFUNCTION("""COMPUTED_VALUE"""),"Fatia pequena")</f>
        <v>Fatia pequena</v>
      </c>
    </row>
    <row r="142">
      <c r="A142" s="2">
        <f>IFERROR(__xludf.DUMMYFUNCTION("""COMPUTED_VALUE"""),45715.0)</f>
        <v>45715</v>
      </c>
      <c r="B142" s="3" t="str">
        <f>IFERROR(__xludf.DUMMYFUNCTION("""COMPUTED_VALUE"""),"Folheado Napolli")</f>
        <v>Folheado Napolli</v>
      </c>
      <c r="C142" s="3" t="str">
        <f>IFERROR(__xludf.DUMMYFUNCTION("""COMPUTED_VALUE"""),"Produto final")</f>
        <v>Produto final</v>
      </c>
      <c r="D142" s="3">
        <f>IFERROR(__xludf.DUMMYFUNCTION("""COMPUTED_VALUE"""),1.0)</f>
        <v>1</v>
      </c>
      <c r="E142" s="3" t="str">
        <f>IFERROR(__xludf.DUMMYFUNCTION("""COMPUTED_VALUE"""),"Erro de processo")</f>
        <v>Erro de processo</v>
      </c>
      <c r="F142" s="3" t="str">
        <f>IFERROR(__xludf.DUMMYFUNCTION("""COMPUTED_VALUE"""),"Melissa")</f>
        <v>Melissa</v>
      </c>
      <c r="G142" s="3" t="str">
        <f>IFERROR(__xludf.DUMMYFUNCTION("""COMPUTED_VALUE"""),"Quebrado")</f>
        <v>Quebrado</v>
      </c>
    </row>
    <row r="143">
      <c r="A143" s="2">
        <f>IFERROR(__xludf.DUMMYFUNCTION("""COMPUTED_VALUE"""),45715.0)</f>
        <v>45715</v>
      </c>
      <c r="B143" s="3" t="str">
        <f>IFERROR(__xludf.DUMMYFUNCTION("""COMPUTED_VALUE"""),"Xícara pequena")</f>
        <v>Xícara pequena</v>
      </c>
      <c r="C143" s="3" t="str">
        <f>IFERROR(__xludf.DUMMYFUNCTION("""COMPUTED_VALUE"""),"Utensílio")</f>
        <v>Utensílio</v>
      </c>
      <c r="D143" s="3">
        <f>IFERROR(__xludf.DUMMYFUNCTION("""COMPUTED_VALUE"""),1.0)</f>
        <v>1</v>
      </c>
      <c r="E143" s="3" t="str">
        <f>IFERROR(__xludf.DUMMYFUNCTION("""COMPUTED_VALUE"""),"Quebra")</f>
        <v>Quebra</v>
      </c>
      <c r="F143" s="3" t="str">
        <f>IFERROR(__xludf.DUMMYFUNCTION("""COMPUTED_VALUE"""),"Alex")</f>
        <v>Alex</v>
      </c>
      <c r="G143" s="3" t="str">
        <f>IFERROR(__xludf.DUMMYFUNCTION("""COMPUTED_VALUE"""),"Quebra")</f>
        <v>Quebra</v>
      </c>
    </row>
    <row r="144">
      <c r="A144" s="2">
        <f>IFERROR(__xludf.DUMMYFUNCTION("""COMPUTED_VALUE"""),45717.0)</f>
        <v>45717</v>
      </c>
      <c r="B144" s="3" t="str">
        <f>IFERROR(__xludf.DUMMYFUNCTION("""COMPUTED_VALUE"""),"Quiche Alho poró")</f>
        <v>Quiche Alho poró</v>
      </c>
      <c r="C144" s="3" t="str">
        <f>IFERROR(__xludf.DUMMYFUNCTION("""COMPUTED_VALUE"""),"Produto final")</f>
        <v>Produto final</v>
      </c>
      <c r="D144" s="3">
        <f>IFERROR(__xludf.DUMMYFUNCTION("""COMPUTED_VALUE"""),1.0)</f>
        <v>1</v>
      </c>
      <c r="E144" s="3" t="str">
        <f>IFERROR(__xludf.DUMMYFUNCTION("""COMPUTED_VALUE"""),"Erro de processo")</f>
        <v>Erro de processo</v>
      </c>
      <c r="F144" s="3" t="str">
        <f>IFERROR(__xludf.DUMMYFUNCTION("""COMPUTED_VALUE"""),"Melissa")</f>
        <v>Melissa</v>
      </c>
      <c r="G144" s="3" t="str">
        <f>IFERROR(__xludf.DUMMYFUNCTION("""COMPUTED_VALUE"""),"Deixou queimar")</f>
        <v>Deixou queimar</v>
      </c>
    </row>
    <row r="145">
      <c r="A145" s="2">
        <f>IFERROR(__xludf.DUMMYFUNCTION("""COMPUTED_VALUE"""),45717.0)</f>
        <v>45717</v>
      </c>
      <c r="B145" s="3" t="str">
        <f>IFERROR(__xludf.DUMMYFUNCTION("""COMPUTED_VALUE"""),"Copo pequeno")</f>
        <v>Copo pequeno</v>
      </c>
      <c r="C145" s="3" t="str">
        <f>IFERROR(__xludf.DUMMYFUNCTION("""COMPUTED_VALUE"""),"Utensílio")</f>
        <v>Utensílio</v>
      </c>
      <c r="D145" s="3">
        <f>IFERROR(__xludf.DUMMYFUNCTION("""COMPUTED_VALUE"""),1.0)</f>
        <v>1</v>
      </c>
      <c r="E145" s="3" t="str">
        <f>IFERROR(__xludf.DUMMYFUNCTION("""COMPUTED_VALUE"""),"Quebra")</f>
        <v>Quebra</v>
      </c>
      <c r="F145" s="3" t="str">
        <f>IFERROR(__xludf.DUMMYFUNCTION("""COMPUTED_VALUE"""),"Ana Julia")</f>
        <v>Ana Julia</v>
      </c>
      <c r="G145" s="3" t="str">
        <f>IFERROR(__xludf.DUMMYFUNCTION("""COMPUTED_VALUE"""),"Quebrou durante lavagem")</f>
        <v>Quebrou durante lavagem</v>
      </c>
    </row>
    <row r="146">
      <c r="A146" s="2">
        <f>IFERROR(__xludf.DUMMYFUNCTION("""COMPUTED_VALUE"""),45718.0)</f>
        <v>45718</v>
      </c>
      <c r="B146" s="3" t="str">
        <f>IFERROR(__xludf.DUMMYFUNCTION("""COMPUTED_VALUE"""),"pao de quijo porcao")</f>
        <v>pao de quijo porcao</v>
      </c>
      <c r="C146" s="3" t="str">
        <f>IFERROR(__xludf.DUMMYFUNCTION("""COMPUTED_VALUE"""),"Produto final")</f>
        <v>Produto final</v>
      </c>
      <c r="D146" s="3">
        <f>IFERROR(__xludf.DUMMYFUNCTION("""COMPUTED_VALUE"""),16.0)</f>
        <v>16</v>
      </c>
      <c r="E146" s="3" t="str">
        <f>IFERROR(__xludf.DUMMYFUNCTION("""COMPUTED_VALUE"""),"Venceu (Validade)")</f>
        <v>Venceu (Validade)</v>
      </c>
      <c r="F146" s="3" t="str">
        <f>IFERROR(__xludf.DUMMYFUNCTION("""COMPUTED_VALUE"""),"francisca")</f>
        <v>francisca</v>
      </c>
      <c r="G146" s="3" t="str">
        <f>IFERROR(__xludf.DUMMYFUNCTION("""COMPUTED_VALUE"""),"venceu validade")</f>
        <v>venceu validade</v>
      </c>
    </row>
    <row r="147">
      <c r="A147" s="2">
        <f>IFERROR(__xludf.DUMMYFUNCTION("""COMPUTED_VALUE"""),45718.0)</f>
        <v>45718</v>
      </c>
      <c r="B147" s="3" t="str">
        <f>IFERROR(__xludf.DUMMYFUNCTION("""COMPUTED_VALUE"""),"matcha")</f>
        <v>matcha</v>
      </c>
      <c r="C147" s="3" t="str">
        <f>IFERROR(__xludf.DUMMYFUNCTION("""COMPUTED_VALUE"""),"Produto final")</f>
        <v>Produto final</v>
      </c>
      <c r="D147" s="3">
        <f>IFERROR(__xludf.DUMMYFUNCTION("""COMPUTED_VALUE"""),1.0)</f>
        <v>1</v>
      </c>
      <c r="E147" s="3" t="str">
        <f>IFERROR(__xludf.DUMMYFUNCTION("""COMPUTED_VALUE"""),"Erro de processo")</f>
        <v>Erro de processo</v>
      </c>
      <c r="F147" s="3" t="str">
        <f>IFERROR(__xludf.DUMMYFUNCTION("""COMPUTED_VALUE"""),"Vitor")</f>
        <v>Vitor</v>
      </c>
      <c r="G147" s="3" t="str">
        <f>IFERROR(__xludf.DUMMYFUNCTION("""COMPUTED_VALUE"""),"fez errado era vegano")</f>
        <v>fez errado era vegano</v>
      </c>
    </row>
    <row r="148">
      <c r="A148" s="2">
        <f>IFERROR(__xludf.DUMMYFUNCTION("""COMPUTED_VALUE"""),45721.0)</f>
        <v>45721</v>
      </c>
      <c r="B148" s="3" t="str">
        <f>IFERROR(__xludf.DUMMYFUNCTION("""COMPUTED_VALUE"""),"Tapioca")</f>
        <v>Tapioca</v>
      </c>
      <c r="C148" s="3" t="str">
        <f>IFERROR(__xludf.DUMMYFUNCTION("""COMPUTED_VALUE"""),"Produto final")</f>
        <v>Produto final</v>
      </c>
      <c r="D148" s="3" t="str">
        <f>IFERROR(__xludf.DUMMYFUNCTION("""COMPUTED_VALUE"""),"100gr")</f>
        <v>100gr</v>
      </c>
      <c r="E148" s="3" t="str">
        <f>IFERROR(__xludf.DUMMYFUNCTION("""COMPUTED_VALUE"""),"Erro de processo")</f>
        <v>Erro de processo</v>
      </c>
      <c r="F148" s="3" t="str">
        <f>IFERROR(__xludf.DUMMYFUNCTION("""COMPUTED_VALUE"""),"Melissa")</f>
        <v>Melissa</v>
      </c>
      <c r="G148" s="3" t="str">
        <f>IFERROR(__xludf.DUMMYFUNCTION("""COMPUTED_VALUE"""),"Agarrou na panela durante preparo")</f>
        <v>Agarrou na panela durante preparo</v>
      </c>
    </row>
    <row r="149">
      <c r="A149" s="2">
        <f>IFERROR(__xludf.DUMMYFUNCTION("""COMPUTED_VALUE"""),45721.0)</f>
        <v>45721</v>
      </c>
      <c r="B149" s="3" t="str">
        <f>IFERROR(__xludf.DUMMYFUNCTION("""COMPUTED_VALUE"""),"Tomate")</f>
        <v>Tomate</v>
      </c>
      <c r="C149" s="3" t="str">
        <f>IFERROR(__xludf.DUMMYFUNCTION("""COMPUTED_VALUE"""),"Insumos")</f>
        <v>Insumos</v>
      </c>
      <c r="D149" s="3" t="str">
        <f>IFERROR(__xludf.DUMMYFUNCTION("""COMPUTED_VALUE"""),"20gr")</f>
        <v>20gr</v>
      </c>
      <c r="E149" s="3" t="str">
        <f>IFERROR(__xludf.DUMMYFUNCTION("""COMPUTED_VALUE"""),"Venceu (Validade)")</f>
        <v>Venceu (Validade)</v>
      </c>
      <c r="F149" s="3" t="str">
        <f>IFERROR(__xludf.DUMMYFUNCTION("""COMPUTED_VALUE"""),"Rafael")</f>
        <v>Rafael</v>
      </c>
      <c r="G149" s="3" t="str">
        <f>IFERROR(__xludf.DUMMYFUNCTION("""COMPUTED_VALUE"""),"Vencida.")</f>
        <v>Vencida.</v>
      </c>
    </row>
    <row r="150">
      <c r="A150" s="2">
        <f>IFERROR(__xludf.DUMMYFUNCTION("""COMPUTED_VALUE"""),45721.0)</f>
        <v>45721</v>
      </c>
      <c r="B150" s="3" t="str">
        <f>IFERROR(__xludf.DUMMYFUNCTION("""COMPUTED_VALUE"""),"Rúcula")</f>
        <v>Rúcula</v>
      </c>
      <c r="C150" s="3" t="str">
        <f>IFERROR(__xludf.DUMMYFUNCTION("""COMPUTED_VALUE"""),"Insumos")</f>
        <v>Insumos</v>
      </c>
      <c r="D150" s="3" t="str">
        <f>IFERROR(__xludf.DUMMYFUNCTION("""COMPUTED_VALUE"""),"30gr")</f>
        <v>30gr</v>
      </c>
      <c r="E150" s="3" t="str">
        <f>IFERROR(__xludf.DUMMYFUNCTION("""COMPUTED_VALUE"""),"Venceu (Validade)")</f>
        <v>Venceu (Validade)</v>
      </c>
      <c r="F150" s="3" t="str">
        <f>IFERROR(__xludf.DUMMYFUNCTION("""COMPUTED_VALUE"""),"Rafael")</f>
        <v>Rafael</v>
      </c>
      <c r="G150" s="3" t="str">
        <f>IFERROR(__xludf.DUMMYFUNCTION("""COMPUTED_VALUE"""),"Vencida.")</f>
        <v>Vencida.</v>
      </c>
    </row>
    <row r="151">
      <c r="A151" s="2">
        <f>IFERROR(__xludf.DUMMYFUNCTION("""COMPUTED_VALUE"""),45722.0)</f>
        <v>45722</v>
      </c>
      <c r="B151" s="3" t="str">
        <f>IFERROR(__xludf.DUMMYFUNCTION("""COMPUTED_VALUE"""),"copo shot")</f>
        <v>copo shot</v>
      </c>
      <c r="C151" s="3" t="str">
        <f>IFERROR(__xludf.DUMMYFUNCTION("""COMPUTED_VALUE"""),"Utensílio")</f>
        <v>Utensílio</v>
      </c>
      <c r="D151" s="3">
        <f>IFERROR(__xludf.DUMMYFUNCTION("""COMPUTED_VALUE"""),1.0)</f>
        <v>1</v>
      </c>
      <c r="E151" s="3" t="str">
        <f>IFERROR(__xludf.DUMMYFUNCTION("""COMPUTED_VALUE"""),"Quebra")</f>
        <v>Quebra</v>
      </c>
      <c r="F151" s="3" t="str">
        <f>IFERROR(__xludf.DUMMYFUNCTION("""COMPUTED_VALUE"""),"Maria Eduarda")</f>
        <v>Maria Eduarda</v>
      </c>
      <c r="G151" s="3" t="str">
        <f>IFERROR(__xludf.DUMMYFUNCTION("""COMPUTED_VALUE"""),"quebrou")</f>
        <v>quebrou</v>
      </c>
    </row>
    <row r="152">
      <c r="A152" s="2">
        <f>IFERROR(__xludf.DUMMYFUNCTION("""COMPUTED_VALUE"""),45722.0)</f>
        <v>45722</v>
      </c>
      <c r="B152" s="3" t="str">
        <f>IFERROR(__xludf.DUMMYFUNCTION("""COMPUTED_VALUE"""),"sache de cha")</f>
        <v>sache de cha</v>
      </c>
      <c r="C152" s="3" t="str">
        <f>IFERROR(__xludf.DUMMYFUNCTION("""COMPUTED_VALUE"""),"Insumos")</f>
        <v>Insumos</v>
      </c>
      <c r="D152" s="3">
        <f>IFERROR(__xludf.DUMMYFUNCTION("""COMPUTED_VALUE"""),1.0)</f>
        <v>1</v>
      </c>
      <c r="E152" s="3" t="str">
        <f>IFERROR(__xludf.DUMMYFUNCTION("""COMPUTED_VALUE"""),"Erro de processo")</f>
        <v>Erro de processo</v>
      </c>
      <c r="F152" s="3" t="str">
        <f>IFERROR(__xludf.DUMMYFUNCTION("""COMPUTED_VALUE"""),"clinte")</f>
        <v>clinte</v>
      </c>
      <c r="G152" s="3" t="str">
        <f>IFERROR(__xludf.DUMMYFUNCTION("""COMPUTED_VALUE"""),"ragou cha na mesa e nao quise mais trocou por outra")</f>
        <v>ragou cha na mesa e nao quise mais trocou por outra</v>
      </c>
    </row>
    <row r="153">
      <c r="A153" s="2">
        <f>IFERROR(__xludf.DUMMYFUNCTION("""COMPUTED_VALUE"""),45722.0)</f>
        <v>45722</v>
      </c>
      <c r="B153" s="3" t="str">
        <f>IFERROR(__xludf.DUMMYFUNCTION("""COMPUTED_VALUE"""),"banana")</f>
        <v>banana</v>
      </c>
      <c r="C153" s="3" t="str">
        <f>IFERROR(__xludf.DUMMYFUNCTION("""COMPUTED_VALUE"""),"Hortifruti")</f>
        <v>Hortifruti</v>
      </c>
      <c r="D153" s="3" t="str">
        <f>IFERROR(__xludf.DUMMYFUNCTION("""COMPUTED_VALUE"""),"127g")</f>
        <v>127g</v>
      </c>
      <c r="E153" s="3" t="str">
        <f>IFERROR(__xludf.DUMMYFUNCTION("""COMPUTED_VALUE"""),"Venceu (Validade)")</f>
        <v>Venceu (Validade)</v>
      </c>
      <c r="F153" s="3" t="str">
        <f>IFERROR(__xludf.DUMMYFUNCTION("""COMPUTED_VALUE"""),"Marilene")</f>
        <v>Marilene</v>
      </c>
      <c r="G153" s="3" t="str">
        <f>IFERROR(__xludf.DUMMYFUNCTION("""COMPUTED_VALUE"""),"estava preta")</f>
        <v>estava preta</v>
      </c>
    </row>
    <row r="154">
      <c r="A154" s="2">
        <f>IFERROR(__xludf.DUMMYFUNCTION("""COMPUTED_VALUE"""),45722.0)</f>
        <v>45722</v>
      </c>
      <c r="B154" s="3" t="str">
        <f>IFERROR(__xludf.DUMMYFUNCTION("""COMPUTED_VALUE"""),"penne peste")</f>
        <v>penne peste</v>
      </c>
      <c r="C154" s="3" t="str">
        <f>IFERROR(__xludf.DUMMYFUNCTION("""COMPUTED_VALUE"""),"Produto final")</f>
        <v>Produto final</v>
      </c>
      <c r="D154" s="3">
        <f>IFERROR(__xludf.DUMMYFUNCTION("""COMPUTED_VALUE"""),2.0)</f>
        <v>2</v>
      </c>
      <c r="E154" s="3" t="str">
        <f>IFERROR(__xludf.DUMMYFUNCTION("""COMPUTED_VALUE"""),"Cliente")</f>
        <v>Cliente</v>
      </c>
      <c r="F154" s="3" t="str">
        <f>IFERROR(__xludf.DUMMYFUNCTION("""COMPUTED_VALUE"""),"Marilene")</f>
        <v>Marilene</v>
      </c>
      <c r="G154" s="3" t="str">
        <f>IFERROR(__xludf.DUMMYFUNCTION("""COMPUTED_VALUE"""),"CLIENTE FALOU QUEM MACARRAO ESTAVA MUITO DURO")</f>
        <v>CLIENTE FALOU QUEM MACARRAO ESTAVA MUITO DURO</v>
      </c>
    </row>
    <row r="155">
      <c r="A155" s="2">
        <f>IFERROR(__xludf.DUMMYFUNCTION("""COMPUTED_VALUE"""),45723.0)</f>
        <v>45723</v>
      </c>
      <c r="B155" s="3" t="str">
        <f>IFERROR(__xludf.DUMMYFUNCTION("""COMPUTED_VALUE"""),"Chá natural")</f>
        <v>Chá natural</v>
      </c>
      <c r="C155" s="3" t="str">
        <f>IFERROR(__xludf.DUMMYFUNCTION("""COMPUTED_VALUE"""),"Produto final")</f>
        <v>Produto final</v>
      </c>
      <c r="D155" s="3" t="str">
        <f>IFERROR(__xludf.DUMMYFUNCTION("""COMPUTED_VALUE"""),"1 litro")</f>
        <v>1 litro</v>
      </c>
      <c r="E155" s="3" t="str">
        <f>IFERROR(__xludf.DUMMYFUNCTION("""COMPUTED_VALUE"""),"Erro de processo")</f>
        <v>Erro de processo</v>
      </c>
      <c r="F155" s="3" t="str">
        <f>IFERROR(__xludf.DUMMYFUNCTION("""COMPUTED_VALUE"""),"Maria Eduarda")</f>
        <v>Maria Eduarda</v>
      </c>
      <c r="G155" s="3" t="str">
        <f>IFERROR(__xludf.DUMMYFUNCTION("""COMPUTED_VALUE"""),"Fez o chá, foi embora e deixou em infusão durante toda a noite (Não foi coado).")</f>
        <v>Fez o chá, foi embora e deixou em infusão durante toda a noite (Não foi coado).</v>
      </c>
    </row>
    <row r="156">
      <c r="A156" s="2">
        <f>IFERROR(__xludf.DUMMYFUNCTION("""COMPUTED_VALUE"""),45723.0)</f>
        <v>45723</v>
      </c>
      <c r="B156" s="3" t="str">
        <f>IFERROR(__xludf.DUMMYFUNCTION("""COMPUTED_VALUE"""),"garrafa scada")</f>
        <v>garrafa scada</v>
      </c>
      <c r="C156" s="3" t="str">
        <f>IFERROR(__xludf.DUMMYFUNCTION("""COMPUTED_VALUE"""),"Produto final")</f>
        <v>Produto final</v>
      </c>
      <c r="D156" s="3">
        <f>IFERROR(__xludf.DUMMYFUNCTION("""COMPUTED_VALUE"""),1.0)</f>
        <v>1</v>
      </c>
      <c r="E156" s="3" t="str">
        <f>IFERROR(__xludf.DUMMYFUNCTION("""COMPUTED_VALUE"""),"Outro")</f>
        <v>Outro</v>
      </c>
      <c r="F156" s="3" t="str">
        <f>IFERROR(__xludf.DUMMYFUNCTION("""COMPUTED_VALUE"""),"Alex")</f>
        <v>Alex</v>
      </c>
      <c r="G156" s="3" t="str">
        <f>IFERROR(__xludf.DUMMYFUNCTION("""COMPUTED_VALUE"""),"vendida para alex")</f>
        <v>vendida para alex</v>
      </c>
    </row>
    <row r="157">
      <c r="A157" s="2">
        <f>IFERROR(__xludf.DUMMYFUNCTION("""COMPUTED_VALUE"""),45724.0)</f>
        <v>45724</v>
      </c>
      <c r="B157" s="3" t="str">
        <f>IFERROR(__xludf.DUMMYFUNCTION("""COMPUTED_VALUE"""),"Capucino italiano")</f>
        <v>Capucino italiano</v>
      </c>
      <c r="C157" s="3" t="str">
        <f>IFERROR(__xludf.DUMMYFUNCTION("""COMPUTED_VALUE"""),"Produto final")</f>
        <v>Produto final</v>
      </c>
      <c r="D157" s="3">
        <f>IFERROR(__xludf.DUMMYFUNCTION("""COMPUTED_VALUE"""),2.0)</f>
        <v>2</v>
      </c>
      <c r="E157" s="3" t="str">
        <f>IFERROR(__xludf.DUMMYFUNCTION("""COMPUTED_VALUE"""),"Cliente")</f>
        <v>Cliente</v>
      </c>
      <c r="F157" s="3" t="str">
        <f>IFERROR(__xludf.DUMMYFUNCTION("""COMPUTED_VALUE"""),"Brunna")</f>
        <v>Brunna</v>
      </c>
      <c r="G157" s="3" t="str">
        <f>IFERROR(__xludf.DUMMYFUNCTION("""COMPUTED_VALUE"""),"Cliente nao gostou")</f>
        <v>Cliente nao gostou</v>
      </c>
    </row>
    <row r="158">
      <c r="A158" s="2">
        <f>IFERROR(__xludf.DUMMYFUNCTION("""COMPUTED_VALUE"""),45725.0)</f>
        <v>45725</v>
      </c>
      <c r="B158" s="3" t="str">
        <f>IFERROR(__xludf.DUMMYFUNCTION("""COMPUTED_VALUE"""),"Picadinho")</f>
        <v>Picadinho</v>
      </c>
      <c r="C158" s="3" t="str">
        <f>IFERROR(__xludf.DUMMYFUNCTION("""COMPUTED_VALUE"""),"Produto final")</f>
        <v>Produto final</v>
      </c>
      <c r="D158" s="3">
        <f>IFERROR(__xludf.DUMMYFUNCTION("""COMPUTED_VALUE"""),1.0)</f>
        <v>1</v>
      </c>
      <c r="E158" s="3" t="str">
        <f>IFERROR(__xludf.DUMMYFUNCTION("""COMPUTED_VALUE"""),"Erro de processo")</f>
        <v>Erro de processo</v>
      </c>
      <c r="F158" s="3" t="str">
        <f>IFERROR(__xludf.DUMMYFUNCTION("""COMPUTED_VALUE"""),"Rafael")</f>
        <v>Rafael</v>
      </c>
      <c r="G158" s="3" t="str">
        <f>IFERROR(__xludf.DUMMYFUNCTION("""COMPUTED_VALUE"""),"Cliente perguntou se havia algo derivado de porco nesse prato e foi respondido não incorretamente.")</f>
        <v>Cliente perguntou se havia algo derivado de porco nesse prato e foi respondido não incorretamente.</v>
      </c>
    </row>
    <row r="159">
      <c r="A159" s="2">
        <f>IFERROR(__xludf.DUMMYFUNCTION("""COMPUTED_VALUE"""),45725.0)</f>
        <v>45725</v>
      </c>
      <c r="B159" s="3" t="str">
        <f>IFERROR(__xludf.DUMMYFUNCTION("""COMPUTED_VALUE"""),"Água s/ gás")</f>
        <v>Água s/ gás</v>
      </c>
      <c r="C159" s="3" t="str">
        <f>IFERROR(__xludf.DUMMYFUNCTION("""COMPUTED_VALUE"""),"Produto final")</f>
        <v>Produto final</v>
      </c>
      <c r="D159" s="3">
        <f>IFERROR(__xludf.DUMMYFUNCTION("""COMPUTED_VALUE"""),1.0)</f>
        <v>1</v>
      </c>
      <c r="E159" s="3" t="str">
        <f>IFERROR(__xludf.DUMMYFUNCTION("""COMPUTED_VALUE"""),"Cliente")</f>
        <v>Cliente</v>
      </c>
      <c r="F159" s="3" t="str">
        <f>IFERROR(__xludf.DUMMYFUNCTION("""COMPUTED_VALUE"""),"Rafael")</f>
        <v>Rafael</v>
      </c>
      <c r="G159" s="3" t="str">
        <f>IFERROR(__xludf.DUMMYFUNCTION("""COMPUTED_VALUE"""),"Cliente alegou que a água está com gosto ruim.")</f>
        <v>Cliente alegou que a água está com gosto ruim.</v>
      </c>
    </row>
    <row r="160">
      <c r="A160" s="2">
        <f>IFERROR(__xludf.DUMMYFUNCTION("""COMPUTED_VALUE"""),45725.0)</f>
        <v>45725</v>
      </c>
      <c r="B160" s="3" t="str">
        <f>IFERROR(__xludf.DUMMYFUNCTION("""COMPUTED_VALUE"""),"Torta Cheesecake")</f>
        <v>Torta Cheesecake</v>
      </c>
      <c r="C160" s="3" t="str">
        <f>IFERROR(__xludf.DUMMYFUNCTION("""COMPUTED_VALUE"""),"Produto final")</f>
        <v>Produto final</v>
      </c>
      <c r="D160" s="3">
        <f>IFERROR(__xludf.DUMMYFUNCTION("""COMPUTED_VALUE"""),1.0)</f>
        <v>1</v>
      </c>
      <c r="E160" s="3" t="str">
        <f>IFERROR(__xludf.DUMMYFUNCTION("""COMPUTED_VALUE"""),"Cliente")</f>
        <v>Cliente</v>
      </c>
      <c r="F160" s="3" t="str">
        <f>IFERROR(__xludf.DUMMYFUNCTION("""COMPUTED_VALUE"""),"Marilene")</f>
        <v>Marilene</v>
      </c>
      <c r="G160" s="3" t="str">
        <f>IFERROR(__xludf.DUMMYFUNCTION("""COMPUTED_VALUE"""),"cliente falou quem estava muito pequena fatia")</f>
        <v>cliente falou quem estava muito pequena fatia</v>
      </c>
    </row>
    <row r="161">
      <c r="A161" s="2">
        <f>IFERROR(__xludf.DUMMYFUNCTION("""COMPUTED_VALUE"""),45726.0)</f>
        <v>45726</v>
      </c>
      <c r="B161" s="3" t="str">
        <f>IFERROR(__xludf.DUMMYFUNCTION("""COMPUTED_VALUE"""),"Pires Café")</f>
        <v>Pires Café</v>
      </c>
      <c r="C161" s="3" t="str">
        <f>IFERROR(__xludf.DUMMYFUNCTION("""COMPUTED_VALUE"""),"Utensílio")</f>
        <v>Utensílio</v>
      </c>
      <c r="D161" s="3">
        <f>IFERROR(__xludf.DUMMYFUNCTION("""COMPUTED_VALUE"""),1.0)</f>
        <v>1</v>
      </c>
      <c r="E161" s="3" t="str">
        <f>IFERROR(__xludf.DUMMYFUNCTION("""COMPUTED_VALUE"""),"Cliente")</f>
        <v>Cliente</v>
      </c>
      <c r="F161" s="3" t="str">
        <f>IFERROR(__xludf.DUMMYFUNCTION("""COMPUTED_VALUE"""),"Alex")</f>
        <v>Alex</v>
      </c>
      <c r="G161" s="3" t="str">
        <f>IFERROR(__xludf.DUMMYFUNCTION("""COMPUTED_VALUE"""),"cliente quebrou (derrubou no chão durante a refeição)")</f>
        <v>cliente quebrou (derrubou no chão durante a refeição)</v>
      </c>
    </row>
    <row r="162">
      <c r="A162" s="2">
        <f>IFERROR(__xludf.DUMMYFUNCTION("""COMPUTED_VALUE"""),45727.0)</f>
        <v>45727</v>
      </c>
      <c r="B162" s="3" t="str">
        <f>IFERROR(__xludf.DUMMYFUNCTION("""COMPUTED_VALUE"""),"Suco Acerola")</f>
        <v>Suco Acerola</v>
      </c>
      <c r="C162" s="3" t="str">
        <f>IFERROR(__xludf.DUMMYFUNCTION("""COMPUTED_VALUE"""),"Produto final")</f>
        <v>Produto final</v>
      </c>
      <c r="D162" s="3">
        <f>IFERROR(__xludf.DUMMYFUNCTION("""COMPUTED_VALUE"""),1.0)</f>
        <v>1</v>
      </c>
      <c r="E162" s="3" t="str">
        <f>IFERROR(__xludf.DUMMYFUNCTION("""COMPUTED_VALUE"""),"Cliente")</f>
        <v>Cliente</v>
      </c>
      <c r="F162" s="3" t="str">
        <f>IFERROR(__xludf.DUMMYFUNCTION("""COMPUTED_VALUE"""),"Paulo")</f>
        <v>Paulo</v>
      </c>
      <c r="G162" s="3" t="str">
        <f>IFERROR(__xludf.DUMMYFUNCTION("""COMPUTED_VALUE"""),"Cliente achou o suco azedo e devolveu")</f>
        <v>Cliente achou o suco azedo e devolveu</v>
      </c>
    </row>
    <row r="163">
      <c r="A163" s="2">
        <f>IFERROR(__xludf.DUMMYFUNCTION("""COMPUTED_VALUE"""),45727.0)</f>
        <v>45727</v>
      </c>
      <c r="B163" s="3" t="str">
        <f>IFERROR(__xludf.DUMMYFUNCTION("""COMPUTED_VALUE"""),"Pão de queijo porção")</f>
        <v>Pão de queijo porção</v>
      </c>
      <c r="C163" s="3" t="str">
        <f>IFERROR(__xludf.DUMMYFUNCTION("""COMPUTED_VALUE"""),"Produto final")</f>
        <v>Produto final</v>
      </c>
      <c r="D163" s="3" t="str">
        <f>IFERROR(__xludf.DUMMYFUNCTION("""COMPUTED_VALUE"""),"1 saco")</f>
        <v>1 saco</v>
      </c>
      <c r="E163" s="3" t="str">
        <f>IFERROR(__xludf.DUMMYFUNCTION("""COMPUTED_VALUE"""),"Outro")</f>
        <v>Outro</v>
      </c>
      <c r="F163" s="3" t="str">
        <f>IFERROR(__xludf.DUMMYFUNCTION("""COMPUTED_VALUE"""),"Brunna")</f>
        <v>Brunna</v>
      </c>
      <c r="G163" s="3" t="str">
        <f>IFERROR(__xludf.DUMMYFUNCTION("""COMPUTED_VALUE"""),"Evento Shopping")</f>
        <v>Evento Shopping</v>
      </c>
    </row>
    <row r="164">
      <c r="A164" s="2">
        <f>IFERROR(__xludf.DUMMYFUNCTION("""COMPUTED_VALUE"""),45727.0)</f>
        <v>45727</v>
      </c>
      <c r="B164" s="3" t="str">
        <f>IFERROR(__xludf.DUMMYFUNCTION("""COMPUTED_VALUE"""),"Bolo de Cenoura com chocolate")</f>
        <v>Bolo de Cenoura com chocolate</v>
      </c>
      <c r="C164" s="3" t="str">
        <f>IFERROR(__xludf.DUMMYFUNCTION("""COMPUTED_VALUE"""),"Produto final")</f>
        <v>Produto final</v>
      </c>
      <c r="D164" s="3">
        <f>IFERROR(__xludf.DUMMYFUNCTION("""COMPUTED_VALUE"""),14.0)</f>
        <v>14</v>
      </c>
      <c r="E164" s="3" t="str">
        <f>IFERROR(__xludf.DUMMYFUNCTION("""COMPUTED_VALUE"""),"Outro")</f>
        <v>Outro</v>
      </c>
      <c r="F164" s="3" t="str">
        <f>IFERROR(__xludf.DUMMYFUNCTION("""COMPUTED_VALUE"""),"Brunna")</f>
        <v>Brunna</v>
      </c>
      <c r="G164" s="3" t="str">
        <f>IFERROR(__xludf.DUMMYFUNCTION("""COMPUTED_VALUE"""),"Evento Shopping")</f>
        <v>Evento Shopping</v>
      </c>
    </row>
    <row r="165">
      <c r="A165" s="2">
        <f>IFERROR(__xludf.DUMMYFUNCTION("""COMPUTED_VALUE"""),45727.0)</f>
        <v>45727</v>
      </c>
      <c r="B165" s="3" t="str">
        <f>IFERROR(__xludf.DUMMYFUNCTION("""COMPUTED_VALUE"""),"Ice Banoffee")</f>
        <v>Ice Banoffee</v>
      </c>
      <c r="C165" s="3" t="str">
        <f>IFERROR(__xludf.DUMMYFUNCTION("""COMPUTED_VALUE"""),"Produto final")</f>
        <v>Produto final</v>
      </c>
      <c r="D165" s="3">
        <f>IFERROR(__xludf.DUMMYFUNCTION("""COMPUTED_VALUE"""),1.0)</f>
        <v>1</v>
      </c>
      <c r="E165" s="3" t="str">
        <f>IFERROR(__xludf.DUMMYFUNCTION("""COMPUTED_VALUE"""),"Lançamento errado")</f>
        <v>Lançamento errado</v>
      </c>
      <c r="F165" s="3" t="str">
        <f>IFERROR(__xludf.DUMMYFUNCTION("""COMPUTED_VALUE"""),"Ana Julia")</f>
        <v>Ana Julia</v>
      </c>
      <c r="G165" s="3" t="str">
        <f>IFERROR(__xludf.DUMMYFUNCTION("""COMPUTED_VALUE"""),"Lançou errado.")</f>
        <v>Lançou errado.</v>
      </c>
    </row>
    <row r="166">
      <c r="A166" s="2">
        <f>IFERROR(__xludf.DUMMYFUNCTION("""COMPUTED_VALUE"""),45728.0)</f>
        <v>45728</v>
      </c>
      <c r="B166" s="3" t="str">
        <f>IFERROR(__xludf.DUMMYFUNCTION("""COMPUTED_VALUE"""),"agua de coco")</f>
        <v>agua de coco</v>
      </c>
      <c r="C166" s="3" t="str">
        <f>IFERROR(__xludf.DUMMYFUNCTION("""COMPUTED_VALUE"""),"Produto final")</f>
        <v>Produto final</v>
      </c>
      <c r="D166" s="3">
        <f>IFERROR(__xludf.DUMMYFUNCTION("""COMPUTED_VALUE"""),1.0)</f>
        <v>1</v>
      </c>
      <c r="E166" s="3" t="str">
        <f>IFERROR(__xludf.DUMMYFUNCTION("""COMPUTED_VALUE"""),"Cliente")</f>
        <v>Cliente</v>
      </c>
      <c r="F166" s="3" t="str">
        <f>IFERROR(__xludf.DUMMYFUNCTION("""COMPUTED_VALUE"""),"jonata")</f>
        <v>jonata</v>
      </c>
      <c r="G166" s="3" t="str">
        <f>IFERROR(__xludf.DUMMYFUNCTION("""COMPUTED_VALUE"""),"cliente falou estava azeda")</f>
        <v>cliente falou estava azeda</v>
      </c>
    </row>
    <row r="167">
      <c r="A167" s="2">
        <f>IFERROR(__xludf.DUMMYFUNCTION("""COMPUTED_VALUE"""),45728.0)</f>
        <v>45728</v>
      </c>
      <c r="B167" s="3" t="str">
        <f>IFERROR(__xludf.DUMMYFUNCTION("""COMPUTED_VALUE"""),"alcool")</f>
        <v>alcool</v>
      </c>
      <c r="C167" s="3" t="str">
        <f>IFERROR(__xludf.DUMMYFUNCTION("""COMPUTED_VALUE"""),"Produto Limpeza")</f>
        <v>Produto Limpeza</v>
      </c>
      <c r="D167" s="3">
        <f>IFERROR(__xludf.DUMMYFUNCTION("""COMPUTED_VALUE"""),1.0)</f>
        <v>1</v>
      </c>
      <c r="E167" s="3" t="str">
        <f>IFERROR(__xludf.DUMMYFUNCTION("""COMPUTED_VALUE"""),"Erro de processo")</f>
        <v>Erro de processo</v>
      </c>
      <c r="F167" s="3" t="str">
        <f>IFERROR(__xludf.DUMMYFUNCTION("""COMPUTED_VALUE"""),"Brunna")</f>
        <v>Brunna</v>
      </c>
      <c r="G167" s="3" t="str">
        <f>IFERROR(__xludf.DUMMYFUNCTION("""COMPUTED_VALUE"""),"brunna usor")</f>
        <v>brunna usor</v>
      </c>
    </row>
    <row r="168">
      <c r="A168" s="2">
        <f>IFERROR(__xludf.DUMMYFUNCTION("""COMPUTED_VALUE"""),45729.0)</f>
        <v>45729</v>
      </c>
      <c r="B168" s="3" t="str">
        <f>IFERROR(__xludf.DUMMYFUNCTION("""COMPUTED_VALUE"""),"Ice Cappuccino")</f>
        <v>Ice Cappuccino</v>
      </c>
      <c r="C168" s="3" t="str">
        <f>IFERROR(__xludf.DUMMYFUNCTION("""COMPUTED_VALUE"""),"Produto final")</f>
        <v>Produto final</v>
      </c>
      <c r="D168" s="3">
        <f>IFERROR(__xludf.DUMMYFUNCTION("""COMPUTED_VALUE"""),1.0)</f>
        <v>1</v>
      </c>
      <c r="E168" s="3" t="str">
        <f>IFERROR(__xludf.DUMMYFUNCTION("""COMPUTED_VALUE"""),"Erro de processo")</f>
        <v>Erro de processo</v>
      </c>
      <c r="F168" s="3" t="str">
        <f>IFERROR(__xludf.DUMMYFUNCTION("""COMPUTED_VALUE"""),"Ana Julia")</f>
        <v>Ana Julia</v>
      </c>
      <c r="G168" s="3" t="str">
        <f>IFERROR(__xludf.DUMMYFUNCTION("""COMPUTED_VALUE"""),"Deixou cair")</f>
        <v>Deixou cair</v>
      </c>
    </row>
    <row r="169">
      <c r="A169" s="2">
        <f>IFERROR(__xludf.DUMMYFUNCTION("""COMPUTED_VALUE"""),45729.0)</f>
        <v>45729</v>
      </c>
      <c r="B169" s="3" t="str">
        <f>IFERROR(__xludf.DUMMYFUNCTION("""COMPUTED_VALUE"""),"Porção pão de queijo")</f>
        <v>Porção pão de queijo</v>
      </c>
      <c r="C169" s="3" t="str">
        <f>IFERROR(__xludf.DUMMYFUNCTION("""COMPUTED_VALUE"""),"Produto final")</f>
        <v>Produto final</v>
      </c>
      <c r="D169" s="3">
        <f>IFERROR(__xludf.DUMMYFUNCTION("""COMPUTED_VALUE"""),1.0)</f>
        <v>1</v>
      </c>
      <c r="E169" s="3" t="str">
        <f>IFERROR(__xludf.DUMMYFUNCTION("""COMPUTED_VALUE"""),"Erro de processo")</f>
        <v>Erro de processo</v>
      </c>
      <c r="F169" s="3" t="str">
        <f>IFERROR(__xludf.DUMMYFUNCTION("""COMPUTED_VALUE"""),"Ana Julia")</f>
        <v>Ana Julia</v>
      </c>
      <c r="G169" s="3" t="str">
        <f>IFERROR(__xludf.DUMMYFUNCTION("""COMPUTED_VALUE"""),"Deixou cair")</f>
        <v>Deixou cair</v>
      </c>
    </row>
    <row r="170">
      <c r="A170" s="2">
        <f>IFERROR(__xludf.DUMMYFUNCTION("""COMPUTED_VALUE"""),45729.0)</f>
        <v>45729</v>
      </c>
      <c r="B170" s="3" t="str">
        <f>IFERROR(__xludf.DUMMYFUNCTION("""COMPUTED_VALUE"""),"Água de Coco")</f>
        <v>Água de Coco</v>
      </c>
      <c r="C170" s="3" t="str">
        <f>IFERROR(__xludf.DUMMYFUNCTION("""COMPUTED_VALUE"""),"Produto final")</f>
        <v>Produto final</v>
      </c>
      <c r="D170" s="3">
        <f>IFERROR(__xludf.DUMMYFUNCTION("""COMPUTED_VALUE"""),1.0)</f>
        <v>1</v>
      </c>
      <c r="E170" s="3" t="str">
        <f>IFERROR(__xludf.DUMMYFUNCTION("""COMPUTED_VALUE"""),"Venceu (Validade)")</f>
        <v>Venceu (Validade)</v>
      </c>
      <c r="F170" s="3" t="str">
        <f>IFERROR(__xludf.DUMMYFUNCTION("""COMPUTED_VALUE"""),"Rafael")</f>
        <v>Rafael</v>
      </c>
      <c r="G170" s="3" t="str">
        <f>IFERROR(__xludf.DUMMYFUNCTION("""COMPUTED_VALUE"""),"Cliente alegou que estava ruim. Depois de provar constatamos que procede a reclamação (azeda e com aparência de gaseificada)")</f>
        <v>Cliente alegou que estava ruim. Depois de provar constatamos que procede a reclamação (azeda e com aparência de gaseificada)</v>
      </c>
    </row>
    <row r="171">
      <c r="A171" s="2">
        <f>IFERROR(__xludf.DUMMYFUNCTION("""COMPUTED_VALUE"""),45729.0)</f>
        <v>45729</v>
      </c>
      <c r="B171" s="3" t="str">
        <f>IFERROR(__xludf.DUMMYFUNCTION("""COMPUTED_VALUE"""),"agua de coco")</f>
        <v>agua de coco</v>
      </c>
      <c r="C171" s="3" t="str">
        <f>IFERROR(__xludf.DUMMYFUNCTION("""COMPUTED_VALUE"""),"Produto final")</f>
        <v>Produto final</v>
      </c>
      <c r="D171" s="3">
        <f>IFERROR(__xludf.DUMMYFUNCTION("""COMPUTED_VALUE"""),1.0)</f>
        <v>1</v>
      </c>
      <c r="E171" s="3" t="str">
        <f>IFERROR(__xludf.DUMMYFUNCTION("""COMPUTED_VALUE"""),"Outro")</f>
        <v>Outro</v>
      </c>
      <c r="F171" s="3" t="str">
        <f>IFERROR(__xludf.DUMMYFUNCTION("""COMPUTED_VALUE"""),"Marilene")</f>
        <v>Marilene</v>
      </c>
      <c r="G171" s="3" t="str">
        <f>IFERROR(__xludf.DUMMYFUNCTION("""COMPUTED_VALUE"""),"eu prove nao estava rui e tudo do mesmo lote")</f>
        <v>eu prove nao estava rui e tudo do mesmo lote</v>
      </c>
    </row>
    <row r="172">
      <c r="A172" s="2">
        <f>IFERROR(__xludf.DUMMYFUNCTION("""COMPUTED_VALUE"""),45729.0)</f>
        <v>45729</v>
      </c>
      <c r="B172" s="3" t="str">
        <f>IFERROR(__xludf.DUMMYFUNCTION("""COMPUTED_VALUE"""),"Suco de acerola")</f>
        <v>Suco de acerola</v>
      </c>
      <c r="C172" s="3" t="str">
        <f>IFERROR(__xludf.DUMMYFUNCTION("""COMPUTED_VALUE"""),"Produto final")</f>
        <v>Produto final</v>
      </c>
      <c r="D172" s="3">
        <f>IFERROR(__xludf.DUMMYFUNCTION("""COMPUTED_VALUE"""),1.0)</f>
        <v>1</v>
      </c>
      <c r="E172" s="3" t="str">
        <f>IFERROR(__xludf.DUMMYFUNCTION("""COMPUTED_VALUE"""),"Cliente")</f>
        <v>Cliente</v>
      </c>
      <c r="F172" s="3" t="str">
        <f>IFERROR(__xludf.DUMMYFUNCTION("""COMPUTED_VALUE"""),"clinte")</f>
        <v>clinte</v>
      </c>
      <c r="G172" s="3" t="str">
        <f>IFERROR(__xludf.DUMMYFUNCTION("""COMPUTED_VALUE"""),"falou estava muito  asindo")</f>
        <v>falou estava muito  asindo</v>
      </c>
    </row>
    <row r="173">
      <c r="A173" s="2">
        <f>IFERROR(__xludf.DUMMYFUNCTION("""COMPUTED_VALUE"""),45730.0)</f>
        <v>45730</v>
      </c>
      <c r="B173" s="3" t="str">
        <f>IFERROR(__xludf.DUMMYFUNCTION("""COMPUTED_VALUE"""),"suco marango")</f>
        <v>suco marango</v>
      </c>
      <c r="C173" s="3" t="str">
        <f>IFERROR(__xludf.DUMMYFUNCTION("""COMPUTED_VALUE"""),"Produto final")</f>
        <v>Produto final</v>
      </c>
      <c r="D173" s="3">
        <f>IFERROR(__xludf.DUMMYFUNCTION("""COMPUTED_VALUE"""),1.0)</f>
        <v>1</v>
      </c>
      <c r="E173" s="3" t="str">
        <f>IFERROR(__xludf.DUMMYFUNCTION("""COMPUTED_VALUE"""),"Erro de processo")</f>
        <v>Erro de processo</v>
      </c>
      <c r="F173" s="3" t="str">
        <f>IFERROR(__xludf.DUMMYFUNCTION("""COMPUTED_VALUE"""),"Maria Eduarda")</f>
        <v>Maria Eduarda</v>
      </c>
      <c r="G173" s="3" t="str">
        <f>IFERROR(__xludf.DUMMYFUNCTION("""COMPUTED_VALUE"""),"fez errado era com leite  ela fez com agua")</f>
        <v>fez errado era com leite  ela fez com agua</v>
      </c>
    </row>
    <row r="174">
      <c r="A174" s="2">
        <f>IFERROR(__xludf.DUMMYFUNCTION("""COMPUTED_VALUE"""),45730.0)</f>
        <v>45730</v>
      </c>
      <c r="B174" s="3" t="str">
        <f>IFERROR(__xludf.DUMMYFUNCTION("""COMPUTED_VALUE"""),"cha")</f>
        <v>cha</v>
      </c>
      <c r="C174" s="3" t="str">
        <f>IFERROR(__xludf.DUMMYFUNCTION("""COMPUTED_VALUE"""),"Produto final")</f>
        <v>Produto final</v>
      </c>
      <c r="D174" s="3">
        <f>IFERROR(__xludf.DUMMYFUNCTION("""COMPUTED_VALUE"""),1.0)</f>
        <v>1</v>
      </c>
      <c r="E174" s="3" t="str">
        <f>IFERROR(__xludf.DUMMYFUNCTION("""COMPUTED_VALUE"""),"Cliente")</f>
        <v>Cliente</v>
      </c>
      <c r="F174" s="3" t="str">
        <f>IFERROR(__xludf.DUMMYFUNCTION("""COMPUTED_VALUE"""),"edina")</f>
        <v>edina</v>
      </c>
      <c r="G174" s="3" t="str">
        <f>IFERROR(__xludf.DUMMYFUNCTION("""COMPUTED_VALUE"""),"devolve cha porque era junto com croissant")</f>
        <v>devolve cha porque era junto com croissant</v>
      </c>
    </row>
    <row r="175">
      <c r="A175" s="2">
        <f>IFERROR(__xludf.DUMMYFUNCTION("""COMPUTED_VALUE"""),45730.0)</f>
        <v>45730</v>
      </c>
      <c r="B175" s="3" t="str">
        <f>IFERROR(__xludf.DUMMYFUNCTION("""COMPUTED_VALUE"""),"tostex croissant")</f>
        <v>tostex croissant</v>
      </c>
      <c r="C175" s="3" t="str">
        <f>IFERROR(__xludf.DUMMYFUNCTION("""COMPUTED_VALUE"""),"Produto final")</f>
        <v>Produto final</v>
      </c>
      <c r="D175" s="3">
        <f>IFERROR(__xludf.DUMMYFUNCTION("""COMPUTED_VALUE"""),1.0)</f>
        <v>1</v>
      </c>
      <c r="E175" s="3" t="str">
        <f>IFERROR(__xludf.DUMMYFUNCTION("""COMPUTED_VALUE"""),"Cliente")</f>
        <v>Cliente</v>
      </c>
      <c r="F175" s="3" t="str">
        <f>IFERROR(__xludf.DUMMYFUNCTION("""COMPUTED_VALUE"""),"edina")</f>
        <v>edina</v>
      </c>
      <c r="G175" s="3" t="str">
        <f>IFERROR(__xludf.DUMMYFUNCTION("""COMPUTED_VALUE"""),"devolve porque falou achou 1 cabelo")</f>
        <v>devolve porque falou achou 1 cabelo</v>
      </c>
    </row>
    <row r="176">
      <c r="A176" s="2">
        <f>IFERROR(__xludf.DUMMYFUNCTION("""COMPUTED_VALUE"""),45733.0)</f>
        <v>45733</v>
      </c>
      <c r="B176" s="3" t="str">
        <f>IFERROR(__xludf.DUMMYFUNCTION("""COMPUTED_VALUE"""),"Café Orgânico")</f>
        <v>Café Orgânico</v>
      </c>
      <c r="C176" s="3" t="str">
        <f>IFERROR(__xludf.DUMMYFUNCTION("""COMPUTED_VALUE"""),"Produto final")</f>
        <v>Produto final</v>
      </c>
      <c r="D176" s="3" t="str">
        <f>IFERROR(__xludf.DUMMYFUNCTION("""COMPUTED_VALUE"""),"129gr")</f>
        <v>129gr</v>
      </c>
      <c r="E176" s="3" t="str">
        <f>IFERROR(__xludf.DUMMYFUNCTION("""COMPUTED_VALUE"""),"Venceu (Validade)")</f>
        <v>Venceu (Validade)</v>
      </c>
      <c r="F176" s="3" t="str">
        <f>IFERROR(__xludf.DUMMYFUNCTION("""COMPUTED_VALUE"""),"Alex")</f>
        <v>Alex</v>
      </c>
      <c r="G176" s="3" t="str">
        <f>IFERROR(__xludf.DUMMYFUNCTION("""COMPUTED_VALUE"""),"Vencido (Estava aberto para métodos).")</f>
        <v>Vencido (Estava aberto para métodos).</v>
      </c>
    </row>
    <row r="177">
      <c r="A177" s="2">
        <f>IFERROR(__xludf.DUMMYFUNCTION("""COMPUTED_VALUE"""),45733.0)</f>
        <v>45733</v>
      </c>
      <c r="B177" s="3" t="str">
        <f>IFERROR(__xludf.DUMMYFUNCTION("""COMPUTED_VALUE"""),"Cheescake")</f>
        <v>Cheescake</v>
      </c>
      <c r="C177" s="3" t="str">
        <f>IFERROR(__xludf.DUMMYFUNCTION("""COMPUTED_VALUE"""),"Produto final")</f>
        <v>Produto final</v>
      </c>
      <c r="D177" s="3">
        <f>IFERROR(__xludf.DUMMYFUNCTION("""COMPUTED_VALUE"""),1.0)</f>
        <v>1</v>
      </c>
      <c r="E177" s="3" t="str">
        <f>IFERROR(__xludf.DUMMYFUNCTION("""COMPUTED_VALUE"""),"Venceu (Validade)")</f>
        <v>Venceu (Validade)</v>
      </c>
      <c r="F177" s="3" t="str">
        <f>IFERROR(__xludf.DUMMYFUNCTION("""COMPUTED_VALUE"""),"Paulo")</f>
        <v>Paulo</v>
      </c>
      <c r="G177" s="3" t="str">
        <f>IFERROR(__xludf.DUMMYFUNCTION("""COMPUTED_VALUE"""),"Cliente devolveu alegando que estava dura. De fato estava.")</f>
        <v>Cliente devolveu alegando que estava dura. De fato estava.</v>
      </c>
    </row>
    <row r="178">
      <c r="A178" s="2">
        <f>IFERROR(__xludf.DUMMYFUNCTION("""COMPUTED_VALUE"""),45734.0)</f>
        <v>45734</v>
      </c>
      <c r="B178" s="3" t="str">
        <f>IFERROR(__xludf.DUMMYFUNCTION("""COMPUTED_VALUE"""),"suco de laranja")</f>
        <v>suco de laranja</v>
      </c>
      <c r="C178" s="3" t="str">
        <f>IFERROR(__xludf.DUMMYFUNCTION("""COMPUTED_VALUE"""),"Produto final")</f>
        <v>Produto final</v>
      </c>
      <c r="D178" s="3">
        <f>IFERROR(__xludf.DUMMYFUNCTION("""COMPUTED_VALUE"""),1.0)</f>
        <v>1</v>
      </c>
      <c r="E178" s="3" t="str">
        <f>IFERROR(__xludf.DUMMYFUNCTION("""COMPUTED_VALUE"""),"Erro de processo")</f>
        <v>Erro de processo</v>
      </c>
      <c r="F178" s="3" t="str">
        <f>IFERROR(__xludf.DUMMYFUNCTION("""COMPUTED_VALUE"""),"francisca")</f>
        <v>francisca</v>
      </c>
      <c r="G178" s="3" t="str">
        <f>IFERROR(__xludf.DUMMYFUNCTION("""COMPUTED_VALUE"""),"copo estava sujo cliente quis trocar")</f>
        <v>copo estava sujo cliente quis trocar</v>
      </c>
    </row>
    <row r="179">
      <c r="A179" s="2">
        <f>IFERROR(__xludf.DUMMYFUNCTION("""COMPUTED_VALUE"""),45734.0)</f>
        <v>45734</v>
      </c>
      <c r="B179" s="3" t="str">
        <f>IFERROR(__xludf.DUMMYFUNCTION("""COMPUTED_VALUE"""),"avela duplo")</f>
        <v>avela duplo</v>
      </c>
      <c r="C179" s="3" t="str">
        <f>IFERROR(__xludf.DUMMYFUNCTION("""COMPUTED_VALUE"""),"Produto final")</f>
        <v>Produto final</v>
      </c>
      <c r="D179" s="3">
        <f>IFERROR(__xludf.DUMMYFUNCTION("""COMPUTED_VALUE"""),1.0)</f>
        <v>1</v>
      </c>
      <c r="E179" s="3" t="str">
        <f>IFERROR(__xludf.DUMMYFUNCTION("""COMPUTED_VALUE"""),"Lançamento errado")</f>
        <v>Lançamento errado</v>
      </c>
      <c r="F179" s="3" t="str">
        <f>IFERROR(__xludf.DUMMYFUNCTION("""COMPUTED_VALUE"""),"edina")</f>
        <v>edina</v>
      </c>
      <c r="G179" s="3" t="str">
        <f>IFERROR(__xludf.DUMMYFUNCTION("""COMPUTED_VALUE"""),"lancou errado")</f>
        <v>lancou errado</v>
      </c>
    </row>
    <row r="180">
      <c r="A180" s="2">
        <f>IFERROR(__xludf.DUMMYFUNCTION("""COMPUTED_VALUE"""),45734.0)</f>
        <v>45734</v>
      </c>
      <c r="B180" s="3" t="str">
        <f>IFERROR(__xludf.DUMMYFUNCTION("""COMPUTED_VALUE"""),"bolo de maça")</f>
        <v>bolo de maça</v>
      </c>
      <c r="C180" s="3" t="str">
        <f>IFERROR(__xludf.DUMMYFUNCTION("""COMPUTED_VALUE"""),"Produto final")</f>
        <v>Produto final</v>
      </c>
      <c r="D180" s="3">
        <f>IFERROR(__xludf.DUMMYFUNCTION("""COMPUTED_VALUE"""),1.0)</f>
        <v>1</v>
      </c>
      <c r="E180" s="3" t="str">
        <f>IFERROR(__xludf.DUMMYFUNCTION("""COMPUTED_VALUE"""),"Erro de processo")</f>
        <v>Erro de processo</v>
      </c>
      <c r="F180" s="3" t="str">
        <f>IFERROR(__xludf.DUMMYFUNCTION("""COMPUTED_VALUE"""),"edina")</f>
        <v>edina</v>
      </c>
      <c r="G180" s="3" t="str">
        <f>IFERROR(__xludf.DUMMYFUNCTION("""COMPUTED_VALUE"""),"quebrou ao cortar")</f>
        <v>quebrou ao cortar</v>
      </c>
    </row>
    <row r="181">
      <c r="A181" s="2">
        <f>IFERROR(__xludf.DUMMYFUNCTION("""COMPUTED_VALUE"""),45734.0)</f>
        <v>45734</v>
      </c>
      <c r="B181" s="3" t="str">
        <f>IFERROR(__xludf.DUMMYFUNCTION("""COMPUTED_VALUE"""),"bolo tapioca")</f>
        <v>bolo tapioca</v>
      </c>
      <c r="C181" s="3" t="str">
        <f>IFERROR(__xludf.DUMMYFUNCTION("""COMPUTED_VALUE"""),"Produto final")</f>
        <v>Produto final</v>
      </c>
      <c r="D181" s="3">
        <f>IFERROR(__xludf.DUMMYFUNCTION("""COMPUTED_VALUE"""),1.0)</f>
        <v>1</v>
      </c>
      <c r="E181" s="3" t="str">
        <f>IFERROR(__xludf.DUMMYFUNCTION("""COMPUTED_VALUE"""),"Venceu (Validade)")</f>
        <v>Venceu (Validade)</v>
      </c>
      <c r="F181" s="3" t="str">
        <f>IFERROR(__xludf.DUMMYFUNCTION("""COMPUTED_VALUE"""),"Marilene")</f>
        <v>Marilene</v>
      </c>
      <c r="G181" s="3" t="str">
        <f>IFERROR(__xludf.DUMMYFUNCTION("""COMPUTED_VALUE"""),"estava muito duro na geladeira")</f>
        <v>estava muito duro na geladeira</v>
      </c>
    </row>
    <row r="182">
      <c r="A182" s="2">
        <f>IFERROR(__xludf.DUMMYFUNCTION("""COMPUTED_VALUE"""),45734.0)</f>
        <v>45734</v>
      </c>
      <c r="B182" s="3" t="str">
        <f>IFERROR(__xludf.DUMMYFUNCTION("""COMPUTED_VALUE"""),"Tapioca Margerita")</f>
        <v>Tapioca Margerita</v>
      </c>
      <c r="C182" s="3" t="str">
        <f>IFERROR(__xludf.DUMMYFUNCTION("""COMPUTED_VALUE"""),"Produto final")</f>
        <v>Produto final</v>
      </c>
      <c r="D182" s="3">
        <f>IFERROR(__xludf.DUMMYFUNCTION("""COMPUTED_VALUE"""),1.0)</f>
        <v>1</v>
      </c>
      <c r="E182" s="3" t="str">
        <f>IFERROR(__xludf.DUMMYFUNCTION("""COMPUTED_VALUE"""),"Cliente")</f>
        <v>Cliente</v>
      </c>
      <c r="F182" s="3" t="str">
        <f>IFERROR(__xludf.DUMMYFUNCTION("""COMPUTED_VALUE"""),"jonata")</f>
        <v>jonata</v>
      </c>
      <c r="G182" s="3" t="str">
        <f>IFERROR(__xludf.DUMMYFUNCTION("""COMPUTED_VALUE"""),"cliente falou tinha pouco recheio e era pouco a massa")</f>
        <v>cliente falou tinha pouco recheio e era pouco a massa</v>
      </c>
    </row>
    <row r="183">
      <c r="A183" s="2">
        <f>IFERROR(__xludf.DUMMYFUNCTION("""COMPUTED_VALUE"""),45735.0)</f>
        <v>45735</v>
      </c>
      <c r="B183" s="3" t="str">
        <f>IFERROR(__xludf.DUMMYFUNCTION("""COMPUTED_VALUE"""),"Prensa Francesa")</f>
        <v>Prensa Francesa</v>
      </c>
      <c r="C183" s="3" t="str">
        <f>IFERROR(__xludf.DUMMYFUNCTION("""COMPUTED_VALUE"""),"Utensílio")</f>
        <v>Utensílio</v>
      </c>
      <c r="D183" s="3">
        <f>IFERROR(__xludf.DUMMYFUNCTION("""COMPUTED_VALUE"""),1.0)</f>
        <v>1</v>
      </c>
      <c r="E183" s="3" t="str">
        <f>IFERROR(__xludf.DUMMYFUNCTION("""COMPUTED_VALUE"""),"Quebra")</f>
        <v>Quebra</v>
      </c>
      <c r="F183" s="3" t="str">
        <f>IFERROR(__xludf.DUMMYFUNCTION("""COMPUTED_VALUE"""),"Ana Julia")</f>
        <v>Ana Julia</v>
      </c>
      <c r="G183" s="3" t="str">
        <f>IFERROR(__xludf.DUMMYFUNCTION("""COMPUTED_VALUE"""),"Quebrou durante lavagem do acessório")</f>
        <v>Quebrou durante lavagem do acessório</v>
      </c>
    </row>
    <row r="184">
      <c r="A184" s="2">
        <f>IFERROR(__xludf.DUMMYFUNCTION("""COMPUTED_VALUE"""),45735.0)</f>
        <v>45735</v>
      </c>
      <c r="B184" s="3" t="str">
        <f>IFERROR(__xludf.DUMMYFUNCTION("""COMPUTED_VALUE"""),"Croissant")</f>
        <v>Croissant</v>
      </c>
      <c r="C184" s="3" t="str">
        <f>IFERROR(__xludf.DUMMYFUNCTION("""COMPUTED_VALUE"""),"Produto final")</f>
        <v>Produto final</v>
      </c>
      <c r="D184" s="3">
        <f>IFERROR(__xludf.DUMMYFUNCTION("""COMPUTED_VALUE"""),4.0)</f>
        <v>4</v>
      </c>
      <c r="E184" s="3" t="str">
        <f>IFERROR(__xludf.DUMMYFUNCTION("""COMPUTED_VALUE"""),"Outro")</f>
        <v>Outro</v>
      </c>
      <c r="F184" s="3" t="str">
        <f>IFERROR(__xludf.DUMMYFUNCTION("""COMPUTED_VALUE"""),"Fernando")</f>
        <v>Fernando</v>
      </c>
      <c r="G184" s="3" t="str">
        <f>IFERROR(__xludf.DUMMYFUNCTION("""COMPUTED_VALUE"""),"Croissant não desenvolveu (ficou pequeno).")</f>
        <v>Croissant não desenvolveu (ficou pequeno).</v>
      </c>
    </row>
    <row r="185">
      <c r="A185" s="2">
        <f>IFERROR(__xludf.DUMMYFUNCTION("""COMPUTED_VALUE"""),45736.0)</f>
        <v>45736</v>
      </c>
      <c r="B185" s="3" t="str">
        <f>IFERROR(__xludf.DUMMYFUNCTION("""COMPUTED_VALUE"""),"Coxinha Crispy")</f>
        <v>Coxinha Crispy</v>
      </c>
      <c r="C185" s="3" t="str">
        <f>IFERROR(__xludf.DUMMYFUNCTION("""COMPUTED_VALUE"""),"Produto final")</f>
        <v>Produto final</v>
      </c>
      <c r="D185" s="3">
        <f>IFERROR(__xludf.DUMMYFUNCTION("""COMPUTED_VALUE"""),2.0)</f>
        <v>2</v>
      </c>
      <c r="E185" s="3" t="str">
        <f>IFERROR(__xludf.DUMMYFUNCTION("""COMPUTED_VALUE"""),"Erro de processo")</f>
        <v>Erro de processo</v>
      </c>
      <c r="F185" s="3" t="str">
        <f>IFERROR(__xludf.DUMMYFUNCTION("""COMPUTED_VALUE"""),"marilene")</f>
        <v>marilene</v>
      </c>
      <c r="G185" s="3" t="str">
        <f>IFERROR(__xludf.DUMMYFUNCTION("""COMPUTED_VALUE"""),"estava mal armazedada estava todas quebrada na gelada")</f>
        <v>estava mal armazedada estava todas quebrada na gelada</v>
      </c>
    </row>
    <row r="186">
      <c r="A186" s="2">
        <f>IFERROR(__xludf.DUMMYFUNCTION("""COMPUTED_VALUE"""),45737.0)</f>
        <v>45737</v>
      </c>
      <c r="B186" s="3" t="str">
        <f>IFERROR(__xludf.DUMMYFUNCTION("""COMPUTED_VALUE"""),"copo xote")</f>
        <v>copo xote</v>
      </c>
      <c r="C186" s="3" t="str">
        <f>IFERROR(__xludf.DUMMYFUNCTION("""COMPUTED_VALUE"""),"Utensílio")</f>
        <v>Utensílio</v>
      </c>
      <c r="D186" s="3">
        <f>IFERROR(__xludf.DUMMYFUNCTION("""COMPUTED_VALUE"""),2.0)</f>
        <v>2</v>
      </c>
      <c r="E186" s="3" t="str">
        <f>IFERROR(__xludf.DUMMYFUNCTION("""COMPUTED_VALUE"""),"Quebra")</f>
        <v>Quebra</v>
      </c>
      <c r="F186" s="3" t="str">
        <f>IFERROR(__xludf.DUMMYFUNCTION("""COMPUTED_VALUE"""),"Patrícia")</f>
        <v>Patrícia</v>
      </c>
      <c r="G186" s="3" t="str">
        <f>IFERROR(__xludf.DUMMYFUNCTION("""COMPUTED_VALUE"""),"deixou cair au coloca na maquina")</f>
        <v>deixou cair au coloca na maquina</v>
      </c>
    </row>
    <row r="187">
      <c r="A187" s="2">
        <f>IFERROR(__xludf.DUMMYFUNCTION("""COMPUTED_VALUE"""),45737.0)</f>
        <v>45737</v>
      </c>
      <c r="B187" s="3" t="str">
        <f>IFERROR(__xludf.DUMMYFUNCTION("""COMPUTED_VALUE"""),"xicara grande")</f>
        <v>xicara grande</v>
      </c>
      <c r="C187" s="3" t="str">
        <f>IFERROR(__xludf.DUMMYFUNCTION("""COMPUTED_VALUE"""),"Utensílio")</f>
        <v>Utensílio</v>
      </c>
      <c r="D187" s="3">
        <f>IFERROR(__xludf.DUMMYFUNCTION("""COMPUTED_VALUE"""),1.0)</f>
        <v>1</v>
      </c>
      <c r="E187" s="3" t="str">
        <f>IFERROR(__xludf.DUMMYFUNCTION("""COMPUTED_VALUE"""),"Quebra")</f>
        <v>Quebra</v>
      </c>
      <c r="F187" s="3" t="str">
        <f>IFERROR(__xludf.DUMMYFUNCTION("""COMPUTED_VALUE"""),"Patrícia")</f>
        <v>Patrícia</v>
      </c>
      <c r="G187" s="3" t="str">
        <f>IFERROR(__xludf.DUMMYFUNCTION("""COMPUTED_VALUE"""),"deixou cair au coloca na maquina")</f>
        <v>deixou cair au coloca na maquina</v>
      </c>
    </row>
    <row r="188">
      <c r="A188" s="2">
        <f>IFERROR(__xludf.DUMMYFUNCTION("""COMPUTED_VALUE"""),45737.0)</f>
        <v>45737</v>
      </c>
      <c r="B188" s="3" t="str">
        <f>IFERROR(__xludf.DUMMYFUNCTION("""COMPUTED_VALUE"""),"pire pequeno")</f>
        <v>pire pequeno</v>
      </c>
      <c r="C188" s="3" t="str">
        <f>IFERROR(__xludf.DUMMYFUNCTION("""COMPUTED_VALUE"""),"Utensílio")</f>
        <v>Utensílio</v>
      </c>
      <c r="D188" s="3">
        <f>IFERROR(__xludf.DUMMYFUNCTION("""COMPUTED_VALUE"""),1.0)</f>
        <v>1</v>
      </c>
      <c r="E188" s="3" t="str">
        <f>IFERROR(__xludf.DUMMYFUNCTION("""COMPUTED_VALUE"""),"Quebra")</f>
        <v>Quebra</v>
      </c>
      <c r="F188" s="3" t="str">
        <f>IFERROR(__xludf.DUMMYFUNCTION("""COMPUTED_VALUE"""),"Patrícia")</f>
        <v>Patrícia</v>
      </c>
      <c r="G188" s="3" t="str">
        <f>IFERROR(__xludf.DUMMYFUNCTION("""COMPUTED_VALUE"""),"deixou cair au coloca na maquina")</f>
        <v>deixou cair au coloca na maquina</v>
      </c>
    </row>
    <row r="189">
      <c r="A189" s="2">
        <f>IFERROR(__xludf.DUMMYFUNCTION("""COMPUTED_VALUE"""),45737.0)</f>
        <v>45737</v>
      </c>
      <c r="B189" s="3" t="str">
        <f>IFERROR(__xludf.DUMMYFUNCTION("""COMPUTED_VALUE"""),"pire grande")</f>
        <v>pire grande</v>
      </c>
      <c r="C189" s="3" t="str">
        <f>IFERROR(__xludf.DUMMYFUNCTION("""COMPUTED_VALUE"""),"Utensílio")</f>
        <v>Utensílio</v>
      </c>
      <c r="D189" s="3">
        <f>IFERROR(__xludf.DUMMYFUNCTION("""COMPUTED_VALUE"""),1.0)</f>
        <v>1</v>
      </c>
      <c r="E189" s="3" t="str">
        <f>IFERROR(__xludf.DUMMYFUNCTION("""COMPUTED_VALUE"""),"Quebra")</f>
        <v>Quebra</v>
      </c>
      <c r="F189" s="3" t="str">
        <f>IFERROR(__xludf.DUMMYFUNCTION("""COMPUTED_VALUE"""),"Patrícia")</f>
        <v>Patrícia</v>
      </c>
      <c r="G189" s="3" t="str">
        <f>IFERROR(__xludf.DUMMYFUNCTION("""COMPUTED_VALUE"""),"deixou cair au coloca na maquina")</f>
        <v>deixou cair au coloca na maquina</v>
      </c>
    </row>
    <row r="190">
      <c r="A190" s="2">
        <f>IFERROR(__xludf.DUMMYFUNCTION("""COMPUTED_VALUE"""),45737.0)</f>
        <v>45737</v>
      </c>
      <c r="B190" s="3" t="str">
        <f>IFERROR(__xludf.DUMMYFUNCTION("""COMPUTED_VALUE"""),"Prato médio Gourmet")</f>
        <v>Prato médio Gourmet</v>
      </c>
      <c r="C190" s="3" t="str">
        <f>IFERROR(__xludf.DUMMYFUNCTION("""COMPUTED_VALUE"""),"Utensílio")</f>
        <v>Utensílio</v>
      </c>
      <c r="D190" s="3">
        <f>IFERROR(__xludf.DUMMYFUNCTION("""COMPUTED_VALUE"""),1.0)</f>
        <v>1</v>
      </c>
      <c r="E190" s="3" t="str">
        <f>IFERROR(__xludf.DUMMYFUNCTION("""COMPUTED_VALUE"""),"Quebra")</f>
        <v>Quebra</v>
      </c>
      <c r="F190" s="3" t="str">
        <f>IFERROR(__xludf.DUMMYFUNCTION("""COMPUTED_VALUE"""),"Patrícia")</f>
        <v>Patrícia</v>
      </c>
      <c r="G190" s="3" t="str">
        <f>IFERROR(__xludf.DUMMYFUNCTION("""COMPUTED_VALUE"""),"deixou cair au coloca na maquina")</f>
        <v>deixou cair au coloca na maquina</v>
      </c>
    </row>
    <row r="191">
      <c r="A191" s="2">
        <f>IFERROR(__xludf.DUMMYFUNCTION("""COMPUTED_VALUE"""),45737.0)</f>
        <v>45737</v>
      </c>
      <c r="B191" s="3" t="str">
        <f>IFERROR(__xludf.DUMMYFUNCTION("""COMPUTED_VALUE"""),"Copo Grande")</f>
        <v>Copo Grande</v>
      </c>
      <c r="C191" s="3" t="str">
        <f>IFERROR(__xludf.DUMMYFUNCTION("""COMPUTED_VALUE"""),"Utensílio")</f>
        <v>Utensílio</v>
      </c>
      <c r="D191" s="3">
        <f>IFERROR(__xludf.DUMMYFUNCTION("""COMPUTED_VALUE"""),1.0)</f>
        <v>1</v>
      </c>
      <c r="E191" s="3" t="str">
        <f>IFERROR(__xludf.DUMMYFUNCTION("""COMPUTED_VALUE"""),"Quebra")</f>
        <v>Quebra</v>
      </c>
      <c r="F191" s="3" t="str">
        <f>IFERROR(__xludf.DUMMYFUNCTION("""COMPUTED_VALUE"""),"Patrícia")</f>
        <v>Patrícia</v>
      </c>
      <c r="G191" s="3" t="str">
        <f>IFERROR(__xludf.DUMMYFUNCTION("""COMPUTED_VALUE"""),"deixou cair au coloca na maquina")</f>
        <v>deixou cair au coloca na maquina</v>
      </c>
    </row>
    <row r="192">
      <c r="A192" s="2">
        <f>IFERROR(__xludf.DUMMYFUNCTION("""COMPUTED_VALUE"""),45737.0)</f>
        <v>45737</v>
      </c>
      <c r="B192" s="3" t="str">
        <f>IFERROR(__xludf.DUMMYFUNCTION("""COMPUTED_VALUE"""),"alfce")</f>
        <v>alfce</v>
      </c>
      <c r="C192" s="3" t="str">
        <f>IFERROR(__xludf.DUMMYFUNCTION("""COMPUTED_VALUE"""),"Hortifruti")</f>
        <v>Hortifruti</v>
      </c>
      <c r="D192" s="3" t="str">
        <f>IFERROR(__xludf.DUMMYFUNCTION("""COMPUTED_VALUE"""),"116g")</f>
        <v>116g</v>
      </c>
      <c r="E192" s="3" t="str">
        <f>IFERROR(__xludf.DUMMYFUNCTION("""COMPUTED_VALUE"""),"Venceu (Validade)")</f>
        <v>Venceu (Validade)</v>
      </c>
      <c r="F192" s="3" t="str">
        <f>IFERROR(__xludf.DUMMYFUNCTION("""COMPUTED_VALUE"""),"Patrícia")</f>
        <v>Patrícia</v>
      </c>
      <c r="G192" s="3" t="str">
        <f>IFERROR(__xludf.DUMMYFUNCTION("""COMPUTED_VALUE"""),"venceu validade")</f>
        <v>venceu validade</v>
      </c>
    </row>
    <row r="193">
      <c r="A193" s="2">
        <f>IFERROR(__xludf.DUMMYFUNCTION("""COMPUTED_VALUE"""),45737.0)</f>
        <v>45737</v>
      </c>
      <c r="B193" s="3" t="str">
        <f>IFERROR(__xludf.DUMMYFUNCTION("""COMPUTED_VALUE"""),"rucula")</f>
        <v>rucula</v>
      </c>
      <c r="C193" s="3" t="str">
        <f>IFERROR(__xludf.DUMMYFUNCTION("""COMPUTED_VALUE"""),"Insumos")</f>
        <v>Insumos</v>
      </c>
      <c r="D193" s="3" t="str">
        <f>IFERROR(__xludf.DUMMYFUNCTION("""COMPUTED_VALUE"""),"70g")</f>
        <v>70g</v>
      </c>
      <c r="E193" s="3" t="str">
        <f>IFERROR(__xludf.DUMMYFUNCTION("""COMPUTED_VALUE"""),"Venceu (Validade)")</f>
        <v>Venceu (Validade)</v>
      </c>
      <c r="F193" s="3" t="str">
        <f>IFERROR(__xludf.DUMMYFUNCTION("""COMPUTED_VALUE"""),"Patrícia")</f>
        <v>Patrícia</v>
      </c>
      <c r="G193" s="3" t="str">
        <f>IFERROR(__xludf.DUMMYFUNCTION("""COMPUTED_VALUE"""),"venceu validade")</f>
        <v>venceu validade</v>
      </c>
    </row>
    <row r="194">
      <c r="A194" s="2">
        <f>IFERROR(__xludf.DUMMYFUNCTION("""COMPUTED_VALUE"""),45737.0)</f>
        <v>45737</v>
      </c>
      <c r="B194" s="3" t="str">
        <f>IFERROR(__xludf.DUMMYFUNCTION("""COMPUTED_VALUE"""),"Porção pão de queijo (unidade)")</f>
        <v>Porção pão de queijo (unidade)</v>
      </c>
      <c r="C194" s="3" t="str">
        <f>IFERROR(__xludf.DUMMYFUNCTION("""COMPUTED_VALUE"""),"Produto final")</f>
        <v>Produto final</v>
      </c>
      <c r="D194" s="3">
        <f>IFERROR(__xludf.DUMMYFUNCTION("""COMPUTED_VALUE"""),22.0)</f>
        <v>22</v>
      </c>
      <c r="E194" s="3" t="str">
        <f>IFERROR(__xludf.DUMMYFUNCTION("""COMPUTED_VALUE"""),"Venceu (Validade)")</f>
        <v>Venceu (Validade)</v>
      </c>
      <c r="F194" s="3" t="str">
        <f>IFERROR(__xludf.DUMMYFUNCTION("""COMPUTED_VALUE"""),"Marilene")</f>
        <v>Marilene</v>
      </c>
      <c r="G194" s="3" t="str">
        <f>IFERROR(__xludf.DUMMYFUNCTION("""COMPUTED_VALUE"""),"venceu validade")</f>
        <v>venceu validade</v>
      </c>
    </row>
    <row r="195">
      <c r="A195" s="2">
        <f>IFERROR(__xludf.DUMMYFUNCTION("""COMPUTED_VALUE"""),45738.0)</f>
        <v>45738</v>
      </c>
      <c r="B195" s="3" t="str">
        <f>IFERROR(__xludf.DUMMYFUNCTION("""COMPUTED_VALUE"""),"Copo shot")</f>
        <v>Copo shot</v>
      </c>
      <c r="C195" s="3" t="str">
        <f>IFERROR(__xludf.DUMMYFUNCTION("""COMPUTED_VALUE"""),"Utensílio")</f>
        <v>Utensílio</v>
      </c>
      <c r="D195" s="3">
        <f>IFERROR(__xludf.DUMMYFUNCTION("""COMPUTED_VALUE"""),1.0)</f>
        <v>1</v>
      </c>
      <c r="E195" s="3" t="str">
        <f>IFERROR(__xludf.DUMMYFUNCTION("""COMPUTED_VALUE"""),"Quebra")</f>
        <v>Quebra</v>
      </c>
      <c r="F195" s="3" t="str">
        <f>IFERROR(__xludf.DUMMYFUNCTION("""COMPUTED_VALUE"""),"Maria Eduarda")</f>
        <v>Maria Eduarda</v>
      </c>
      <c r="G195" s="3" t="str">
        <f>IFERROR(__xludf.DUMMYFUNCTION("""COMPUTED_VALUE"""),"Deixou cair")</f>
        <v>Deixou cair</v>
      </c>
    </row>
    <row r="196">
      <c r="A196" s="2">
        <f>IFERROR(__xludf.DUMMYFUNCTION("""COMPUTED_VALUE"""),45739.0)</f>
        <v>45739</v>
      </c>
      <c r="B196" s="3" t="str">
        <f>IFERROR(__xludf.DUMMYFUNCTION("""COMPUTED_VALUE"""),"matcha gelado")</f>
        <v>matcha gelado</v>
      </c>
      <c r="C196" s="3" t="str">
        <f>IFERROR(__xludf.DUMMYFUNCTION("""COMPUTED_VALUE"""),"Produto final")</f>
        <v>Produto final</v>
      </c>
      <c r="D196" s="3">
        <f>IFERROR(__xludf.DUMMYFUNCTION("""COMPUTED_VALUE"""),1.0)</f>
        <v>1</v>
      </c>
      <c r="E196" s="3" t="str">
        <f>IFERROR(__xludf.DUMMYFUNCTION("""COMPUTED_VALUE"""),"Cliente")</f>
        <v>Cliente</v>
      </c>
      <c r="F196" s="3" t="str">
        <f>IFERROR(__xludf.DUMMYFUNCTION("""COMPUTED_VALUE"""),"Marilene")</f>
        <v>Marilene</v>
      </c>
      <c r="G196" s="3" t="str">
        <f>IFERROR(__xludf.DUMMYFUNCTION("""COMPUTED_VALUE"""),"cliente falou era rui")</f>
        <v>cliente falou era rui</v>
      </c>
    </row>
    <row r="197">
      <c r="A197" s="2">
        <f>IFERROR(__xludf.DUMMYFUNCTION("""COMPUTED_VALUE"""),45739.0)</f>
        <v>45739</v>
      </c>
      <c r="B197" s="3" t="str">
        <f>IFERROR(__xludf.DUMMYFUNCTION("""COMPUTED_VALUE"""),"Copo shot")</f>
        <v>Copo shot</v>
      </c>
      <c r="C197" s="3" t="str">
        <f>IFERROR(__xludf.DUMMYFUNCTION("""COMPUTED_VALUE"""),"Utensílio")</f>
        <v>Utensílio</v>
      </c>
      <c r="D197" s="3">
        <f>IFERROR(__xludf.DUMMYFUNCTION("""COMPUTED_VALUE"""),1.0)</f>
        <v>1</v>
      </c>
      <c r="E197" s="3" t="str">
        <f>IFERROR(__xludf.DUMMYFUNCTION("""COMPUTED_VALUE"""),"Quebra")</f>
        <v>Quebra</v>
      </c>
      <c r="F197" s="3" t="str">
        <f>IFERROR(__xludf.DUMMYFUNCTION("""COMPUTED_VALUE"""),"Alex")</f>
        <v>Alex</v>
      </c>
      <c r="G197" s="3" t="str">
        <f>IFERROR(__xludf.DUMMYFUNCTION("""COMPUTED_VALUE"""),"deixou cair")</f>
        <v>deixou cair</v>
      </c>
    </row>
    <row r="198">
      <c r="A198" s="2">
        <f>IFERROR(__xludf.DUMMYFUNCTION("""COMPUTED_VALUE"""),45739.0)</f>
        <v>45739</v>
      </c>
      <c r="B198" s="3" t="str">
        <f>IFERROR(__xludf.DUMMYFUNCTION("""COMPUTED_VALUE"""),"pao de quijo u")</f>
        <v>pao de quijo u</v>
      </c>
      <c r="C198" s="3" t="str">
        <f>IFERROR(__xludf.DUMMYFUNCTION("""COMPUTED_VALUE"""),"Produto final")</f>
        <v>Produto final</v>
      </c>
      <c r="D198" s="3">
        <f>IFERROR(__xludf.DUMMYFUNCTION("""COMPUTED_VALUE"""),5.0)</f>
        <v>5</v>
      </c>
      <c r="E198" s="3" t="str">
        <f>IFERROR(__xludf.DUMMYFUNCTION("""COMPUTED_VALUE"""),"Venceu (Validade)")</f>
        <v>Venceu (Validade)</v>
      </c>
      <c r="F198" s="3" t="str">
        <f>IFERROR(__xludf.DUMMYFUNCTION("""COMPUTED_VALUE"""),"Melissa")</f>
        <v>Melissa</v>
      </c>
      <c r="G198" s="3" t="str">
        <f>IFERROR(__xludf.DUMMYFUNCTION("""COMPUTED_VALUE"""),"estava muito duro na geladeira")</f>
        <v>estava muito duro na geladeira</v>
      </c>
    </row>
    <row r="199">
      <c r="A199" s="2">
        <f>IFERROR(__xludf.DUMMYFUNCTION("""COMPUTED_VALUE"""),45741.0)</f>
        <v>45741</v>
      </c>
      <c r="B199" s="3" t="str">
        <f>IFERROR(__xludf.DUMMYFUNCTION("""COMPUTED_VALUE"""),"Quiche Alho poró")</f>
        <v>Quiche Alho poró</v>
      </c>
      <c r="C199" s="3" t="str">
        <f>IFERROR(__xludf.DUMMYFUNCTION("""COMPUTED_VALUE"""),"Produto final")</f>
        <v>Produto final</v>
      </c>
      <c r="D199" s="3">
        <f>IFERROR(__xludf.DUMMYFUNCTION("""COMPUTED_VALUE"""),1.0)</f>
        <v>1</v>
      </c>
      <c r="E199" s="3" t="str">
        <f>IFERROR(__xludf.DUMMYFUNCTION("""COMPUTED_VALUE"""),"Erro de processo")</f>
        <v>Erro de processo</v>
      </c>
      <c r="F199" s="3" t="str">
        <f>IFERROR(__xludf.DUMMYFUNCTION("""COMPUTED_VALUE"""),"Melissa")</f>
        <v>Melissa</v>
      </c>
      <c r="G199" s="3" t="str">
        <f>IFERROR(__xludf.DUMMYFUNCTION("""COMPUTED_VALUE"""),"Quebrou durante manuseio.")</f>
        <v>Quebrou durante manuseio.</v>
      </c>
    </row>
    <row r="200">
      <c r="A200" s="2">
        <f>IFERROR(__xludf.DUMMYFUNCTION("""COMPUTED_VALUE"""),45743.0)</f>
        <v>45743</v>
      </c>
      <c r="B200" s="3" t="str">
        <f>IFERROR(__xludf.DUMMYFUNCTION("""COMPUTED_VALUE"""),"copo de agua")</f>
        <v>copo de agua</v>
      </c>
      <c r="C200" s="3" t="str">
        <f>IFERROR(__xludf.DUMMYFUNCTION("""COMPUTED_VALUE"""),"Utensílio")</f>
        <v>Utensílio</v>
      </c>
      <c r="D200" s="3">
        <f>IFERROR(__xludf.DUMMYFUNCTION("""COMPUTED_VALUE"""),1.0)</f>
        <v>1</v>
      </c>
      <c r="E200" s="3" t="str">
        <f>IFERROR(__xludf.DUMMYFUNCTION("""COMPUTED_VALUE"""),"Quebra")</f>
        <v>Quebra</v>
      </c>
      <c r="F200" s="3" t="str">
        <f>IFERROR(__xludf.DUMMYFUNCTION("""COMPUTED_VALUE"""),"Melissa")</f>
        <v>Melissa</v>
      </c>
      <c r="G200" s="3" t="str">
        <f>IFERROR(__xludf.DUMMYFUNCTION("""COMPUTED_VALUE"""),"deixou cai quando foi guarda")</f>
        <v>deixou cai quando foi guarda</v>
      </c>
    </row>
    <row r="201">
      <c r="A201" s="2">
        <f>IFERROR(__xludf.DUMMYFUNCTION("""COMPUTED_VALUE"""),45745.0)</f>
        <v>45745</v>
      </c>
      <c r="B201" s="3" t="str">
        <f>IFERROR(__xludf.DUMMYFUNCTION("""COMPUTED_VALUE"""),"Croissant misto")</f>
        <v>Croissant misto</v>
      </c>
      <c r="C201" s="3" t="str">
        <f>IFERROR(__xludf.DUMMYFUNCTION("""COMPUTED_VALUE"""),"Produto final")</f>
        <v>Produto final</v>
      </c>
      <c r="D201" s="3">
        <f>IFERROR(__xludf.DUMMYFUNCTION("""COMPUTED_VALUE"""),1.0)</f>
        <v>1</v>
      </c>
      <c r="E201" s="3" t="str">
        <f>IFERROR(__xludf.DUMMYFUNCTION("""COMPUTED_VALUE"""),"Erro de processo")</f>
        <v>Erro de processo</v>
      </c>
      <c r="F201" s="3" t="str">
        <f>IFERROR(__xludf.DUMMYFUNCTION("""COMPUTED_VALUE"""),"Patricia")</f>
        <v>Patricia</v>
      </c>
      <c r="G201" s="3" t="str">
        <f>IFERROR(__xludf.DUMMYFUNCTION("""COMPUTED_VALUE"""),"Deixou cair no chão")</f>
        <v>Deixou cair no chão</v>
      </c>
    </row>
    <row r="202">
      <c r="A202" s="2">
        <f>IFERROR(__xludf.DUMMYFUNCTION("""COMPUTED_VALUE"""),45745.0)</f>
        <v>45745</v>
      </c>
      <c r="B202" s="3" t="str">
        <f>IFERROR(__xludf.DUMMYFUNCTION("""COMPUTED_VALUE"""),"Cappuccino Italiano")</f>
        <v>Cappuccino Italiano</v>
      </c>
      <c r="C202" s="3" t="str">
        <f>IFERROR(__xludf.DUMMYFUNCTION("""COMPUTED_VALUE"""),"Produto final")</f>
        <v>Produto final</v>
      </c>
      <c r="D202" s="3">
        <f>IFERROR(__xludf.DUMMYFUNCTION("""COMPUTED_VALUE"""),1.0)</f>
        <v>1</v>
      </c>
      <c r="E202" s="3" t="str">
        <f>IFERROR(__xludf.DUMMYFUNCTION("""COMPUTED_VALUE"""),"Cliente")</f>
        <v>Cliente</v>
      </c>
      <c r="F202" s="3" t="str">
        <f>IFERROR(__xludf.DUMMYFUNCTION("""COMPUTED_VALUE"""),"Paulo")</f>
        <v>Paulo</v>
      </c>
      <c r="G202" s="3" t="str">
        <f>IFERROR(__xludf.DUMMYFUNCTION("""COMPUTED_VALUE"""),"Cliente não sabia que vinha chocolate e pediu para trocar pelo Lattle Duplo")</f>
        <v>Cliente não sabia que vinha chocolate e pediu para trocar pelo Lattle Duplo</v>
      </c>
    </row>
    <row r="203">
      <c r="A203" s="2">
        <f>IFERROR(__xludf.DUMMYFUNCTION("""COMPUTED_VALUE"""),45745.0)</f>
        <v>45745</v>
      </c>
      <c r="B203" s="3" t="str">
        <f>IFERROR(__xludf.DUMMYFUNCTION("""COMPUTED_VALUE"""),"coado blend")</f>
        <v>coado blend</v>
      </c>
      <c r="C203" s="3" t="str">
        <f>IFERROR(__xludf.DUMMYFUNCTION("""COMPUTED_VALUE"""),"Produto final")</f>
        <v>Produto final</v>
      </c>
      <c r="D203" s="3">
        <f>IFERROR(__xludf.DUMMYFUNCTION("""COMPUTED_VALUE"""),3.0)</f>
        <v>3</v>
      </c>
      <c r="E203" s="3" t="str">
        <f>IFERROR(__xludf.DUMMYFUNCTION("""COMPUTED_VALUE"""),"Cliente")</f>
        <v>Cliente</v>
      </c>
      <c r="F203" s="3" t="str">
        <f>IFERROR(__xludf.DUMMYFUNCTION("""COMPUTED_VALUE"""),"Paulo")</f>
        <v>Paulo</v>
      </c>
      <c r="G203" s="3" t="str">
        <f>IFERROR(__xludf.DUMMYFUNCTION("""COMPUTED_VALUE"""),"cliente achou muito franco e devolve")</f>
        <v>cliente achou muito franco e devolve</v>
      </c>
    </row>
    <row r="204">
      <c r="A204" s="2">
        <f>IFERROR(__xludf.DUMMYFUNCTION("""COMPUTED_VALUE"""),45747.0)</f>
        <v>45747</v>
      </c>
      <c r="B204" s="3" t="str">
        <f>IFERROR(__xludf.DUMMYFUNCTION("""COMPUTED_VALUE"""),"Croissant misto")</f>
        <v>Croissant misto</v>
      </c>
      <c r="C204" s="3" t="str">
        <f>IFERROR(__xludf.DUMMYFUNCTION("""COMPUTED_VALUE"""),"Produto final")</f>
        <v>Produto final</v>
      </c>
      <c r="D204" s="3">
        <f>IFERROR(__xludf.DUMMYFUNCTION("""COMPUTED_VALUE"""),1.0)</f>
        <v>1</v>
      </c>
      <c r="E204" s="3" t="str">
        <f>IFERROR(__xludf.DUMMYFUNCTION("""COMPUTED_VALUE"""),"Erro de processo")</f>
        <v>Erro de processo</v>
      </c>
      <c r="F204" s="3" t="str">
        <f>IFERROR(__xludf.DUMMYFUNCTION("""COMPUTED_VALUE"""),"Michele")</f>
        <v>Michele</v>
      </c>
      <c r="G204" s="3" t="str">
        <f>IFERROR(__xludf.DUMMYFUNCTION("""COMPUTED_VALUE"""),"Deixou cair no chão")</f>
        <v>Deixou cair no chão</v>
      </c>
    </row>
    <row r="205">
      <c r="A205" s="2">
        <f>IFERROR(__xludf.DUMMYFUNCTION("""COMPUTED_VALUE"""),45749.0)</f>
        <v>45749</v>
      </c>
      <c r="B205" s="3" t="str">
        <f>IFERROR(__xludf.DUMMYFUNCTION("""COMPUTED_VALUE"""),"Copo grande")</f>
        <v>Copo grande</v>
      </c>
      <c r="C205" s="3" t="str">
        <f>IFERROR(__xludf.DUMMYFUNCTION("""COMPUTED_VALUE"""),"Utensílio")</f>
        <v>Utensílio</v>
      </c>
      <c r="D205" s="3">
        <f>IFERROR(__xludf.DUMMYFUNCTION("""COMPUTED_VALUE"""),1.0)</f>
        <v>1</v>
      </c>
      <c r="E205" s="3" t="str">
        <f>IFERROR(__xludf.DUMMYFUNCTION("""COMPUTED_VALUE"""),"Quebra")</f>
        <v>Quebra</v>
      </c>
      <c r="F205" s="3" t="str">
        <f>IFERROR(__xludf.DUMMYFUNCTION("""COMPUTED_VALUE"""),"Edna")</f>
        <v>Edna</v>
      </c>
      <c r="G205" s="3" t="str">
        <f>IFERROR(__xludf.DUMMYFUNCTION("""COMPUTED_VALUE"""),"Encontrado quebrado na prateleira de copos")</f>
        <v>Encontrado quebrado na prateleira de copos</v>
      </c>
    </row>
    <row r="206">
      <c r="A206" s="2">
        <f>IFERROR(__xludf.DUMMYFUNCTION("""COMPUTED_VALUE"""),45749.0)</f>
        <v>45749</v>
      </c>
      <c r="B206" s="3" t="str">
        <f>IFERROR(__xludf.DUMMYFUNCTION("""COMPUTED_VALUE"""),"Alface")</f>
        <v>Alface</v>
      </c>
      <c r="C206" s="3" t="str">
        <f>IFERROR(__xludf.DUMMYFUNCTION("""COMPUTED_VALUE"""),"Hortifruti")</f>
        <v>Hortifruti</v>
      </c>
      <c r="D206" s="3" t="str">
        <f>IFERROR(__xludf.DUMMYFUNCTION("""COMPUTED_VALUE"""),"190g")</f>
        <v>190g</v>
      </c>
      <c r="E206" s="3" t="str">
        <f>IFERROR(__xludf.DUMMYFUNCTION("""COMPUTED_VALUE"""),"Venceu (Validade)")</f>
        <v>Venceu (Validade)</v>
      </c>
      <c r="F206" s="3" t="str">
        <f>IFERROR(__xludf.DUMMYFUNCTION("""COMPUTED_VALUE"""),"Patrícia")</f>
        <v>Patrícia</v>
      </c>
      <c r="G206" s="3" t="str">
        <f>IFERROR(__xludf.DUMMYFUNCTION("""COMPUTED_VALUE"""),"Venceu (Folhas queimadas)")</f>
        <v>Venceu (Folhas queimadas)</v>
      </c>
    </row>
    <row r="207">
      <c r="A207" s="2">
        <f>IFERROR(__xludf.DUMMYFUNCTION("""COMPUTED_VALUE"""),45750.0)</f>
        <v>45750</v>
      </c>
      <c r="B207" s="3" t="str">
        <f>IFERROR(__xludf.DUMMYFUNCTION("""COMPUTED_VALUE"""),"banana")</f>
        <v>banana</v>
      </c>
      <c r="C207" s="3" t="str">
        <f>IFERROR(__xludf.DUMMYFUNCTION("""COMPUTED_VALUE"""),"Hortifruti")</f>
        <v>Hortifruti</v>
      </c>
      <c r="D207" s="3" t="str">
        <f>IFERROR(__xludf.DUMMYFUNCTION("""COMPUTED_VALUE"""),"234gr")</f>
        <v>234gr</v>
      </c>
      <c r="E207" s="3" t="str">
        <f>IFERROR(__xludf.DUMMYFUNCTION("""COMPUTED_VALUE"""),"Venceu (Validade)")</f>
        <v>Venceu (Validade)</v>
      </c>
      <c r="F207" s="3" t="str">
        <f>IFERROR(__xludf.DUMMYFUNCTION("""COMPUTED_VALUE"""),"Fernando")</f>
        <v>Fernando</v>
      </c>
      <c r="G207" s="3" t="str">
        <f>IFERROR(__xludf.DUMMYFUNCTION("""COMPUTED_VALUE"""),"Vencida (Com partes pretas)")</f>
        <v>Vencida (Com partes pretas)</v>
      </c>
    </row>
    <row r="208">
      <c r="A208" s="2">
        <f>IFERROR(__xludf.DUMMYFUNCTION("""COMPUTED_VALUE"""),45750.0)</f>
        <v>45750</v>
      </c>
      <c r="B208" s="3" t="str">
        <f>IFERROR(__xludf.DUMMYFUNCTION("""COMPUTED_VALUE"""),"pao de quijo")</f>
        <v>pao de quijo</v>
      </c>
      <c r="C208" s="3" t="str">
        <f>IFERROR(__xludf.DUMMYFUNCTION("""COMPUTED_VALUE"""),"Produto final")</f>
        <v>Produto final</v>
      </c>
      <c r="D208" s="3">
        <f>IFERROR(__xludf.DUMMYFUNCTION("""COMPUTED_VALUE"""),1.0)</f>
        <v>1</v>
      </c>
      <c r="E208" s="3" t="str">
        <f>IFERROR(__xludf.DUMMYFUNCTION("""COMPUTED_VALUE"""),"Erro de processo")</f>
        <v>Erro de processo</v>
      </c>
      <c r="F208" s="3" t="str">
        <f>IFERROR(__xludf.DUMMYFUNCTION("""COMPUTED_VALUE"""),"Francisca")</f>
        <v>Francisca</v>
      </c>
      <c r="G208" s="3" t="str">
        <f>IFERROR(__xludf.DUMMYFUNCTION("""COMPUTED_VALUE"""),"Deixou cair")</f>
        <v>Deixou cair</v>
      </c>
    </row>
    <row r="209">
      <c r="A209" s="2">
        <f>IFERROR(__xludf.DUMMYFUNCTION("""COMPUTED_VALUE"""),45750.0)</f>
        <v>45750</v>
      </c>
      <c r="B209" s="3" t="str">
        <f>IFERROR(__xludf.DUMMYFUNCTION("""COMPUTED_VALUE"""),"Ovo mexido com bacon")</f>
        <v>Ovo mexido com bacon</v>
      </c>
      <c r="C209" s="3" t="str">
        <f>IFERROR(__xludf.DUMMYFUNCTION("""COMPUTED_VALUE"""),"Insumos")</f>
        <v>Insumos</v>
      </c>
      <c r="D209" s="3">
        <f>IFERROR(__xludf.DUMMYFUNCTION("""COMPUTED_VALUE"""),1.0)</f>
        <v>1</v>
      </c>
      <c r="E209" s="3" t="str">
        <f>IFERROR(__xludf.DUMMYFUNCTION("""COMPUTED_VALUE"""),"Erro de processo")</f>
        <v>Erro de processo</v>
      </c>
      <c r="F209" s="3" t="str">
        <f>IFERROR(__xludf.DUMMYFUNCTION("""COMPUTED_VALUE"""),"Jonathan")</f>
        <v>Jonathan</v>
      </c>
      <c r="G209" s="3" t="str">
        <f>IFERROR(__xludf.DUMMYFUNCTION("""COMPUTED_VALUE"""),"Era sem sal ele nao falou")</f>
        <v>Era sem sal ele nao falou</v>
      </c>
    </row>
    <row r="210">
      <c r="A210" s="2">
        <f>IFERROR(__xludf.DUMMYFUNCTION("""COMPUTED_VALUE"""),45751.0)</f>
        <v>45751</v>
      </c>
      <c r="B210" s="3" t="str">
        <f>IFERROR(__xludf.DUMMYFUNCTION("""COMPUTED_VALUE"""),"Matcha Gelado")</f>
        <v>Matcha Gelado</v>
      </c>
      <c r="C210" s="3" t="str">
        <f>IFERROR(__xludf.DUMMYFUNCTION("""COMPUTED_VALUE"""),"Produto final")</f>
        <v>Produto final</v>
      </c>
      <c r="D210" s="3">
        <f>IFERROR(__xludf.DUMMYFUNCTION("""COMPUTED_VALUE"""),1.0)</f>
        <v>1</v>
      </c>
      <c r="E210" s="3" t="str">
        <f>IFERROR(__xludf.DUMMYFUNCTION("""COMPUTED_VALUE"""),"Cliente")</f>
        <v>Cliente</v>
      </c>
      <c r="F210" s="3" t="str">
        <f>IFERROR(__xludf.DUMMYFUNCTION("""COMPUTED_VALUE"""),"Julia")</f>
        <v>Julia</v>
      </c>
      <c r="G210" s="3" t="str">
        <f>IFERROR(__xludf.DUMMYFUNCTION("""COMPUTED_VALUE"""),"Cliente solicitou troca por Shake Nutella porém já estava prontio")</f>
        <v>Cliente solicitou troca por Shake Nutella porém já estava prontio</v>
      </c>
    </row>
    <row r="211">
      <c r="A211" s="2">
        <f>IFERROR(__xludf.DUMMYFUNCTION("""COMPUTED_VALUE"""),45752.0)</f>
        <v>45752</v>
      </c>
      <c r="B211" s="3" t="str">
        <f>IFERROR(__xludf.DUMMYFUNCTION("""COMPUTED_VALUE"""),"Quiche Alho poró")</f>
        <v>Quiche Alho poró</v>
      </c>
      <c r="C211" s="3" t="str">
        <f>IFERROR(__xludf.DUMMYFUNCTION("""COMPUTED_VALUE"""),"Produto final")</f>
        <v>Produto final</v>
      </c>
      <c r="D211" s="3">
        <f>IFERROR(__xludf.DUMMYFUNCTION("""COMPUTED_VALUE"""),2.0)</f>
        <v>2</v>
      </c>
      <c r="E211" s="3" t="str">
        <f>IFERROR(__xludf.DUMMYFUNCTION("""COMPUTED_VALUE"""),"Erro de processo")</f>
        <v>Erro de processo</v>
      </c>
      <c r="F211" s="3" t="str">
        <f>IFERROR(__xludf.DUMMYFUNCTION("""COMPUTED_VALUE"""),"Fernando")</f>
        <v>Fernando</v>
      </c>
      <c r="G211" s="3" t="str">
        <f>IFERROR(__xludf.DUMMYFUNCTION("""COMPUTED_VALUE"""),"Deixou queimar")</f>
        <v>Deixou queimar</v>
      </c>
    </row>
    <row r="212">
      <c r="A212" s="2">
        <f>IFERROR(__xludf.DUMMYFUNCTION("""COMPUTED_VALUE"""),45753.0)</f>
        <v>45753</v>
      </c>
      <c r="B212" s="3" t="str">
        <f>IFERROR(__xludf.DUMMYFUNCTION("""COMPUTED_VALUE"""),"Pires Café p")</f>
        <v>Pires Café p</v>
      </c>
      <c r="C212" s="3" t="str">
        <f>IFERROR(__xludf.DUMMYFUNCTION("""COMPUTED_VALUE"""),"Utensílio")</f>
        <v>Utensílio</v>
      </c>
      <c r="D212" s="3">
        <f>IFERROR(__xludf.DUMMYFUNCTION("""COMPUTED_VALUE"""),2.0)</f>
        <v>2</v>
      </c>
      <c r="E212" s="3" t="str">
        <f>IFERROR(__xludf.DUMMYFUNCTION("""COMPUTED_VALUE"""),"Quebra")</f>
        <v>Quebra</v>
      </c>
      <c r="F212" s="3" t="str">
        <f>IFERROR(__xludf.DUMMYFUNCTION("""COMPUTED_VALUE"""),"Paulo")</f>
        <v>Paulo</v>
      </c>
      <c r="G212" s="3" t="str">
        <f>IFERROR(__xludf.DUMMYFUNCTION("""COMPUTED_VALUE"""),"Deixou cair")</f>
        <v>Deixou cair</v>
      </c>
    </row>
    <row r="213">
      <c r="A213" s="2">
        <f>IFERROR(__xludf.DUMMYFUNCTION("""COMPUTED_VALUE"""),45755.0)</f>
        <v>45755</v>
      </c>
      <c r="B213" s="3" t="str">
        <f>IFERROR(__xludf.DUMMYFUNCTION("""COMPUTED_VALUE"""),"Alface")</f>
        <v>Alface</v>
      </c>
      <c r="C213" s="3" t="str">
        <f>IFERROR(__xludf.DUMMYFUNCTION("""COMPUTED_VALUE"""),"Hortifruti")</f>
        <v>Hortifruti</v>
      </c>
      <c r="D213" s="3" t="str">
        <f>IFERROR(__xludf.DUMMYFUNCTION("""COMPUTED_VALUE"""),"192g")</f>
        <v>192g</v>
      </c>
      <c r="E213" s="3" t="str">
        <f>IFERROR(__xludf.DUMMYFUNCTION("""COMPUTED_VALUE"""),"Venceu (Validade)")</f>
        <v>Venceu (Validade)</v>
      </c>
      <c r="F213" s="3" t="str">
        <f>IFERROR(__xludf.DUMMYFUNCTION("""COMPUTED_VALUE"""),"Patrícia")</f>
        <v>Patrícia</v>
      </c>
      <c r="G213" s="3" t="str">
        <f>IFERROR(__xludf.DUMMYFUNCTION("""COMPUTED_VALUE"""),"Venceu")</f>
        <v>Venceu</v>
      </c>
    </row>
    <row r="214">
      <c r="A214" s="2">
        <f>IFERROR(__xludf.DUMMYFUNCTION("""COMPUTED_VALUE"""),45755.0)</f>
        <v>45755</v>
      </c>
      <c r="B214" s="3" t="str">
        <f>IFERROR(__xludf.DUMMYFUNCTION("""COMPUTED_VALUE"""),"Rúcula")</f>
        <v>Rúcula</v>
      </c>
      <c r="C214" s="3" t="str">
        <f>IFERROR(__xludf.DUMMYFUNCTION("""COMPUTED_VALUE"""),"Hortifruti")</f>
        <v>Hortifruti</v>
      </c>
      <c r="D214" s="3" t="str">
        <f>IFERROR(__xludf.DUMMYFUNCTION("""COMPUTED_VALUE"""),"131g")</f>
        <v>131g</v>
      </c>
      <c r="E214" s="3" t="str">
        <f>IFERROR(__xludf.DUMMYFUNCTION("""COMPUTED_VALUE"""),"Venceu (Validade)")</f>
        <v>Venceu (Validade)</v>
      </c>
      <c r="F214" s="3" t="str">
        <f>IFERROR(__xludf.DUMMYFUNCTION("""COMPUTED_VALUE"""),"Patrícia")</f>
        <v>Patrícia</v>
      </c>
      <c r="G214" s="3" t="str">
        <f>IFERROR(__xludf.DUMMYFUNCTION("""COMPUTED_VALUE"""),"Venceu")</f>
        <v>Venceu</v>
      </c>
    </row>
    <row r="215">
      <c r="A215" s="2">
        <f>IFERROR(__xludf.DUMMYFUNCTION("""COMPUTED_VALUE"""),45755.0)</f>
        <v>45755</v>
      </c>
      <c r="B215" s="3" t="str">
        <f>IFERROR(__xludf.DUMMYFUNCTION("""COMPUTED_VALUE"""),"Aromatizante Maça verde")</f>
        <v>Aromatizante Maça verde</v>
      </c>
      <c r="C215" s="3" t="str">
        <f>IFERROR(__xludf.DUMMYFUNCTION("""COMPUTED_VALUE"""),"Insumos")</f>
        <v>Insumos</v>
      </c>
      <c r="D215" s="3" t="str">
        <f>IFERROR(__xludf.DUMMYFUNCTION("""COMPUTED_VALUE"""),"20g")</f>
        <v>20g</v>
      </c>
      <c r="E215" s="3" t="str">
        <f>IFERROR(__xludf.DUMMYFUNCTION("""COMPUTED_VALUE"""),"Erro de processo")</f>
        <v>Erro de processo</v>
      </c>
      <c r="F215" s="3" t="str">
        <f>IFERROR(__xludf.DUMMYFUNCTION("""COMPUTED_VALUE"""),"Alex")</f>
        <v>Alex</v>
      </c>
      <c r="G215" s="3" t="str">
        <f>IFERROR(__xludf.DUMMYFUNCTION("""COMPUTED_VALUE"""),"Fez errado. Era chá e fez soda.")</f>
        <v>Fez errado. Era chá e fez soda.</v>
      </c>
    </row>
    <row r="216">
      <c r="A216" s="2">
        <f>IFERROR(__xludf.DUMMYFUNCTION("""COMPUTED_VALUE"""),45755.0)</f>
        <v>45755</v>
      </c>
      <c r="B216" s="3" t="str">
        <f>IFERROR(__xludf.DUMMYFUNCTION("""COMPUTED_VALUE"""),"Chantilly")</f>
        <v>Chantilly</v>
      </c>
      <c r="C216" s="3" t="str">
        <f>IFERROR(__xludf.DUMMYFUNCTION("""COMPUTED_VALUE"""),"Insumos")</f>
        <v>Insumos</v>
      </c>
      <c r="D216" s="3" t="str">
        <f>IFERROR(__xludf.DUMMYFUNCTION("""COMPUTED_VALUE"""),"80g")</f>
        <v>80g</v>
      </c>
      <c r="E216" s="3" t="str">
        <f>IFERROR(__xludf.DUMMYFUNCTION("""COMPUTED_VALUE"""),"Erro de processo")</f>
        <v>Erro de processo</v>
      </c>
      <c r="F216" s="3" t="str">
        <f>IFERROR(__xludf.DUMMYFUNCTION("""COMPUTED_VALUE"""),"Julia")</f>
        <v>Julia</v>
      </c>
      <c r="G216" s="3" t="str">
        <f>IFERROR(__xludf.DUMMYFUNCTION("""COMPUTED_VALUE"""),"Deixou cair.")</f>
        <v>Deixou cair.</v>
      </c>
    </row>
    <row r="217">
      <c r="A217" s="2">
        <f>IFERROR(__xludf.DUMMYFUNCTION("""COMPUTED_VALUE"""),45756.0)</f>
        <v>45756</v>
      </c>
      <c r="B217" s="3" t="str">
        <f>IFERROR(__xludf.DUMMYFUNCTION("""COMPUTED_VALUE"""),"risoto camara")</f>
        <v>risoto camara</v>
      </c>
      <c r="C217" s="3" t="str">
        <f>IFERROR(__xludf.DUMMYFUNCTION("""COMPUTED_VALUE"""),"Produto final")</f>
        <v>Produto final</v>
      </c>
      <c r="D217" s="3">
        <f>IFERROR(__xludf.DUMMYFUNCTION("""COMPUTED_VALUE"""),1.0)</f>
        <v>1</v>
      </c>
      <c r="E217" s="3" t="str">
        <f>IFERROR(__xludf.DUMMYFUNCTION("""COMPUTED_VALUE"""),"Erro de processo")</f>
        <v>Erro de processo</v>
      </c>
      <c r="F217" s="3" t="str">
        <f>IFERROR(__xludf.DUMMYFUNCTION("""COMPUTED_VALUE"""),"Fernando")</f>
        <v>Fernando</v>
      </c>
      <c r="G217" s="3" t="str">
        <f>IFERROR(__xludf.DUMMYFUNCTION("""COMPUTED_VALUE"""),"fez errado")</f>
        <v>fez errado</v>
      </c>
    </row>
    <row r="218">
      <c r="A218" s="2">
        <f>IFERROR(__xludf.DUMMYFUNCTION("""COMPUTED_VALUE"""),45756.0)</f>
        <v>45756</v>
      </c>
      <c r="B218" s="3" t="str">
        <f>IFERROR(__xludf.DUMMYFUNCTION("""COMPUTED_VALUE"""),"folhada")</f>
        <v>folhada</v>
      </c>
      <c r="C218" s="3" t="str">
        <f>IFERROR(__xludf.DUMMYFUNCTION("""COMPUTED_VALUE"""),"Produto final")</f>
        <v>Produto final</v>
      </c>
      <c r="D218" s="3">
        <f>IFERROR(__xludf.DUMMYFUNCTION("""COMPUTED_VALUE"""),1.0)</f>
        <v>1</v>
      </c>
      <c r="E218" s="3" t="str">
        <f>IFERROR(__xludf.DUMMYFUNCTION("""COMPUTED_VALUE"""),"Quebra")</f>
        <v>Quebra</v>
      </c>
      <c r="F218" s="3" t="str">
        <f>IFERROR(__xludf.DUMMYFUNCTION("""COMPUTED_VALUE"""),"Francisca")</f>
        <v>Francisca</v>
      </c>
      <c r="G218" s="3" t="str">
        <f>IFERROR(__xludf.DUMMYFUNCTION("""COMPUTED_VALUE"""),"estava quebrado no friz")</f>
        <v>estava quebrado no friz</v>
      </c>
    </row>
    <row r="219">
      <c r="A219" s="2">
        <f>IFERROR(__xludf.DUMMYFUNCTION("""COMPUTED_VALUE"""),45757.0)</f>
        <v>45757</v>
      </c>
      <c r="B219" s="3" t="str">
        <f>IFERROR(__xludf.DUMMYFUNCTION("""COMPUTED_VALUE"""),"Banana")</f>
        <v>Banana</v>
      </c>
      <c r="C219" s="3" t="str">
        <f>IFERROR(__xludf.DUMMYFUNCTION("""COMPUTED_VALUE"""),"Hortifruti")</f>
        <v>Hortifruti</v>
      </c>
      <c r="D219" s="3" t="str">
        <f>IFERROR(__xludf.DUMMYFUNCTION("""COMPUTED_VALUE"""),"83g")</f>
        <v>83g</v>
      </c>
      <c r="E219" s="3" t="str">
        <f>IFERROR(__xludf.DUMMYFUNCTION("""COMPUTED_VALUE"""),"Venceu (Validade)")</f>
        <v>Venceu (Validade)</v>
      </c>
      <c r="F219" s="3" t="str">
        <f>IFERROR(__xludf.DUMMYFUNCTION("""COMPUTED_VALUE"""),"Patrícia")</f>
        <v>Patrícia</v>
      </c>
      <c r="G219" s="3" t="str">
        <f>IFERROR(__xludf.DUMMYFUNCTION("""COMPUTED_VALUE"""),"Venceu")</f>
        <v>Venceu</v>
      </c>
    </row>
    <row r="220">
      <c r="A220" s="2">
        <f>IFERROR(__xludf.DUMMYFUNCTION("""COMPUTED_VALUE"""),45757.0)</f>
        <v>45757</v>
      </c>
      <c r="B220" s="3" t="str">
        <f>IFERROR(__xludf.DUMMYFUNCTION("""COMPUTED_VALUE"""),"Alface")</f>
        <v>Alface</v>
      </c>
      <c r="C220" s="3" t="str">
        <f>IFERROR(__xludf.DUMMYFUNCTION("""COMPUTED_VALUE"""),"Hortifruti")</f>
        <v>Hortifruti</v>
      </c>
      <c r="D220" s="3" t="str">
        <f>IFERROR(__xludf.DUMMYFUNCTION("""COMPUTED_VALUE"""),"121g")</f>
        <v>121g</v>
      </c>
      <c r="E220" s="3" t="str">
        <f>IFERROR(__xludf.DUMMYFUNCTION("""COMPUTED_VALUE"""),"Venceu (Validade)")</f>
        <v>Venceu (Validade)</v>
      </c>
      <c r="F220" s="3" t="str">
        <f>IFERROR(__xludf.DUMMYFUNCTION("""COMPUTED_VALUE"""),"Patrícia")</f>
        <v>Patrícia</v>
      </c>
      <c r="G220" s="3" t="str">
        <f>IFERROR(__xludf.DUMMYFUNCTION("""COMPUTED_VALUE"""),"Venceu")</f>
        <v>Venceu</v>
      </c>
    </row>
    <row r="221">
      <c r="A221" s="2">
        <f>IFERROR(__xludf.DUMMYFUNCTION("""COMPUTED_VALUE"""),45758.0)</f>
        <v>45758</v>
      </c>
      <c r="B221" s="3" t="str">
        <f>IFERROR(__xludf.DUMMYFUNCTION("""COMPUTED_VALUE"""),"copo de agua")</f>
        <v>copo de agua</v>
      </c>
      <c r="C221" s="3" t="str">
        <f>IFERROR(__xludf.DUMMYFUNCTION("""COMPUTED_VALUE"""),"Utensílio")</f>
        <v>Utensílio</v>
      </c>
      <c r="D221" s="3">
        <f>IFERROR(__xludf.DUMMYFUNCTION("""COMPUTED_VALUE"""),1.0)</f>
        <v>1</v>
      </c>
      <c r="E221" s="3" t="str">
        <f>IFERROR(__xludf.DUMMYFUNCTION("""COMPUTED_VALUE"""),"Quebra")</f>
        <v>Quebra</v>
      </c>
      <c r="F221" s="3" t="str">
        <f>IFERROR(__xludf.DUMMYFUNCTION("""COMPUTED_VALUE"""),"Jonathan")</f>
        <v>Jonathan</v>
      </c>
      <c r="G221" s="3" t="str">
        <f>IFERROR(__xludf.DUMMYFUNCTION("""COMPUTED_VALUE"""),"Deixou cair")</f>
        <v>Deixou cair</v>
      </c>
    </row>
    <row r="222">
      <c r="A222" s="2">
        <f>IFERROR(__xludf.DUMMYFUNCTION("""COMPUTED_VALUE"""),45759.0)</f>
        <v>45759</v>
      </c>
      <c r="B222" s="3" t="str">
        <f>IFERROR(__xludf.DUMMYFUNCTION("""COMPUTED_VALUE"""),"Tostex Ciabatta")</f>
        <v>Tostex Ciabatta</v>
      </c>
      <c r="C222" s="3" t="str">
        <f>IFERROR(__xludf.DUMMYFUNCTION("""COMPUTED_VALUE"""),"Produto final")</f>
        <v>Produto final</v>
      </c>
      <c r="D222" s="3">
        <f>IFERROR(__xludf.DUMMYFUNCTION("""COMPUTED_VALUE"""),1.0)</f>
        <v>1</v>
      </c>
      <c r="E222" s="3" t="str">
        <f>IFERROR(__xludf.DUMMYFUNCTION("""COMPUTED_VALUE"""),"Erro de processo")</f>
        <v>Erro de processo</v>
      </c>
      <c r="F222" s="3" t="str">
        <f>IFERROR(__xludf.DUMMYFUNCTION("""COMPUTED_VALUE"""),"Julia")</f>
        <v>Julia</v>
      </c>
      <c r="G222" s="3" t="str">
        <f>IFERROR(__xludf.DUMMYFUNCTION("""COMPUTED_VALUE"""),"Deixou cair")</f>
        <v>Deixou cair</v>
      </c>
    </row>
    <row r="223">
      <c r="A223" s="2">
        <f>IFERROR(__xludf.DUMMYFUNCTION("""COMPUTED_VALUE"""),45760.0)</f>
        <v>45760</v>
      </c>
      <c r="B223" s="3" t="str">
        <f>IFERROR(__xludf.DUMMYFUNCTION("""COMPUTED_VALUE"""),"Torta Banoffee")</f>
        <v>Torta Banoffee</v>
      </c>
      <c r="C223" s="3" t="str">
        <f>IFERROR(__xludf.DUMMYFUNCTION("""COMPUTED_VALUE"""),"Produto final")</f>
        <v>Produto final</v>
      </c>
      <c r="D223" s="3">
        <f>IFERROR(__xludf.DUMMYFUNCTION("""COMPUTED_VALUE"""),1.0)</f>
        <v>1</v>
      </c>
      <c r="E223" s="3" t="str">
        <f>IFERROR(__xludf.DUMMYFUNCTION("""COMPUTED_VALUE"""),"Venceu (Validade)")</f>
        <v>Venceu (Validade)</v>
      </c>
      <c r="F223" s="3" t="str">
        <f>IFERROR(__xludf.DUMMYFUNCTION("""COMPUTED_VALUE"""),"Marilene")</f>
        <v>Marilene</v>
      </c>
      <c r="G223" s="3" t="str">
        <f>IFERROR(__xludf.DUMMYFUNCTION("""COMPUTED_VALUE"""),"banofe diet estava vencida")</f>
        <v>banofe diet estava vencida</v>
      </c>
    </row>
    <row r="224">
      <c r="A224" s="2">
        <f>IFERROR(__xludf.DUMMYFUNCTION("""COMPUTED_VALUE"""),45761.0)</f>
        <v>45761</v>
      </c>
      <c r="B224" s="3" t="str">
        <f>IFERROR(__xludf.DUMMYFUNCTION("""COMPUTED_VALUE"""),"Alface")</f>
        <v>Alface</v>
      </c>
      <c r="C224" s="3" t="str">
        <f>IFERROR(__xludf.DUMMYFUNCTION("""COMPUTED_VALUE"""),"Hortifruti")</f>
        <v>Hortifruti</v>
      </c>
      <c r="D224" s="3" t="str">
        <f>IFERROR(__xludf.DUMMYFUNCTION("""COMPUTED_VALUE"""),"138g")</f>
        <v>138g</v>
      </c>
      <c r="E224" s="3" t="str">
        <f>IFERROR(__xludf.DUMMYFUNCTION("""COMPUTED_VALUE"""),"Venceu (Validade)")</f>
        <v>Venceu (Validade)</v>
      </c>
      <c r="F224" s="3" t="str">
        <f>IFERROR(__xludf.DUMMYFUNCTION("""COMPUTED_VALUE"""),"Fernando")</f>
        <v>Fernando</v>
      </c>
      <c r="G224" s="3" t="str">
        <f>IFERROR(__xludf.DUMMYFUNCTION("""COMPUTED_VALUE"""),"Venceu")</f>
        <v>Venceu</v>
      </c>
    </row>
    <row r="225">
      <c r="A225" s="2">
        <f>IFERROR(__xludf.DUMMYFUNCTION("""COMPUTED_VALUE"""),45762.0)</f>
        <v>45762</v>
      </c>
      <c r="B225" s="3" t="str">
        <f>IFERROR(__xludf.DUMMYFUNCTION("""COMPUTED_VALUE"""),"capucino scada")</f>
        <v>capucino scada</v>
      </c>
      <c r="C225" s="3" t="str">
        <f>IFERROR(__xludf.DUMMYFUNCTION("""COMPUTED_VALUE"""),"Produto final")</f>
        <v>Produto final</v>
      </c>
      <c r="D225" s="3">
        <f>IFERROR(__xludf.DUMMYFUNCTION("""COMPUTED_VALUE"""),1.0)</f>
        <v>1</v>
      </c>
      <c r="E225" s="3" t="str">
        <f>IFERROR(__xludf.DUMMYFUNCTION("""COMPUTED_VALUE"""),"Erro de processo")</f>
        <v>Erro de processo</v>
      </c>
      <c r="F225" s="3" t="str">
        <f>IFERROR(__xludf.DUMMYFUNCTION("""COMPUTED_VALUE"""),"Jonathan")</f>
        <v>Jonathan</v>
      </c>
      <c r="G225" s="3" t="str">
        <f>IFERROR(__xludf.DUMMYFUNCTION("""COMPUTED_VALUE"""),"Lançou errado.")</f>
        <v>Lançou errado.</v>
      </c>
    </row>
    <row r="226">
      <c r="A226" s="2">
        <f>IFERROR(__xludf.DUMMYFUNCTION("""COMPUTED_VALUE"""),45762.0)</f>
        <v>45762</v>
      </c>
      <c r="B226" s="3" t="str">
        <f>IFERROR(__xludf.DUMMYFUNCTION("""COMPUTED_VALUE"""),"espresso tonica")</f>
        <v>espresso tonica</v>
      </c>
      <c r="C226" s="3" t="str">
        <f>IFERROR(__xludf.DUMMYFUNCTION("""COMPUTED_VALUE"""),"Produto final")</f>
        <v>Produto final</v>
      </c>
      <c r="D226" s="3">
        <f>IFERROR(__xludf.DUMMYFUNCTION("""COMPUTED_VALUE"""),1.0)</f>
        <v>1</v>
      </c>
      <c r="E226" s="3" t="str">
        <f>IFERROR(__xludf.DUMMYFUNCTION("""COMPUTED_VALUE"""),"Erro de processo")</f>
        <v>Erro de processo</v>
      </c>
      <c r="F226" s="3" t="str">
        <f>IFERROR(__xludf.DUMMYFUNCTION("""COMPUTED_VALUE"""),"Francisca")</f>
        <v>Francisca</v>
      </c>
      <c r="G226" s="3" t="str">
        <f>IFERROR(__xludf.DUMMYFUNCTION("""COMPUTED_VALUE"""),"Fez errado")</f>
        <v>Fez errado</v>
      </c>
    </row>
    <row r="227">
      <c r="A227" s="2">
        <f>IFERROR(__xludf.DUMMYFUNCTION("""COMPUTED_VALUE"""),45763.0)</f>
        <v>45763</v>
      </c>
      <c r="B227" s="3" t="str">
        <f>IFERROR(__xludf.DUMMYFUNCTION("""COMPUTED_VALUE"""),"xicara grande")</f>
        <v>xicara grande</v>
      </c>
      <c r="C227" s="3" t="str">
        <f>IFERROR(__xludf.DUMMYFUNCTION("""COMPUTED_VALUE"""),"Utensílio")</f>
        <v>Utensílio</v>
      </c>
      <c r="D227" s="3">
        <f>IFERROR(__xludf.DUMMYFUNCTION("""COMPUTED_VALUE"""),1.0)</f>
        <v>1</v>
      </c>
      <c r="E227" s="3" t="str">
        <f>IFERROR(__xludf.DUMMYFUNCTION("""COMPUTED_VALUE"""),"Quebra")</f>
        <v>Quebra</v>
      </c>
      <c r="F227" s="3" t="str">
        <f>IFERROR(__xludf.DUMMYFUNCTION("""COMPUTED_VALUE"""),"marilene")</f>
        <v>marilene</v>
      </c>
      <c r="G227" s="3" t="str">
        <f>IFERROR(__xludf.DUMMYFUNCTION("""COMPUTED_VALUE"""),"quebrou na horas de faz cafe na minha mao alca ja estava rachada")</f>
        <v>quebrou na horas de faz cafe na minha mao alca ja estava rachada</v>
      </c>
    </row>
    <row r="228">
      <c r="A228" s="2">
        <f>IFERROR(__xludf.DUMMYFUNCTION("""COMPUTED_VALUE"""),45764.0)</f>
        <v>45764</v>
      </c>
      <c r="B228" s="3" t="str">
        <f>IFERROR(__xludf.DUMMYFUNCTION("""COMPUTED_VALUE"""),"machiato simples")</f>
        <v>machiato simples</v>
      </c>
      <c r="C228" s="3" t="str">
        <f>IFERROR(__xludf.DUMMYFUNCTION("""COMPUTED_VALUE"""),"Produto final")</f>
        <v>Produto final</v>
      </c>
      <c r="D228" s="3">
        <f>IFERROR(__xludf.DUMMYFUNCTION("""COMPUTED_VALUE"""),2.0)</f>
        <v>2</v>
      </c>
      <c r="E228" s="3" t="str">
        <f>IFERROR(__xludf.DUMMYFUNCTION("""COMPUTED_VALUE"""),"Erro de processo")</f>
        <v>Erro de processo</v>
      </c>
      <c r="F228" s="3" t="str">
        <f>IFERROR(__xludf.DUMMYFUNCTION("""COMPUTED_VALUE"""),"Rafael")</f>
        <v>Rafael</v>
      </c>
      <c r="G228" s="3" t="str">
        <f>IFERROR(__xludf.DUMMYFUNCTION("""COMPUTED_VALUE"""),"era vegano e fez normal")</f>
        <v>era vegano e fez normal</v>
      </c>
    </row>
    <row r="229">
      <c r="A229" s="2">
        <f>IFERROR(__xludf.DUMMYFUNCTION("""COMPUTED_VALUE"""),45764.0)</f>
        <v>45764</v>
      </c>
      <c r="B229" s="3" t="str">
        <f>IFERROR(__xludf.DUMMYFUNCTION("""COMPUTED_VALUE"""),"cafe latte gelador")</f>
        <v>cafe latte gelador</v>
      </c>
      <c r="C229" s="3" t="str">
        <f>IFERROR(__xludf.DUMMYFUNCTION("""COMPUTED_VALUE"""),"Produto final")</f>
        <v>Produto final</v>
      </c>
      <c r="D229" s="3">
        <f>IFERROR(__xludf.DUMMYFUNCTION("""COMPUTED_VALUE"""),1.0)</f>
        <v>1</v>
      </c>
      <c r="E229" s="3" t="str">
        <f>IFERROR(__xludf.DUMMYFUNCTION("""COMPUTED_VALUE"""),"Erro de processo")</f>
        <v>Erro de processo</v>
      </c>
      <c r="F229" s="3" t="str">
        <f>IFERROR(__xludf.DUMMYFUNCTION("""COMPUTED_VALUE"""),"Rafael")</f>
        <v>Rafael</v>
      </c>
      <c r="G229" s="3" t="str">
        <f>IFERROR(__xludf.DUMMYFUNCTION("""COMPUTED_VALUE"""),"fez errado")</f>
        <v>fez errado</v>
      </c>
    </row>
    <row r="230">
      <c r="A230" s="2">
        <f>IFERROR(__xludf.DUMMYFUNCTION("""COMPUTED_VALUE"""),45764.0)</f>
        <v>45764</v>
      </c>
      <c r="B230" s="3" t="str">
        <f>IFERROR(__xludf.DUMMYFUNCTION("""COMPUTED_VALUE"""),"Empada palmito")</f>
        <v>Empada palmito</v>
      </c>
      <c r="C230" s="3" t="str">
        <f>IFERROR(__xludf.DUMMYFUNCTION("""COMPUTED_VALUE"""),"Produto final")</f>
        <v>Produto final</v>
      </c>
      <c r="D230" s="3">
        <f>IFERROR(__xludf.DUMMYFUNCTION("""COMPUTED_VALUE"""),1.0)</f>
        <v>1</v>
      </c>
      <c r="E230" s="3" t="str">
        <f>IFERROR(__xludf.DUMMYFUNCTION("""COMPUTED_VALUE"""),"Erro de processo")</f>
        <v>Erro de processo</v>
      </c>
      <c r="F230" s="3" t="str">
        <f>IFERROR(__xludf.DUMMYFUNCTION("""COMPUTED_VALUE"""),"Francisca")</f>
        <v>Francisca</v>
      </c>
      <c r="G230" s="3" t="str">
        <f>IFERROR(__xludf.DUMMYFUNCTION("""COMPUTED_VALUE"""),"estava quebrada na vitrine")</f>
        <v>estava quebrada na vitrine</v>
      </c>
    </row>
    <row r="231">
      <c r="A231" s="2">
        <f>IFERROR(__xludf.DUMMYFUNCTION("""COMPUTED_VALUE"""),45764.0)</f>
        <v>45764</v>
      </c>
      <c r="B231" s="3" t="str">
        <f>IFERROR(__xludf.DUMMYFUNCTION("""COMPUTED_VALUE"""),"coado barista")</f>
        <v>coado barista</v>
      </c>
      <c r="C231" s="3" t="str">
        <f>IFERROR(__xludf.DUMMYFUNCTION("""COMPUTED_VALUE"""),"Produto final")</f>
        <v>Produto final</v>
      </c>
      <c r="D231" s="3" t="str">
        <f>IFERROR(__xludf.DUMMYFUNCTION("""COMPUTED_VALUE"""),"150g")</f>
        <v>150g</v>
      </c>
      <c r="E231" s="3" t="str">
        <f>IFERROR(__xludf.DUMMYFUNCTION("""COMPUTED_VALUE"""),"Outro")</f>
        <v>Outro</v>
      </c>
      <c r="F231" s="3" t="str">
        <f>IFERROR(__xludf.DUMMYFUNCTION("""COMPUTED_VALUE"""),"marilene")</f>
        <v>marilene</v>
      </c>
      <c r="G231" s="3" t="str">
        <f>IFERROR(__xludf.DUMMYFUNCTION("""COMPUTED_VALUE"""),"prova para equip 1 e2")</f>
        <v>prova para equip 1 e2</v>
      </c>
    </row>
    <row r="232">
      <c r="A232" s="2">
        <f>IFERROR(__xludf.DUMMYFUNCTION("""COMPUTED_VALUE"""),45764.0)</f>
        <v>45764</v>
      </c>
      <c r="B232" s="3" t="str">
        <f>IFERROR(__xludf.DUMMYFUNCTION("""COMPUTED_VALUE"""),"xicara grande")</f>
        <v>xicara grande</v>
      </c>
      <c r="C232" s="3" t="str">
        <f>IFERROR(__xludf.DUMMYFUNCTION("""COMPUTED_VALUE"""),"Utensílio")</f>
        <v>Utensílio</v>
      </c>
      <c r="D232" s="3">
        <f>IFERROR(__xludf.DUMMYFUNCTION("""COMPUTED_VALUE"""),1.0)</f>
        <v>1</v>
      </c>
      <c r="E232" s="3" t="str">
        <f>IFERROR(__xludf.DUMMYFUNCTION("""COMPUTED_VALUE"""),"Quebra")</f>
        <v>Quebra</v>
      </c>
      <c r="F232" s="3" t="str">
        <f>IFERROR(__xludf.DUMMYFUNCTION("""COMPUTED_VALUE"""),"Rafael")</f>
        <v>Rafael</v>
      </c>
      <c r="G232" s="3" t="str">
        <f>IFERROR(__xludf.DUMMYFUNCTION("""COMPUTED_VALUE"""),"quebrou")</f>
        <v>quebrou</v>
      </c>
    </row>
    <row r="233">
      <c r="A233" s="2">
        <f>IFERROR(__xludf.DUMMYFUNCTION("""COMPUTED_VALUE"""),45765.0)</f>
        <v>45765</v>
      </c>
      <c r="B233" s="3" t="str">
        <f>IFERROR(__xludf.DUMMYFUNCTION("""COMPUTED_VALUE"""),"Salsa")</f>
        <v>Salsa</v>
      </c>
      <c r="C233" s="3" t="str">
        <f>IFERROR(__xludf.DUMMYFUNCTION("""COMPUTED_VALUE"""),"Hortifruti")</f>
        <v>Hortifruti</v>
      </c>
      <c r="D233" s="3" t="str">
        <f>IFERROR(__xludf.DUMMYFUNCTION("""COMPUTED_VALUE"""),"40g")</f>
        <v>40g</v>
      </c>
      <c r="E233" s="3" t="str">
        <f>IFERROR(__xludf.DUMMYFUNCTION("""COMPUTED_VALUE"""),"Venceu (Validade)")</f>
        <v>Venceu (Validade)</v>
      </c>
      <c r="F233" s="3" t="str">
        <f>IFERROR(__xludf.DUMMYFUNCTION("""COMPUTED_VALUE"""),"Patrícia")</f>
        <v>Patrícia</v>
      </c>
      <c r="G233" s="3" t="str">
        <f>IFERROR(__xludf.DUMMYFUNCTION("""COMPUTED_VALUE"""),"Venceu")</f>
        <v>Venceu</v>
      </c>
    </row>
    <row r="234">
      <c r="A234" s="2">
        <f>IFERROR(__xludf.DUMMYFUNCTION("""COMPUTED_VALUE"""),45765.0)</f>
        <v>45765</v>
      </c>
      <c r="B234" s="3" t="str">
        <f>IFERROR(__xludf.DUMMYFUNCTION("""COMPUTED_VALUE"""),"Banana")</f>
        <v>Banana</v>
      </c>
      <c r="C234" s="3" t="str">
        <f>IFERROR(__xludf.DUMMYFUNCTION("""COMPUTED_VALUE"""),"Hortifruti")</f>
        <v>Hortifruti</v>
      </c>
      <c r="D234" s="3" t="str">
        <f>IFERROR(__xludf.DUMMYFUNCTION("""COMPUTED_VALUE"""),"101g")</f>
        <v>101g</v>
      </c>
      <c r="E234" s="3" t="str">
        <f>IFERROR(__xludf.DUMMYFUNCTION("""COMPUTED_VALUE"""),"Venceu (Validade)")</f>
        <v>Venceu (Validade)</v>
      </c>
      <c r="F234" s="3" t="str">
        <f>IFERROR(__xludf.DUMMYFUNCTION("""COMPUTED_VALUE"""),"Melissa")</f>
        <v>Melissa</v>
      </c>
      <c r="G234" s="3" t="str">
        <f>IFERROR(__xludf.DUMMYFUNCTION("""COMPUTED_VALUE"""),"Venceu")</f>
        <v>Venceu</v>
      </c>
    </row>
    <row r="235">
      <c r="A235" s="2">
        <f>IFERROR(__xludf.DUMMYFUNCTION("""COMPUTED_VALUE"""),45765.0)</f>
        <v>45765</v>
      </c>
      <c r="B235" s="3" t="str">
        <f>IFERROR(__xludf.DUMMYFUNCTION("""COMPUTED_VALUE"""),"Manjericão")</f>
        <v>Manjericão</v>
      </c>
      <c r="C235" s="3" t="str">
        <f>IFERROR(__xludf.DUMMYFUNCTION("""COMPUTED_VALUE"""),"Hortifruti")</f>
        <v>Hortifruti</v>
      </c>
      <c r="D235" s="3" t="str">
        <f>IFERROR(__xludf.DUMMYFUNCTION("""COMPUTED_VALUE"""),"30g")</f>
        <v>30g</v>
      </c>
      <c r="E235" s="3" t="str">
        <f>IFERROR(__xludf.DUMMYFUNCTION("""COMPUTED_VALUE"""),"Venceu (Validade)")</f>
        <v>Venceu (Validade)</v>
      </c>
      <c r="F235" s="3" t="str">
        <f>IFERROR(__xludf.DUMMYFUNCTION("""COMPUTED_VALUE"""),"Patrícia")</f>
        <v>Patrícia</v>
      </c>
      <c r="G235" s="3" t="str">
        <f>IFERROR(__xludf.DUMMYFUNCTION("""COMPUTED_VALUE"""),"Venceu")</f>
        <v>Venceu</v>
      </c>
    </row>
    <row r="236">
      <c r="A236" s="2">
        <f>IFERROR(__xludf.DUMMYFUNCTION("""COMPUTED_VALUE"""),45765.0)</f>
        <v>45765</v>
      </c>
      <c r="B236" s="3" t="str">
        <f>IFERROR(__xludf.DUMMYFUNCTION("""COMPUTED_VALUE"""),"Prato sobremesa grande")</f>
        <v>Prato sobremesa grande</v>
      </c>
      <c r="C236" s="3" t="str">
        <f>IFERROR(__xludf.DUMMYFUNCTION("""COMPUTED_VALUE"""),"Utensílio")</f>
        <v>Utensílio</v>
      </c>
      <c r="D236" s="3">
        <f>IFERROR(__xludf.DUMMYFUNCTION("""COMPUTED_VALUE"""),1.0)</f>
        <v>1</v>
      </c>
      <c r="E236" s="3" t="str">
        <f>IFERROR(__xludf.DUMMYFUNCTION("""COMPUTED_VALUE"""),"Quebra")</f>
        <v>Quebra</v>
      </c>
      <c r="F236" s="3" t="str">
        <f>IFERROR(__xludf.DUMMYFUNCTION("""COMPUTED_VALUE"""),"Melissa")</f>
        <v>Melissa</v>
      </c>
      <c r="G236" s="3" t="str">
        <f>IFERROR(__xludf.DUMMYFUNCTION("""COMPUTED_VALUE"""),"Quebrou durante manuseio.")</f>
        <v>Quebrou durante manuseio.</v>
      </c>
    </row>
    <row r="237">
      <c r="A237" s="2">
        <f>IFERROR(__xludf.DUMMYFUNCTION("""COMPUTED_VALUE"""),45767.0)</f>
        <v>45767</v>
      </c>
      <c r="B237" s="3" t="str">
        <f>IFERROR(__xludf.DUMMYFUNCTION("""COMPUTED_VALUE"""),"massa pizza")</f>
        <v>massa pizza</v>
      </c>
      <c r="C237" s="3" t="str">
        <f>IFERROR(__xludf.DUMMYFUNCTION("""COMPUTED_VALUE"""),"Insumos")</f>
        <v>Insumos</v>
      </c>
      <c r="D237" s="3">
        <f>IFERROR(__xludf.DUMMYFUNCTION("""COMPUTED_VALUE"""),2.0)</f>
        <v>2</v>
      </c>
      <c r="E237" s="3" t="str">
        <f>IFERROR(__xludf.DUMMYFUNCTION("""COMPUTED_VALUE"""),"Venceu (Validade)")</f>
        <v>Venceu (Validade)</v>
      </c>
      <c r="F237" s="3" t="str">
        <f>IFERROR(__xludf.DUMMYFUNCTION("""COMPUTED_VALUE"""),"marilene")</f>
        <v>marilene</v>
      </c>
      <c r="G237" s="3" t="str">
        <f>IFERROR(__xludf.DUMMYFUNCTION("""COMPUTED_VALUE"""),"estava vencido na geladira")</f>
        <v>estava vencido na geladira</v>
      </c>
    </row>
    <row r="238">
      <c r="A238" s="2">
        <f>IFERROR(__xludf.DUMMYFUNCTION("""COMPUTED_VALUE"""),45767.0)</f>
        <v>45767</v>
      </c>
      <c r="B238" s="3" t="str">
        <f>IFERROR(__xludf.DUMMYFUNCTION("""COMPUTED_VALUE"""),"torta de cheesecake")</f>
        <v>torta de cheesecake</v>
      </c>
      <c r="C238" s="3" t="str">
        <f>IFERROR(__xludf.DUMMYFUNCTION("""COMPUTED_VALUE"""),"Produto final")</f>
        <v>Produto final</v>
      </c>
      <c r="D238" s="3">
        <f>IFERROR(__xludf.DUMMYFUNCTION("""COMPUTED_VALUE"""),1.0)</f>
        <v>1</v>
      </c>
      <c r="E238" s="3" t="str">
        <f>IFERROR(__xludf.DUMMYFUNCTION("""COMPUTED_VALUE"""),"Erro de processo")</f>
        <v>Erro de processo</v>
      </c>
      <c r="F238" s="3" t="str">
        <f>IFERROR(__xludf.DUMMYFUNCTION("""COMPUTED_VALUE"""),"Melissa")</f>
        <v>Melissa</v>
      </c>
      <c r="G238" s="3" t="str">
        <f>IFERROR(__xludf.DUMMYFUNCTION("""COMPUTED_VALUE"""),"pecado muito pequeno")</f>
        <v>pecado muito pequeno</v>
      </c>
    </row>
    <row r="239">
      <c r="A239" s="2">
        <f>IFERROR(__xludf.DUMMYFUNCTION("""COMPUTED_VALUE"""),45769.0)</f>
        <v>45769</v>
      </c>
      <c r="B239" s="3" t="str">
        <f>IFERROR(__xludf.DUMMYFUNCTION("""COMPUTED_VALUE"""),"Pão de queijo porção")</f>
        <v>Pão de queijo porção</v>
      </c>
      <c r="C239" s="3" t="str">
        <f>IFERROR(__xludf.DUMMYFUNCTION("""COMPUTED_VALUE"""),"Produto final")</f>
        <v>Produto final</v>
      </c>
      <c r="D239" s="3" t="str">
        <f>IFERROR(__xludf.DUMMYFUNCTION("""COMPUTED_VALUE"""),"1 und")</f>
        <v>1 und</v>
      </c>
      <c r="E239" s="3" t="str">
        <f>IFERROR(__xludf.DUMMYFUNCTION("""COMPUTED_VALUE"""),"Erro de processo")</f>
        <v>Erro de processo</v>
      </c>
      <c r="F239" s="3" t="str">
        <f>IFERROR(__xludf.DUMMYFUNCTION("""COMPUTED_VALUE"""),"Melissa")</f>
        <v>Melissa</v>
      </c>
      <c r="G239" s="3" t="str">
        <f>IFERROR(__xludf.DUMMYFUNCTION("""COMPUTED_VALUE"""),"Deixou cair.")</f>
        <v>Deixou cair.</v>
      </c>
    </row>
    <row r="240">
      <c r="A240" s="2">
        <f>IFERROR(__xludf.DUMMYFUNCTION("""COMPUTED_VALUE"""),45769.0)</f>
        <v>45769</v>
      </c>
      <c r="B240" s="3" t="str">
        <f>IFERROR(__xludf.DUMMYFUNCTION("""COMPUTED_VALUE"""),"mini banofe")</f>
        <v>mini banofe</v>
      </c>
      <c r="C240" s="3" t="str">
        <f>IFERROR(__xludf.DUMMYFUNCTION("""COMPUTED_VALUE"""),"Produto final")</f>
        <v>Produto final</v>
      </c>
      <c r="D240" s="3">
        <f>IFERROR(__xludf.DUMMYFUNCTION("""COMPUTED_VALUE"""),2.0)</f>
        <v>2</v>
      </c>
      <c r="E240" s="3" t="str">
        <f>IFERROR(__xludf.DUMMYFUNCTION("""COMPUTED_VALUE"""),"Venceu (Validade)")</f>
        <v>Venceu (Validade)</v>
      </c>
      <c r="F240" s="3" t="str">
        <f>IFERROR(__xludf.DUMMYFUNCTION("""COMPUTED_VALUE"""),"marilene")</f>
        <v>marilene</v>
      </c>
      <c r="G240" s="3" t="str">
        <f>IFERROR(__xludf.DUMMYFUNCTION("""COMPUTED_VALUE"""),"estava feia na vitreni")</f>
        <v>estava feia na vitreni</v>
      </c>
    </row>
    <row r="241">
      <c r="A241" s="2">
        <f>IFERROR(__xludf.DUMMYFUNCTION("""COMPUTED_VALUE"""),45770.0)</f>
        <v>45770</v>
      </c>
      <c r="B241" s="3" t="str">
        <f>IFERROR(__xludf.DUMMYFUNCTION("""COMPUTED_VALUE"""),"ovo")</f>
        <v>ovo</v>
      </c>
      <c r="C241" s="3" t="str">
        <f>IFERROR(__xludf.DUMMYFUNCTION("""COMPUTED_VALUE"""),"Insumos")</f>
        <v>Insumos</v>
      </c>
      <c r="D241" s="3">
        <f>IFERROR(__xludf.DUMMYFUNCTION("""COMPUTED_VALUE"""),1.0)</f>
        <v>1</v>
      </c>
      <c r="E241" s="3" t="str">
        <f>IFERROR(__xludf.DUMMYFUNCTION("""COMPUTED_VALUE"""),"Venceu (Validade)")</f>
        <v>Venceu (Validade)</v>
      </c>
      <c r="F241" s="3" t="str">
        <f>IFERROR(__xludf.DUMMYFUNCTION("""COMPUTED_VALUE"""),"Fernando")</f>
        <v>Fernando</v>
      </c>
      <c r="G241" s="3" t="str">
        <f>IFERROR(__xludf.DUMMYFUNCTION("""COMPUTED_VALUE"""),"Sem observação")</f>
        <v>Sem observação</v>
      </c>
    </row>
    <row r="242">
      <c r="A242" s="2">
        <f>IFERROR(__xludf.DUMMYFUNCTION("""COMPUTED_VALUE"""),45771.0)</f>
        <v>45771</v>
      </c>
      <c r="B242" s="3" t="str">
        <f>IFERROR(__xludf.DUMMYFUNCTION("""COMPUTED_VALUE"""),"Ice Banoffee")</f>
        <v>Ice Banoffee</v>
      </c>
      <c r="C242" s="3" t="str">
        <f>IFERROR(__xludf.DUMMYFUNCTION("""COMPUTED_VALUE"""),"Produto final")</f>
        <v>Produto final</v>
      </c>
      <c r="D242" s="3">
        <f>IFERROR(__xludf.DUMMYFUNCTION("""COMPUTED_VALUE"""),1.0)</f>
        <v>1</v>
      </c>
      <c r="E242" s="3" t="str">
        <f>IFERROR(__xludf.DUMMYFUNCTION("""COMPUTED_VALUE"""),"Lançamento errado")</f>
        <v>Lançamento errado</v>
      </c>
      <c r="F242" s="3" t="str">
        <f>IFERROR(__xludf.DUMMYFUNCTION("""COMPUTED_VALUE"""),"Paulo")</f>
        <v>Paulo</v>
      </c>
      <c r="G242" s="3" t="str">
        <f>IFERROR(__xludf.DUMMYFUNCTION("""COMPUTED_VALUE"""),"Cliente pediu Ice Cappuccino e lançou Ice Banoffe")</f>
        <v>Cliente pediu Ice Cappuccino e lançou Ice Banoffe</v>
      </c>
    </row>
    <row r="243">
      <c r="A243" s="2">
        <f>IFERROR(__xludf.DUMMYFUNCTION("""COMPUTED_VALUE"""),45771.0)</f>
        <v>45771</v>
      </c>
      <c r="B243" s="3" t="str">
        <f>IFERROR(__xludf.DUMMYFUNCTION("""COMPUTED_VALUE"""),"Copo grande")</f>
        <v>Copo grande</v>
      </c>
      <c r="C243" s="3" t="str">
        <f>IFERROR(__xludf.DUMMYFUNCTION("""COMPUTED_VALUE"""),"Utensílio")</f>
        <v>Utensílio</v>
      </c>
      <c r="D243" s="3">
        <f>IFERROR(__xludf.DUMMYFUNCTION("""COMPUTED_VALUE"""),1.0)</f>
        <v>1</v>
      </c>
      <c r="E243" s="3" t="str">
        <f>IFERROR(__xludf.DUMMYFUNCTION("""COMPUTED_VALUE"""),"Quebra")</f>
        <v>Quebra</v>
      </c>
      <c r="F243" s="3" t="str">
        <f>IFERROR(__xludf.DUMMYFUNCTION("""COMPUTED_VALUE"""),"Julia")</f>
        <v>Julia</v>
      </c>
      <c r="G243" s="3" t="str">
        <f>IFERROR(__xludf.DUMMYFUNCTION("""COMPUTED_VALUE"""),"Deixou cair durante lavagem")</f>
        <v>Deixou cair durante lavagem</v>
      </c>
    </row>
    <row r="244">
      <c r="A244" s="2">
        <f>IFERROR(__xludf.DUMMYFUNCTION("""COMPUTED_VALUE"""),45772.0)</f>
        <v>45772</v>
      </c>
      <c r="B244" s="3" t="str">
        <f>IFERROR(__xludf.DUMMYFUNCTION("""COMPUTED_VALUE"""),"peito de peru")</f>
        <v>peito de peru</v>
      </c>
      <c r="C244" s="3" t="str">
        <f>IFERROR(__xludf.DUMMYFUNCTION("""COMPUTED_VALUE"""),"Insumos")</f>
        <v>Insumos</v>
      </c>
      <c r="D244" s="3" t="str">
        <f>IFERROR(__xludf.DUMMYFUNCTION("""COMPUTED_VALUE"""),"406gr")</f>
        <v>406gr</v>
      </c>
      <c r="E244" s="3" t="str">
        <f>IFERROR(__xludf.DUMMYFUNCTION("""COMPUTED_VALUE"""),"Outro")</f>
        <v>Outro</v>
      </c>
      <c r="F244" s="3" t="str">
        <f>IFERROR(__xludf.DUMMYFUNCTION("""COMPUTED_VALUE"""),"marilene")</f>
        <v>marilene</v>
      </c>
      <c r="G244" s="3" t="str">
        <f>IFERROR(__xludf.DUMMYFUNCTION("""COMPUTED_VALUE"""),"geladeira estava desligada estragou")</f>
        <v>geladeira estava desligada estragou</v>
      </c>
    </row>
    <row r="245">
      <c r="A245" s="2">
        <f>IFERROR(__xludf.DUMMYFUNCTION("""COMPUTED_VALUE"""),45772.0)</f>
        <v>45772</v>
      </c>
      <c r="B245" s="3" t="str">
        <f>IFERROR(__xludf.DUMMYFUNCTION("""COMPUTED_VALUE"""),"dolce latte")</f>
        <v>dolce latte</v>
      </c>
      <c r="C245" s="3" t="str">
        <f>IFERROR(__xludf.DUMMYFUNCTION("""COMPUTED_VALUE"""),"Produto final")</f>
        <v>Produto final</v>
      </c>
      <c r="D245" s="3">
        <f>IFERROR(__xludf.DUMMYFUNCTION("""COMPUTED_VALUE"""),1.0)</f>
        <v>1</v>
      </c>
      <c r="E245" s="3" t="str">
        <f>IFERROR(__xludf.DUMMYFUNCTION("""COMPUTED_VALUE"""),"Erro de processo")</f>
        <v>Erro de processo</v>
      </c>
      <c r="F245" s="3" t="str">
        <f>IFERROR(__xludf.DUMMYFUNCTION("""COMPUTED_VALUE"""),"edinha")</f>
        <v>edinha</v>
      </c>
      <c r="G245" s="3" t="str">
        <f>IFERROR(__xludf.DUMMYFUNCTION("""COMPUTED_VALUE"""),"fez errado")</f>
        <v>fez errado</v>
      </c>
    </row>
    <row r="246">
      <c r="A246" s="2">
        <f>IFERROR(__xludf.DUMMYFUNCTION("""COMPUTED_VALUE"""),45772.0)</f>
        <v>45772</v>
      </c>
      <c r="B246" s="3" t="str">
        <f>IFERROR(__xludf.DUMMYFUNCTION("""COMPUTED_VALUE"""),"torta de frango")</f>
        <v>torta de frango</v>
      </c>
      <c r="C246" s="3" t="str">
        <f>IFERROR(__xludf.DUMMYFUNCTION("""COMPUTED_VALUE"""),"Produto final")</f>
        <v>Produto final</v>
      </c>
      <c r="D246" s="3">
        <f>IFERROR(__xludf.DUMMYFUNCTION("""COMPUTED_VALUE"""),1.0)</f>
        <v>1</v>
      </c>
      <c r="E246" s="3" t="str">
        <f>IFERROR(__xludf.DUMMYFUNCTION("""COMPUTED_VALUE"""),"Erro de processo")</f>
        <v>Erro de processo</v>
      </c>
      <c r="F246" s="3" t="str">
        <f>IFERROR(__xludf.DUMMYFUNCTION("""COMPUTED_VALUE"""),"edinha")</f>
        <v>edinha</v>
      </c>
      <c r="G246" s="3" t="str">
        <f>IFERROR(__xludf.DUMMYFUNCTION("""COMPUTED_VALUE"""),"deixou cair")</f>
        <v>deixou cair</v>
      </c>
    </row>
    <row r="247">
      <c r="A247" s="2">
        <f>IFERROR(__xludf.DUMMYFUNCTION("""COMPUTED_VALUE"""),45773.0)</f>
        <v>45773</v>
      </c>
      <c r="B247" s="3" t="str">
        <f>IFERROR(__xludf.DUMMYFUNCTION("""COMPUTED_VALUE"""),"Torta Palmito")</f>
        <v>Torta Palmito</v>
      </c>
      <c r="C247" s="3" t="str">
        <f>IFERROR(__xludf.DUMMYFUNCTION("""COMPUTED_VALUE"""),"Produto final")</f>
        <v>Produto final</v>
      </c>
      <c r="D247" s="3">
        <f>IFERROR(__xludf.DUMMYFUNCTION("""COMPUTED_VALUE"""),1.0)</f>
        <v>1</v>
      </c>
      <c r="E247" s="3" t="str">
        <f>IFERROR(__xludf.DUMMYFUNCTION("""COMPUTED_VALUE"""),"Erro de processo")</f>
        <v>Erro de processo</v>
      </c>
      <c r="F247" s="3" t="str">
        <f>IFERROR(__xludf.DUMMYFUNCTION("""COMPUTED_VALUE"""),"Melissa")</f>
        <v>Melissa</v>
      </c>
      <c r="G247" s="3" t="str">
        <f>IFERROR(__xludf.DUMMYFUNCTION("""COMPUTED_VALUE"""),"Quebrou no manuseio")</f>
        <v>Quebrou no manuseio</v>
      </c>
    </row>
    <row r="248">
      <c r="A248" s="2">
        <f>IFERROR(__xludf.DUMMYFUNCTION("""COMPUTED_VALUE"""),45774.0)</f>
        <v>45774</v>
      </c>
      <c r="B248" s="3" t="str">
        <f>IFERROR(__xludf.DUMMYFUNCTION("""COMPUTED_VALUE"""),"pao de quijo unidade")</f>
        <v>pao de quijo unidade</v>
      </c>
      <c r="C248" s="3" t="str">
        <f>IFERROR(__xludf.DUMMYFUNCTION("""COMPUTED_VALUE"""),"Produto final")</f>
        <v>Produto final</v>
      </c>
      <c r="D248" s="3">
        <f>IFERROR(__xludf.DUMMYFUNCTION("""COMPUTED_VALUE"""),8.0)</f>
        <v>8</v>
      </c>
      <c r="E248" s="3" t="str">
        <f>IFERROR(__xludf.DUMMYFUNCTION("""COMPUTED_VALUE"""),"Venceu (Validade)")</f>
        <v>Venceu (Validade)</v>
      </c>
      <c r="F248" s="3" t="str">
        <f>IFERROR(__xludf.DUMMYFUNCTION("""COMPUTED_VALUE"""),"francisca")</f>
        <v>francisca</v>
      </c>
      <c r="G248" s="3" t="str">
        <f>IFERROR(__xludf.DUMMYFUNCTION("""COMPUTED_VALUE"""),"ja estava duro na geladeira")</f>
        <v>ja estava duro na geladeira</v>
      </c>
    </row>
    <row r="249">
      <c r="A249" s="2">
        <f>IFERROR(__xludf.DUMMYFUNCTION("""COMPUTED_VALUE"""),45774.0)</f>
        <v>45774</v>
      </c>
      <c r="B249" s="3" t="str">
        <f>IFERROR(__xludf.DUMMYFUNCTION("""COMPUTED_VALUE"""),"pao de quijo porcao")</f>
        <v>pao de quijo porcao</v>
      </c>
      <c r="C249" s="3" t="str">
        <f>IFERROR(__xludf.DUMMYFUNCTION("""COMPUTED_VALUE"""),"Produto final")</f>
        <v>Produto final</v>
      </c>
      <c r="D249" s="3">
        <f>IFERROR(__xludf.DUMMYFUNCTION("""COMPUTED_VALUE"""),1.0)</f>
        <v>1</v>
      </c>
      <c r="E249" s="3" t="str">
        <f>IFERROR(__xludf.DUMMYFUNCTION("""COMPUTED_VALUE"""),"Venceu (Validade)")</f>
        <v>Venceu (Validade)</v>
      </c>
      <c r="F249" s="3" t="str">
        <f>IFERROR(__xludf.DUMMYFUNCTION("""COMPUTED_VALUE"""),"francisca")</f>
        <v>francisca</v>
      </c>
      <c r="G249" s="3" t="str">
        <f>IFERROR(__xludf.DUMMYFUNCTION("""COMPUTED_VALUE"""),"ja estava duro na geladeira")</f>
        <v>ja estava duro na geladeira</v>
      </c>
    </row>
    <row r="250">
      <c r="A250" s="2">
        <f>IFERROR(__xludf.DUMMYFUNCTION("""COMPUTED_VALUE"""),45776.0)</f>
        <v>45776</v>
      </c>
      <c r="B250" s="3" t="str">
        <f>IFERROR(__xludf.DUMMYFUNCTION("""COMPUTED_VALUE"""),"leite")</f>
        <v>leite</v>
      </c>
      <c r="C250" s="3" t="str">
        <f>IFERROR(__xludf.DUMMYFUNCTION("""COMPUTED_VALUE"""),"Insumos")</f>
        <v>Insumos</v>
      </c>
      <c r="D250" s="3" t="str">
        <f>IFERROR(__xludf.DUMMYFUNCTION("""COMPUTED_VALUE"""),"600gr")</f>
        <v>600gr</v>
      </c>
      <c r="E250" s="3" t="str">
        <f>IFERROR(__xludf.DUMMYFUNCTION("""COMPUTED_VALUE"""),"Venceu (Validade)")</f>
        <v>Venceu (Validade)</v>
      </c>
      <c r="F250" s="3" t="str">
        <f>IFERROR(__xludf.DUMMYFUNCTION("""COMPUTED_VALUE"""),"Rafael")</f>
        <v>Rafael</v>
      </c>
      <c r="G250" s="3" t="str">
        <f>IFERROR(__xludf.DUMMYFUNCTION("""COMPUTED_VALUE"""),"estava com cheiro ruim")</f>
        <v>estava com cheiro ruim</v>
      </c>
    </row>
    <row r="251">
      <c r="A251" s="2">
        <f>IFERROR(__xludf.DUMMYFUNCTION("""COMPUTED_VALUE"""),45776.0)</f>
        <v>45776</v>
      </c>
      <c r="B251" s="3" t="str">
        <f>IFERROR(__xludf.DUMMYFUNCTION("""COMPUTED_VALUE"""),"Bolo de Cenoura com chocolate")</f>
        <v>Bolo de Cenoura com chocolate</v>
      </c>
      <c r="C251" s="3" t="str">
        <f>IFERROR(__xludf.DUMMYFUNCTION("""COMPUTED_VALUE"""),"Produto final")</f>
        <v>Produto final</v>
      </c>
      <c r="D251" s="3">
        <f>IFERROR(__xludf.DUMMYFUNCTION("""COMPUTED_VALUE"""),1.0)</f>
        <v>1</v>
      </c>
      <c r="E251" s="3" t="str">
        <f>IFERROR(__xludf.DUMMYFUNCTION("""COMPUTED_VALUE"""),"Erro de processo")</f>
        <v>Erro de processo</v>
      </c>
      <c r="F251" s="3" t="str">
        <f>IFERROR(__xludf.DUMMYFUNCTION("""COMPUTED_VALUE"""),"marilene")</f>
        <v>marilene</v>
      </c>
      <c r="G251" s="3" t="str">
        <f>IFERROR(__xludf.DUMMYFUNCTION("""COMPUTED_VALUE"""),"esquete cliente devolve")</f>
        <v>esquete cliente devolve</v>
      </c>
    </row>
    <row r="252">
      <c r="A252" s="2">
        <f>IFERROR(__xludf.DUMMYFUNCTION("""COMPUTED_VALUE"""),45777.0)</f>
        <v>45777</v>
      </c>
      <c r="B252" s="3" t="str">
        <f>IFERROR(__xludf.DUMMYFUNCTION("""COMPUTED_VALUE"""),"Espresso Latte Duplo")</f>
        <v>Espresso Latte Duplo</v>
      </c>
      <c r="C252" s="3" t="str">
        <f>IFERROR(__xludf.DUMMYFUNCTION("""COMPUTED_VALUE"""),"Produto final")</f>
        <v>Produto final</v>
      </c>
      <c r="D252" s="3">
        <f>IFERROR(__xludf.DUMMYFUNCTION("""COMPUTED_VALUE"""),1.0)</f>
        <v>1</v>
      </c>
      <c r="E252" s="3" t="str">
        <f>IFERROR(__xludf.DUMMYFUNCTION("""COMPUTED_VALUE"""),"Lançamento errado")</f>
        <v>Lançamento errado</v>
      </c>
      <c r="F252" s="3" t="str">
        <f>IFERROR(__xludf.DUMMYFUNCTION("""COMPUTED_VALUE"""),"Julia")</f>
        <v>Julia</v>
      </c>
      <c r="G252" s="3" t="str">
        <f>IFERROR(__xludf.DUMMYFUNCTION("""COMPUTED_VALUE"""),"Cliente pediu com leite frio, mas reclamou que estava muito frio quando chegou.")</f>
        <v>Cliente pediu com leite frio, mas reclamou que estava muito frio quando chegou.</v>
      </c>
    </row>
    <row r="253">
      <c r="A253" s="2">
        <f>IFERROR(__xludf.DUMMYFUNCTION("""COMPUTED_VALUE"""),45778.0)</f>
        <v>45778</v>
      </c>
      <c r="B253" s="3" t="str">
        <f>IFERROR(__xludf.DUMMYFUNCTION("""COMPUTED_VALUE"""),"Tostex Ciabatta")</f>
        <v>Tostex Ciabatta</v>
      </c>
      <c r="C253" s="3" t="str">
        <f>IFERROR(__xludf.DUMMYFUNCTION("""COMPUTED_VALUE"""),"Produto final")</f>
        <v>Produto final</v>
      </c>
      <c r="D253" s="3">
        <f>IFERROR(__xludf.DUMMYFUNCTION("""COMPUTED_VALUE"""),2.0)</f>
        <v>2</v>
      </c>
      <c r="E253" s="3" t="str">
        <f>IFERROR(__xludf.DUMMYFUNCTION("""COMPUTED_VALUE"""),"Erro de processo")</f>
        <v>Erro de processo</v>
      </c>
      <c r="F253" s="3" t="str">
        <f>IFERROR(__xludf.DUMMYFUNCTION("""COMPUTED_VALUE"""),"Marilene")</f>
        <v>Marilene</v>
      </c>
      <c r="G253" s="3" t="str">
        <f>IFERROR(__xludf.DUMMYFUNCTION("""COMPUTED_VALUE"""),"Deixou queimar")</f>
        <v>Deixou queimar</v>
      </c>
    </row>
    <row r="254">
      <c r="A254" s="2">
        <f>IFERROR(__xludf.DUMMYFUNCTION("""COMPUTED_VALUE"""),45778.0)</f>
        <v>45778</v>
      </c>
      <c r="B254" s="3" t="str">
        <f>IFERROR(__xludf.DUMMYFUNCTION("""COMPUTED_VALUE"""),"Copo pequeno")</f>
        <v>Copo pequeno</v>
      </c>
      <c r="C254" s="3" t="str">
        <f>IFERROR(__xludf.DUMMYFUNCTION("""COMPUTED_VALUE"""),"Utensílio")</f>
        <v>Utensílio</v>
      </c>
      <c r="D254" s="3">
        <f>IFERROR(__xludf.DUMMYFUNCTION("""COMPUTED_VALUE"""),1.0)</f>
        <v>1</v>
      </c>
      <c r="E254" s="3" t="str">
        <f>IFERROR(__xludf.DUMMYFUNCTION("""COMPUTED_VALUE"""),"Quebra")</f>
        <v>Quebra</v>
      </c>
      <c r="F254" s="3" t="str">
        <f>IFERROR(__xludf.DUMMYFUNCTION("""COMPUTED_VALUE"""),"Michele")</f>
        <v>Michele</v>
      </c>
      <c r="G254" s="3" t="str">
        <f>IFERROR(__xludf.DUMMYFUNCTION("""COMPUTED_VALUE"""),"Deixou cair")</f>
        <v>Deixou cair</v>
      </c>
    </row>
    <row r="255">
      <c r="A255" s="2">
        <f>IFERROR(__xludf.DUMMYFUNCTION("""COMPUTED_VALUE"""),45778.0)</f>
        <v>45778</v>
      </c>
      <c r="B255" s="3" t="str">
        <f>IFERROR(__xludf.DUMMYFUNCTION("""COMPUTED_VALUE"""),"Empada palmito")</f>
        <v>Empada palmito</v>
      </c>
      <c r="C255" s="3" t="str">
        <f>IFERROR(__xludf.DUMMYFUNCTION("""COMPUTED_VALUE"""),"Produto final")</f>
        <v>Produto final</v>
      </c>
      <c r="D255" s="3">
        <f>IFERROR(__xludf.DUMMYFUNCTION("""COMPUTED_VALUE"""),1.0)</f>
        <v>1</v>
      </c>
      <c r="E255" s="3" t="str">
        <f>IFERROR(__xludf.DUMMYFUNCTION("""COMPUTED_VALUE"""),"Erro de processo")</f>
        <v>Erro de processo</v>
      </c>
      <c r="F255" s="3" t="str">
        <f>IFERROR(__xludf.DUMMYFUNCTION("""COMPUTED_VALUE"""),"Francisca")</f>
        <v>Francisca</v>
      </c>
      <c r="G255" s="3" t="str">
        <f>IFERROR(__xludf.DUMMYFUNCTION("""COMPUTED_VALUE"""),"Deixou cair")</f>
        <v>Deixou cair</v>
      </c>
    </row>
    <row r="256">
      <c r="A256" s="2">
        <f>IFERROR(__xludf.DUMMYFUNCTION("""COMPUTED_VALUE"""),45779.0)</f>
        <v>45779</v>
      </c>
      <c r="B256" s="3" t="str">
        <f>IFERROR(__xludf.DUMMYFUNCTION("""COMPUTED_VALUE"""),"Torta Cheesecake")</f>
        <v>Torta Cheesecake</v>
      </c>
      <c r="C256" s="3" t="str">
        <f>IFERROR(__xludf.DUMMYFUNCTION("""COMPUTED_VALUE"""),"Produto final")</f>
        <v>Produto final</v>
      </c>
      <c r="D256" s="3">
        <f>IFERROR(__xludf.DUMMYFUNCTION("""COMPUTED_VALUE"""),1.0)</f>
        <v>1</v>
      </c>
      <c r="E256" s="3" t="str">
        <f>IFERROR(__xludf.DUMMYFUNCTION("""COMPUTED_VALUE"""),"Erro de processo")</f>
        <v>Erro de processo</v>
      </c>
      <c r="F256" s="3" t="str">
        <f>IFERROR(__xludf.DUMMYFUNCTION("""COMPUTED_VALUE"""),"Patrícia")</f>
        <v>Patrícia</v>
      </c>
      <c r="G256" s="3" t="str">
        <f>IFERROR(__xludf.DUMMYFUNCTION("""COMPUTED_VALUE"""),"Deixou cair")</f>
        <v>Deixou cair</v>
      </c>
    </row>
    <row r="257">
      <c r="A257" s="2">
        <f>IFERROR(__xludf.DUMMYFUNCTION("""COMPUTED_VALUE"""),45779.0)</f>
        <v>45779</v>
      </c>
      <c r="B257" s="3" t="str">
        <f>IFERROR(__xludf.DUMMYFUNCTION("""COMPUTED_VALUE"""),"Bolo Brigadeiro Holandes")</f>
        <v>Bolo Brigadeiro Holandes</v>
      </c>
      <c r="C257" s="3" t="str">
        <f>IFERROR(__xludf.DUMMYFUNCTION("""COMPUTED_VALUE"""),"Produto final")</f>
        <v>Produto final</v>
      </c>
      <c r="D257" s="3">
        <f>IFERROR(__xludf.DUMMYFUNCTION("""COMPUTED_VALUE"""),2.0)</f>
        <v>2</v>
      </c>
      <c r="E257" s="3" t="str">
        <f>IFERROR(__xludf.DUMMYFUNCTION("""COMPUTED_VALUE"""),"Outro")</f>
        <v>Outro</v>
      </c>
      <c r="F257" s="3" t="str">
        <f>IFERROR(__xludf.DUMMYFUNCTION("""COMPUTED_VALUE"""),"Paulo")</f>
        <v>Paulo</v>
      </c>
      <c r="G257" s="3" t="str">
        <f>IFERROR(__xludf.DUMMYFUNCTION("""COMPUTED_VALUE"""),"Ambos da mesma mesa com um fio de plástico (meio elástico) dentro do bolo. Cliente percebeu e devolveu. Já reportado à Brunna.")</f>
        <v>Ambos da mesma mesa com um fio de plástico (meio elástico) dentro do bolo. Cliente percebeu e devolveu. Já reportado à Brunna.</v>
      </c>
    </row>
    <row r="258">
      <c r="A258" s="2">
        <f>IFERROR(__xludf.DUMMYFUNCTION("""COMPUTED_VALUE"""),45780.0)</f>
        <v>45780</v>
      </c>
      <c r="B258" s="3" t="str">
        <f>IFERROR(__xludf.DUMMYFUNCTION("""COMPUTED_VALUE"""),"Pao de quijo porcao")</f>
        <v>Pao de quijo porcao</v>
      </c>
      <c r="C258" s="3" t="str">
        <f>IFERROR(__xludf.DUMMYFUNCTION("""COMPUTED_VALUE"""),"Produto final")</f>
        <v>Produto final</v>
      </c>
      <c r="D258" s="3">
        <f>IFERROR(__xludf.DUMMYFUNCTION("""COMPUTED_VALUE"""),2.0)</f>
        <v>2</v>
      </c>
      <c r="E258" s="3" t="str">
        <f>IFERROR(__xludf.DUMMYFUNCTION("""COMPUTED_VALUE"""),"Erro de processo")</f>
        <v>Erro de processo</v>
      </c>
      <c r="F258" s="3" t="str">
        <f>IFERROR(__xludf.DUMMYFUNCTION("""COMPUTED_VALUE"""),"Francisca")</f>
        <v>Francisca</v>
      </c>
      <c r="G258" s="3" t="str">
        <f>IFERROR(__xludf.DUMMYFUNCTION("""COMPUTED_VALUE"""),"Deixou muito forno")</f>
        <v>Deixou muito forno</v>
      </c>
    </row>
    <row r="259">
      <c r="A259" s="2">
        <f>IFERROR(__xludf.DUMMYFUNCTION("""COMPUTED_VALUE"""),45780.0)</f>
        <v>45780</v>
      </c>
      <c r="B259" s="3" t="str">
        <f>IFERROR(__xludf.DUMMYFUNCTION("""COMPUTED_VALUE"""),"Comanda")</f>
        <v>Comanda</v>
      </c>
      <c r="C259" s="3" t="str">
        <f>IFERROR(__xludf.DUMMYFUNCTION("""COMPUTED_VALUE"""),"Utensílio")</f>
        <v>Utensílio</v>
      </c>
      <c r="D259" s="3">
        <f>IFERROR(__xludf.DUMMYFUNCTION("""COMPUTED_VALUE"""),1.0)</f>
        <v>1</v>
      </c>
      <c r="E259" s="3" t="str">
        <f>IFERROR(__xludf.DUMMYFUNCTION("""COMPUTED_VALUE"""),"Quebra")</f>
        <v>Quebra</v>
      </c>
      <c r="F259" s="3" t="str">
        <f>IFERROR(__xludf.DUMMYFUNCTION("""COMPUTED_VALUE"""),"Marilene")</f>
        <v>Marilene</v>
      </c>
      <c r="G259" s="3" t="str">
        <f>IFERROR(__xludf.DUMMYFUNCTION("""COMPUTED_VALUE"""),"Estava rasgado")</f>
        <v>Estava rasgado</v>
      </c>
    </row>
    <row r="260">
      <c r="A260" s="2">
        <f>IFERROR(__xludf.DUMMYFUNCTION("""COMPUTED_VALUE"""),45781.0)</f>
        <v>45781</v>
      </c>
      <c r="B260" s="3" t="str">
        <f>IFERROR(__xludf.DUMMYFUNCTION("""COMPUTED_VALUE"""),"Copo pequeno")</f>
        <v>Copo pequeno</v>
      </c>
      <c r="C260" s="3" t="str">
        <f>IFERROR(__xludf.DUMMYFUNCTION("""COMPUTED_VALUE"""),"Utensílio")</f>
        <v>Utensílio</v>
      </c>
      <c r="D260" s="3">
        <f>IFERROR(__xludf.DUMMYFUNCTION("""COMPUTED_VALUE"""),1.0)</f>
        <v>1</v>
      </c>
      <c r="E260" s="3" t="str">
        <f>IFERROR(__xludf.DUMMYFUNCTION("""COMPUTED_VALUE"""),"Quebra")</f>
        <v>Quebra</v>
      </c>
      <c r="F260" s="3" t="str">
        <f>IFERROR(__xludf.DUMMYFUNCTION("""COMPUTED_VALUE"""),"Marilene")</f>
        <v>Marilene</v>
      </c>
      <c r="G260" s="3" t="str">
        <f>IFERROR(__xludf.DUMMYFUNCTION("""COMPUTED_VALUE"""),"Quebrou durante lavagem")</f>
        <v>Quebrou durante lavagem</v>
      </c>
    </row>
    <row r="261">
      <c r="A261" s="2">
        <f>IFERROR(__xludf.DUMMYFUNCTION("""COMPUTED_VALUE"""),45781.0)</f>
        <v>45781</v>
      </c>
      <c r="B261" s="3" t="str">
        <f>IFERROR(__xludf.DUMMYFUNCTION("""COMPUTED_VALUE"""),"Café Latte simples")</f>
        <v>Café Latte simples</v>
      </c>
      <c r="C261" s="3" t="str">
        <f>IFERROR(__xludf.DUMMYFUNCTION("""COMPUTED_VALUE"""),"Produto final")</f>
        <v>Produto final</v>
      </c>
      <c r="D261" s="3">
        <f>IFERROR(__xludf.DUMMYFUNCTION("""COMPUTED_VALUE"""),2.0)</f>
        <v>2</v>
      </c>
      <c r="E261" s="3" t="str">
        <f>IFERROR(__xludf.DUMMYFUNCTION("""COMPUTED_VALUE"""),"Erro de processo")</f>
        <v>Erro de processo</v>
      </c>
      <c r="F261" s="3" t="str">
        <f>IFERROR(__xludf.DUMMYFUNCTION("""COMPUTED_VALUE"""),"Paulo")</f>
        <v>Paulo</v>
      </c>
      <c r="G261" s="3" t="str">
        <f>IFERROR(__xludf.DUMMYFUNCTION("""COMPUTED_VALUE"""),"Lançou errado.")</f>
        <v>Lançou errado.</v>
      </c>
    </row>
    <row r="262">
      <c r="A262" s="2">
        <f>IFERROR(__xludf.DUMMYFUNCTION("""COMPUTED_VALUE"""),45781.0)</f>
        <v>45781</v>
      </c>
      <c r="B262" s="3" t="str">
        <f>IFERROR(__xludf.DUMMYFUNCTION("""COMPUTED_VALUE"""),"Tostex ciabata")</f>
        <v>Tostex ciabata</v>
      </c>
      <c r="C262" s="3" t="str">
        <f>IFERROR(__xludf.DUMMYFUNCTION("""COMPUTED_VALUE"""),"Produto final")</f>
        <v>Produto final</v>
      </c>
      <c r="D262" s="3">
        <f>IFERROR(__xludf.DUMMYFUNCTION("""COMPUTED_VALUE"""),1.0)</f>
        <v>1</v>
      </c>
      <c r="E262" s="3" t="str">
        <f>IFERROR(__xludf.DUMMYFUNCTION("""COMPUTED_VALUE"""),"Erro de processo")</f>
        <v>Erro de processo</v>
      </c>
      <c r="F262" s="3" t="str">
        <f>IFERROR(__xludf.DUMMYFUNCTION("""COMPUTED_VALUE"""),"Melissa")</f>
        <v>Melissa</v>
      </c>
      <c r="G262" s="3" t="str">
        <f>IFERROR(__xludf.DUMMYFUNCTION("""COMPUTED_VALUE"""),"Quebrou")</f>
        <v>Quebrou</v>
      </c>
    </row>
    <row r="263">
      <c r="A263" s="2">
        <f>IFERROR(__xludf.DUMMYFUNCTION("""COMPUTED_VALUE"""),45782.0)</f>
        <v>45782</v>
      </c>
      <c r="B263" s="3" t="str">
        <f>IFERROR(__xludf.DUMMYFUNCTION("""COMPUTED_VALUE"""),"Água de coco")</f>
        <v>Água de coco</v>
      </c>
      <c r="C263" s="3" t="str">
        <f>IFERROR(__xludf.DUMMYFUNCTION("""COMPUTED_VALUE"""),"Produto final")</f>
        <v>Produto final</v>
      </c>
      <c r="D263" s="3">
        <f>IFERROR(__xludf.DUMMYFUNCTION("""COMPUTED_VALUE"""),1.0)</f>
        <v>1</v>
      </c>
      <c r="E263" s="3" t="str">
        <f>IFERROR(__xludf.DUMMYFUNCTION("""COMPUTED_VALUE"""),"Venceu (Validade)")</f>
        <v>Venceu (Validade)</v>
      </c>
      <c r="F263" s="3" t="str">
        <f>IFERROR(__xludf.DUMMYFUNCTION("""COMPUTED_VALUE"""),"Michele")</f>
        <v>Michele</v>
      </c>
      <c r="G263" s="3" t="str">
        <f>IFERROR(__xludf.DUMMYFUNCTION("""COMPUTED_VALUE"""),"Sem observação")</f>
        <v>Sem observação</v>
      </c>
    </row>
    <row r="264">
      <c r="A264" s="2">
        <f>IFERROR(__xludf.DUMMYFUNCTION("""COMPUTED_VALUE"""),45783.0)</f>
        <v>45783</v>
      </c>
      <c r="B264" s="3" t="str">
        <f>IFERROR(__xludf.DUMMYFUNCTION("""COMPUTED_VALUE"""),"Tapioca")</f>
        <v>Tapioca</v>
      </c>
      <c r="C264" s="3" t="str">
        <f>IFERROR(__xludf.DUMMYFUNCTION("""COMPUTED_VALUE"""),"Insumos")</f>
        <v>Insumos</v>
      </c>
      <c r="D264" s="3" t="str">
        <f>IFERROR(__xludf.DUMMYFUNCTION("""COMPUTED_VALUE"""),"100g")</f>
        <v>100g</v>
      </c>
      <c r="E264" s="3" t="str">
        <f>IFERROR(__xludf.DUMMYFUNCTION("""COMPUTED_VALUE"""),"Erro de processo")</f>
        <v>Erro de processo</v>
      </c>
      <c r="F264" s="3" t="str">
        <f>IFERROR(__xludf.DUMMYFUNCTION("""COMPUTED_VALUE"""),"Ana Julia")</f>
        <v>Ana Julia</v>
      </c>
      <c r="G264" s="3" t="str">
        <f>IFERROR(__xludf.DUMMYFUNCTION("""COMPUTED_VALUE"""),"Fez errado")</f>
        <v>Fez errado</v>
      </c>
    </row>
    <row r="265">
      <c r="A265" s="2">
        <f>IFERROR(__xludf.DUMMYFUNCTION("""COMPUTED_VALUE"""),45783.0)</f>
        <v>45783</v>
      </c>
      <c r="B265" s="3" t="str">
        <f>IFERROR(__xludf.DUMMYFUNCTION("""COMPUTED_VALUE"""),"Empada frango")</f>
        <v>Empada frango</v>
      </c>
      <c r="C265" s="3" t="str">
        <f>IFERROR(__xludf.DUMMYFUNCTION("""COMPUTED_VALUE"""),"Produto final")</f>
        <v>Produto final</v>
      </c>
      <c r="D265" s="3">
        <f>IFERROR(__xludf.DUMMYFUNCTION("""COMPUTED_VALUE"""),1.0)</f>
        <v>1</v>
      </c>
      <c r="E265" s="3" t="str">
        <f>IFERROR(__xludf.DUMMYFUNCTION("""COMPUTED_VALUE"""),"Lançamento errado")</f>
        <v>Lançamento errado</v>
      </c>
      <c r="F265" s="3" t="str">
        <f>IFERROR(__xludf.DUMMYFUNCTION("""COMPUTED_VALUE"""),"Ana Julia")</f>
        <v>Ana Julia</v>
      </c>
      <c r="G265" s="3" t="str">
        <f>IFERROR(__xludf.DUMMYFUNCTION("""COMPUTED_VALUE"""),"Era de palmito e foi lançado frango")</f>
        <v>Era de palmito e foi lançado frango</v>
      </c>
    </row>
    <row r="266">
      <c r="A266" s="2">
        <f>IFERROR(__xludf.DUMMYFUNCTION("""COMPUTED_VALUE"""),45785.0)</f>
        <v>45785</v>
      </c>
      <c r="B266" s="3" t="str">
        <f>IFERROR(__xludf.DUMMYFUNCTION("""COMPUTED_VALUE"""),"Pote plástico")</f>
        <v>Pote plástico</v>
      </c>
      <c r="C266" s="3" t="str">
        <f>IFERROR(__xludf.DUMMYFUNCTION("""COMPUTED_VALUE"""),"Utensílio")</f>
        <v>Utensílio</v>
      </c>
      <c r="D266" s="3">
        <f>IFERROR(__xludf.DUMMYFUNCTION("""COMPUTED_VALUE"""),1.0)</f>
        <v>1</v>
      </c>
      <c r="E266" s="3" t="str">
        <f>IFERROR(__xludf.DUMMYFUNCTION("""COMPUTED_VALUE"""),"Quebra")</f>
        <v>Quebra</v>
      </c>
      <c r="F266" s="3" t="str">
        <f>IFERROR(__xludf.DUMMYFUNCTION("""COMPUTED_VALUE"""),"Patrícia")</f>
        <v>Patrícia</v>
      </c>
      <c r="G266" s="3" t="str">
        <f>IFERROR(__xludf.DUMMYFUNCTION("""COMPUTED_VALUE"""),"Quebrada (rachada)")</f>
        <v>Quebrada (rachada)</v>
      </c>
    </row>
    <row r="267">
      <c r="A267" s="2">
        <f>IFERROR(__xludf.DUMMYFUNCTION("""COMPUTED_VALUE"""),45787.0)</f>
        <v>45787</v>
      </c>
      <c r="B267" s="3" t="str">
        <f>IFERROR(__xludf.DUMMYFUNCTION("""COMPUTED_VALUE"""),"Copo shot")</f>
        <v>Copo shot</v>
      </c>
      <c r="C267" s="3" t="str">
        <f>IFERROR(__xludf.DUMMYFUNCTION("""COMPUTED_VALUE"""),"Utensílio")</f>
        <v>Utensílio</v>
      </c>
      <c r="D267" s="3">
        <f>IFERROR(__xludf.DUMMYFUNCTION("""COMPUTED_VALUE"""),1.0)</f>
        <v>1</v>
      </c>
      <c r="E267" s="3" t="str">
        <f>IFERROR(__xludf.DUMMYFUNCTION("""COMPUTED_VALUE"""),"Quebra")</f>
        <v>Quebra</v>
      </c>
      <c r="F267" s="3" t="str">
        <f>IFERROR(__xludf.DUMMYFUNCTION("""COMPUTED_VALUE"""),"Alex")</f>
        <v>Alex</v>
      </c>
      <c r="G267" s="3" t="str">
        <f>IFERROR(__xludf.DUMMYFUNCTION("""COMPUTED_VALUE"""),"Quebrado na cesta de copos")</f>
        <v>Quebrado na cesta de copos</v>
      </c>
    </row>
    <row r="268">
      <c r="A268" s="2">
        <f>IFERROR(__xludf.DUMMYFUNCTION("""COMPUTED_VALUE"""),45787.0)</f>
        <v>45787</v>
      </c>
      <c r="B268" s="3" t="str">
        <f>IFERROR(__xludf.DUMMYFUNCTION("""COMPUTED_VALUE"""),"Pão ciabatta")</f>
        <v>Pão ciabatta</v>
      </c>
      <c r="C268" s="3" t="str">
        <f>IFERROR(__xludf.DUMMYFUNCTION("""COMPUTED_VALUE"""),"Insumos")</f>
        <v>Insumos</v>
      </c>
      <c r="D268" s="3">
        <f>IFERROR(__xludf.DUMMYFUNCTION("""COMPUTED_VALUE"""),1.0)</f>
        <v>1</v>
      </c>
      <c r="E268" s="3" t="str">
        <f>IFERROR(__xludf.DUMMYFUNCTION("""COMPUTED_VALUE"""),"Erro de processo")</f>
        <v>Erro de processo</v>
      </c>
      <c r="F268" s="3" t="str">
        <f>IFERROR(__xludf.DUMMYFUNCTION("""COMPUTED_VALUE"""),"Melissa")</f>
        <v>Melissa</v>
      </c>
      <c r="G268" s="3" t="str">
        <f>IFERROR(__xludf.DUMMYFUNCTION("""COMPUTED_VALUE"""),"Deixou cair.")</f>
        <v>Deixou cair.</v>
      </c>
    </row>
    <row r="269">
      <c r="A269" s="2">
        <f>IFERROR(__xludf.DUMMYFUNCTION("""COMPUTED_VALUE"""),45787.0)</f>
        <v>45787</v>
      </c>
      <c r="B269" s="3" t="str">
        <f>IFERROR(__xludf.DUMMYFUNCTION("""COMPUTED_VALUE"""),"Filtro V60")</f>
        <v>Filtro V60</v>
      </c>
      <c r="C269" s="3" t="str">
        <f>IFERROR(__xludf.DUMMYFUNCTION("""COMPUTED_VALUE"""),"Utensílio")</f>
        <v>Utensílio</v>
      </c>
      <c r="D269" s="3">
        <f>IFERROR(__xludf.DUMMYFUNCTION("""COMPUTED_VALUE"""),1.0)</f>
        <v>1</v>
      </c>
      <c r="E269" s="3" t="str">
        <f>IFERROR(__xludf.DUMMYFUNCTION("""COMPUTED_VALUE"""),"Erro de processo")</f>
        <v>Erro de processo</v>
      </c>
      <c r="F269" s="3" t="str">
        <f>IFERROR(__xludf.DUMMYFUNCTION("""COMPUTED_VALUE"""),"Alex")</f>
        <v>Alex</v>
      </c>
      <c r="G269" s="3" t="str">
        <f>IFERROR(__xludf.DUMMYFUNCTION("""COMPUTED_VALUE"""),"Rasgou")</f>
        <v>Rasgou</v>
      </c>
    </row>
    <row r="270">
      <c r="A270" s="2">
        <f>IFERROR(__xludf.DUMMYFUNCTION("""COMPUTED_VALUE"""),45787.0)</f>
        <v>45787</v>
      </c>
      <c r="B270" s="3" t="str">
        <f>IFERROR(__xludf.DUMMYFUNCTION("""COMPUTED_VALUE"""),"Caldo de Mandioquinha")</f>
        <v>Caldo de Mandioquinha</v>
      </c>
      <c r="C270" s="3" t="str">
        <f>IFERROR(__xludf.DUMMYFUNCTION("""COMPUTED_VALUE"""),"Insumos")</f>
        <v>Insumos</v>
      </c>
      <c r="D270" s="3">
        <f>IFERROR(__xludf.DUMMYFUNCTION("""COMPUTED_VALUE"""),4.0)</f>
        <v>4</v>
      </c>
      <c r="E270" s="3" t="str">
        <f>IFERROR(__xludf.DUMMYFUNCTION("""COMPUTED_VALUE"""),"Venceu (Validade)")</f>
        <v>Venceu (Validade)</v>
      </c>
      <c r="F270" s="3" t="str">
        <f>IFERROR(__xludf.DUMMYFUNCTION("""COMPUTED_VALUE"""),"Patrícia")</f>
        <v>Patrícia</v>
      </c>
      <c r="G270" s="3" t="str">
        <f>IFERROR(__xludf.DUMMYFUNCTION("""COMPUTED_VALUE"""),"Venceu em 10/05/25")</f>
        <v>Venceu em 10/05/25</v>
      </c>
    </row>
    <row r="271">
      <c r="A271" s="2">
        <f>IFERROR(__xludf.DUMMYFUNCTION("""COMPUTED_VALUE"""),45788.0)</f>
        <v>45788</v>
      </c>
      <c r="B271" s="3" t="str">
        <f>IFERROR(__xludf.DUMMYFUNCTION("""COMPUTED_VALUE"""),"Jarra plástica grande")</f>
        <v>Jarra plástica grande</v>
      </c>
      <c r="C271" s="3" t="str">
        <f>IFERROR(__xludf.DUMMYFUNCTION("""COMPUTED_VALUE"""),"Utensílio")</f>
        <v>Utensílio</v>
      </c>
      <c r="D271" s="3">
        <f>IFERROR(__xludf.DUMMYFUNCTION("""COMPUTED_VALUE"""),1.0)</f>
        <v>1</v>
      </c>
      <c r="E271" s="3" t="str">
        <f>IFERROR(__xludf.DUMMYFUNCTION("""COMPUTED_VALUE"""),"Quebra")</f>
        <v>Quebra</v>
      </c>
      <c r="F271" s="3" t="str">
        <f>IFERROR(__xludf.DUMMYFUNCTION("""COMPUTED_VALUE"""),"Rafael")</f>
        <v>Rafael</v>
      </c>
      <c r="G271" s="3" t="str">
        <f>IFERROR(__xludf.DUMMYFUNCTION("""COMPUTED_VALUE"""),"Quebrou durante lavagem")</f>
        <v>Quebrou durante lavagem</v>
      </c>
    </row>
    <row r="272">
      <c r="A272" s="2">
        <f>IFERROR(__xludf.DUMMYFUNCTION("""COMPUTED_VALUE"""),45789.0)</f>
        <v>45789</v>
      </c>
      <c r="B272" s="3" t="str">
        <f>IFERROR(__xludf.DUMMYFUNCTION("""COMPUTED_VALUE"""),"Pão de queijo porção")</f>
        <v>Pão de queijo porção</v>
      </c>
      <c r="C272" s="3" t="str">
        <f>IFERROR(__xludf.DUMMYFUNCTION("""COMPUTED_VALUE"""),"Produto final")</f>
        <v>Produto final</v>
      </c>
      <c r="D272" s="3">
        <f>IFERROR(__xludf.DUMMYFUNCTION("""COMPUTED_VALUE"""),1.0)</f>
        <v>1</v>
      </c>
      <c r="E272" s="3" t="str">
        <f>IFERROR(__xludf.DUMMYFUNCTION("""COMPUTED_VALUE"""),"Erro de processo")</f>
        <v>Erro de processo</v>
      </c>
      <c r="F272" s="3" t="str">
        <f>IFERROR(__xludf.DUMMYFUNCTION("""COMPUTED_VALUE"""),"David")</f>
        <v>David</v>
      </c>
      <c r="G272" s="3" t="str">
        <f>IFERROR(__xludf.DUMMYFUNCTION("""COMPUTED_VALUE"""),"Deixou queimar")</f>
        <v>Deixou queimar</v>
      </c>
    </row>
    <row r="273">
      <c r="A273" s="2">
        <f>IFERROR(__xludf.DUMMYFUNCTION("""COMPUTED_VALUE"""),45790.0)</f>
        <v>45790</v>
      </c>
      <c r="B273" s="3" t="str">
        <f>IFERROR(__xludf.DUMMYFUNCTION("""COMPUTED_VALUE"""),"xicara grande")</f>
        <v>xicara grande</v>
      </c>
      <c r="C273" s="3" t="str">
        <f>IFERROR(__xludf.DUMMYFUNCTION("""COMPUTED_VALUE"""),"Utensílio")</f>
        <v>Utensílio</v>
      </c>
      <c r="D273" s="3">
        <f>IFERROR(__xludf.DUMMYFUNCTION("""COMPUTED_VALUE"""),1.0)</f>
        <v>1</v>
      </c>
      <c r="E273" s="3" t="str">
        <f>IFERROR(__xludf.DUMMYFUNCTION("""COMPUTED_VALUE"""),"Quebra")</f>
        <v>Quebra</v>
      </c>
      <c r="F273" s="3" t="str">
        <f>IFERROR(__xludf.DUMMYFUNCTION("""COMPUTED_VALUE"""),"Rafael")</f>
        <v>Rafael</v>
      </c>
      <c r="G273" s="3" t="str">
        <f>IFERROR(__xludf.DUMMYFUNCTION("""COMPUTED_VALUE"""),"Deixou cair ao tirar do escorredor")</f>
        <v>Deixou cair ao tirar do escorredor</v>
      </c>
    </row>
    <row r="274">
      <c r="A274" s="2">
        <f>IFERROR(__xludf.DUMMYFUNCTION("""COMPUTED_VALUE"""),45791.0)</f>
        <v>45791</v>
      </c>
      <c r="B274" s="3" t="str">
        <f>IFERROR(__xludf.DUMMYFUNCTION("""COMPUTED_VALUE"""),"Copo médio")</f>
        <v>Copo médio</v>
      </c>
      <c r="C274" s="3" t="str">
        <f>IFERROR(__xludf.DUMMYFUNCTION("""COMPUTED_VALUE"""),"Utensílio")</f>
        <v>Utensílio</v>
      </c>
      <c r="D274" s="3">
        <f>IFERROR(__xludf.DUMMYFUNCTION("""COMPUTED_VALUE"""),1.0)</f>
        <v>1</v>
      </c>
      <c r="E274" s="3" t="str">
        <f>IFERROR(__xludf.DUMMYFUNCTION("""COMPUTED_VALUE"""),"Quebra")</f>
        <v>Quebra</v>
      </c>
      <c r="F274" s="3" t="str">
        <f>IFERROR(__xludf.DUMMYFUNCTION("""COMPUTED_VALUE"""),"Ana Julia")</f>
        <v>Ana Julia</v>
      </c>
      <c r="G274" s="3" t="str">
        <f>IFERROR(__xludf.DUMMYFUNCTION("""COMPUTED_VALUE"""),"Deixou cair ao recolher no salão")</f>
        <v>Deixou cair ao recolher no salão</v>
      </c>
    </row>
    <row r="275">
      <c r="A275" s="2">
        <f>IFERROR(__xludf.DUMMYFUNCTION("""COMPUTED_VALUE"""),45793.0)</f>
        <v>45793</v>
      </c>
      <c r="B275" s="3" t="str">
        <f>IFERROR(__xludf.DUMMYFUNCTION("""COMPUTED_VALUE"""),"Torta Banoffee")</f>
        <v>Torta Banoffee</v>
      </c>
      <c r="C275" s="3" t="str">
        <f>IFERROR(__xludf.DUMMYFUNCTION("""COMPUTED_VALUE"""),"Produto final")</f>
        <v>Produto final</v>
      </c>
      <c r="D275" s="3">
        <f>IFERROR(__xludf.DUMMYFUNCTION("""COMPUTED_VALUE"""),1.0)</f>
        <v>1</v>
      </c>
      <c r="E275" s="3" t="str">
        <f>IFERROR(__xludf.DUMMYFUNCTION("""COMPUTED_VALUE"""),"Venceu (Validade)")</f>
        <v>Venceu (Validade)</v>
      </c>
      <c r="F275" s="3" t="str">
        <f>IFERROR(__xludf.DUMMYFUNCTION("""COMPUTED_VALUE"""),"Melissa")</f>
        <v>Melissa</v>
      </c>
      <c r="G275" s="3" t="str">
        <f>IFERROR(__xludf.DUMMYFUNCTION("""COMPUTED_VALUE"""),"Venceu")</f>
        <v>Venceu</v>
      </c>
    </row>
    <row r="276">
      <c r="A276" s="2">
        <f>IFERROR(__xludf.DUMMYFUNCTION("""COMPUTED_VALUE"""),45793.0)</f>
        <v>45793</v>
      </c>
      <c r="B276" s="3" t="str">
        <f>IFERROR(__xludf.DUMMYFUNCTION("""COMPUTED_VALUE"""),"Pão de forma tradicional")</f>
        <v>Pão de forma tradicional</v>
      </c>
      <c r="C276" s="3" t="str">
        <f>IFERROR(__xludf.DUMMYFUNCTION("""COMPUTED_VALUE"""),"Insumos")</f>
        <v>Insumos</v>
      </c>
      <c r="D276" s="3">
        <f>IFERROR(__xludf.DUMMYFUNCTION("""COMPUTED_VALUE"""),1.0)</f>
        <v>1</v>
      </c>
      <c r="E276" s="3" t="str">
        <f>IFERROR(__xludf.DUMMYFUNCTION("""COMPUTED_VALUE"""),"Erro de processo")</f>
        <v>Erro de processo</v>
      </c>
      <c r="F276" s="3" t="str">
        <f>IFERROR(__xludf.DUMMYFUNCTION("""COMPUTED_VALUE"""),"Melissa")</f>
        <v>Melissa</v>
      </c>
      <c r="G276" s="3" t="str">
        <f>IFERROR(__xludf.DUMMYFUNCTION("""COMPUTED_VALUE"""),"Erro durante preparo.")</f>
        <v>Erro durante preparo.</v>
      </c>
    </row>
    <row r="277">
      <c r="A277" s="2">
        <f>IFERROR(__xludf.DUMMYFUNCTION("""COMPUTED_VALUE"""),45794.0)</f>
        <v>45794</v>
      </c>
      <c r="B277" s="3" t="str">
        <f>IFERROR(__xludf.DUMMYFUNCTION("""COMPUTED_VALUE"""),"Copo shot")</f>
        <v>Copo shot</v>
      </c>
      <c r="C277" s="3" t="str">
        <f>IFERROR(__xludf.DUMMYFUNCTION("""COMPUTED_VALUE"""),"Utensílio")</f>
        <v>Utensílio</v>
      </c>
      <c r="D277" s="3">
        <f>IFERROR(__xludf.DUMMYFUNCTION("""COMPUTED_VALUE"""),1.0)</f>
        <v>1</v>
      </c>
      <c r="E277" s="3" t="str">
        <f>IFERROR(__xludf.DUMMYFUNCTION("""COMPUTED_VALUE"""),"Quebra")</f>
        <v>Quebra</v>
      </c>
      <c r="F277" s="3" t="str">
        <f>IFERROR(__xludf.DUMMYFUNCTION("""COMPUTED_VALUE"""),"Rafael")</f>
        <v>Rafael</v>
      </c>
      <c r="G277" s="3" t="str">
        <f>IFERROR(__xludf.DUMMYFUNCTION("""COMPUTED_VALUE"""),"Deixou cair")</f>
        <v>Deixou cair</v>
      </c>
    </row>
    <row r="278">
      <c r="A278" s="2">
        <f>IFERROR(__xludf.DUMMYFUNCTION("""COMPUTED_VALUE"""),45794.0)</f>
        <v>45794</v>
      </c>
      <c r="B278" s="3" t="str">
        <f>IFERROR(__xludf.DUMMYFUNCTION("""COMPUTED_VALUE"""),"Aeropress Frutado")</f>
        <v>Aeropress Frutado</v>
      </c>
      <c r="C278" s="3" t="str">
        <f>IFERROR(__xludf.DUMMYFUNCTION("""COMPUTED_VALUE"""),"Produto final")</f>
        <v>Produto final</v>
      </c>
      <c r="D278" s="3">
        <f>IFERROR(__xludf.DUMMYFUNCTION("""COMPUTED_VALUE"""),1.0)</f>
        <v>1</v>
      </c>
      <c r="E278" s="3" t="str">
        <f>IFERROR(__xludf.DUMMYFUNCTION("""COMPUTED_VALUE"""),"Erro de processo")</f>
        <v>Erro de processo</v>
      </c>
      <c r="F278" s="3" t="str">
        <f>IFERROR(__xludf.DUMMYFUNCTION("""COMPUTED_VALUE"""),"Rafael")</f>
        <v>Rafael</v>
      </c>
      <c r="G278" s="3" t="str">
        <f>IFERROR(__xludf.DUMMYFUNCTION("""COMPUTED_VALUE"""),"Derramou")</f>
        <v>Derramou</v>
      </c>
    </row>
    <row r="279">
      <c r="A279" s="2">
        <f>IFERROR(__xludf.DUMMYFUNCTION("""COMPUTED_VALUE"""),45795.0)</f>
        <v>45795</v>
      </c>
      <c r="B279" s="3" t="str">
        <f>IFERROR(__xludf.DUMMYFUNCTION("""COMPUTED_VALUE"""),"Penne")</f>
        <v>Penne</v>
      </c>
      <c r="C279" s="3" t="str">
        <f>IFERROR(__xludf.DUMMYFUNCTION("""COMPUTED_VALUE"""),"Insumos")</f>
        <v>Insumos</v>
      </c>
      <c r="D279" s="3">
        <f>IFERROR(__xludf.DUMMYFUNCTION("""COMPUTED_VALUE"""),1.0)</f>
        <v>1</v>
      </c>
      <c r="E279" s="3" t="str">
        <f>IFERROR(__xludf.DUMMYFUNCTION("""COMPUTED_VALUE"""),"Erro de processo")</f>
        <v>Erro de processo</v>
      </c>
      <c r="F279" s="3" t="str">
        <f>IFERROR(__xludf.DUMMYFUNCTION("""COMPUTED_VALUE"""),"Patrícia")</f>
        <v>Patrícia</v>
      </c>
      <c r="G279" s="3" t="str">
        <f>IFERROR(__xludf.DUMMYFUNCTION("""COMPUTED_VALUE"""),"Encontrado no chão atrás da geladeira durante limpeza semanal.")</f>
        <v>Encontrado no chão atrás da geladeira durante limpeza semanal.</v>
      </c>
    </row>
    <row r="280">
      <c r="A280" s="2">
        <f>IFERROR(__xludf.DUMMYFUNCTION("""COMPUTED_VALUE"""),45797.0)</f>
        <v>45797</v>
      </c>
      <c r="B280" s="3" t="str">
        <f>IFERROR(__xludf.DUMMYFUNCTION("""COMPUTED_VALUE"""),"Tapioca Margerita")</f>
        <v>Tapioca Margerita</v>
      </c>
      <c r="C280" s="3" t="str">
        <f>IFERROR(__xludf.DUMMYFUNCTION("""COMPUTED_VALUE"""),"Produto final")</f>
        <v>Produto final</v>
      </c>
      <c r="D280" s="3">
        <f>IFERROR(__xludf.DUMMYFUNCTION("""COMPUTED_VALUE"""),1.0)</f>
        <v>1</v>
      </c>
      <c r="E280" s="3" t="str">
        <f>IFERROR(__xludf.DUMMYFUNCTION("""COMPUTED_VALUE"""),"Erro de processo")</f>
        <v>Erro de processo</v>
      </c>
      <c r="F280" s="3" t="str">
        <f>IFERROR(__xludf.DUMMYFUNCTION("""COMPUTED_VALUE"""),"Paulo")</f>
        <v>Paulo</v>
      </c>
      <c r="G280" s="3" t="str">
        <f>IFERROR(__xludf.DUMMYFUNCTION("""COMPUTED_VALUE"""),"Lançou Marguerita no lugar de Manteiga")</f>
        <v>Lançou Marguerita no lugar de Manteiga</v>
      </c>
    </row>
    <row r="281">
      <c r="A281" s="2">
        <f>IFERROR(__xludf.DUMMYFUNCTION("""COMPUTED_VALUE"""),45798.0)</f>
        <v>45798</v>
      </c>
      <c r="B281" s="3" t="str">
        <f>IFERROR(__xludf.DUMMYFUNCTION("""COMPUTED_VALUE"""),"Copo grande")</f>
        <v>Copo grande</v>
      </c>
      <c r="C281" s="3" t="str">
        <f>IFERROR(__xludf.DUMMYFUNCTION("""COMPUTED_VALUE"""),"Utensílio")</f>
        <v>Utensílio</v>
      </c>
      <c r="D281" s="3">
        <f>IFERROR(__xludf.DUMMYFUNCTION("""COMPUTED_VALUE"""),1.0)</f>
        <v>1</v>
      </c>
      <c r="E281" s="3" t="str">
        <f>IFERROR(__xludf.DUMMYFUNCTION("""COMPUTED_VALUE"""),"Quebra")</f>
        <v>Quebra</v>
      </c>
      <c r="F281" s="3" t="str">
        <f>IFERROR(__xludf.DUMMYFUNCTION("""COMPUTED_VALUE"""),"Marilene")</f>
        <v>Marilene</v>
      </c>
      <c r="G281" s="3" t="str">
        <f>IFERROR(__xludf.DUMMYFUNCTION("""COMPUTED_VALUE"""),"Quebrado durante lavagem (máquina)")</f>
        <v>Quebrado durante lavagem (máquina)</v>
      </c>
    </row>
    <row r="282">
      <c r="A282" s="2">
        <f>IFERROR(__xludf.DUMMYFUNCTION("""COMPUTED_VALUE"""),45798.0)</f>
        <v>45798</v>
      </c>
      <c r="B282" s="3" t="str">
        <f>IFERROR(__xludf.DUMMYFUNCTION("""COMPUTED_VALUE"""),"Tostex ciabata")</f>
        <v>Tostex ciabata</v>
      </c>
      <c r="C282" s="3" t="str">
        <f>IFERROR(__xludf.DUMMYFUNCTION("""COMPUTED_VALUE"""),"Produto final")</f>
        <v>Produto final</v>
      </c>
      <c r="D282" s="3">
        <f>IFERROR(__xludf.DUMMYFUNCTION("""COMPUTED_VALUE"""),1.0)</f>
        <v>1</v>
      </c>
      <c r="E282" s="3" t="str">
        <f>IFERROR(__xludf.DUMMYFUNCTION("""COMPUTED_VALUE"""),"Erro de processo")</f>
        <v>Erro de processo</v>
      </c>
      <c r="F282" s="3" t="str">
        <f>IFERROR(__xludf.DUMMYFUNCTION("""COMPUTED_VALUE"""),"Francisca")</f>
        <v>Francisca</v>
      </c>
      <c r="G282" s="3" t="str">
        <f>IFERROR(__xludf.DUMMYFUNCTION("""COMPUTED_VALUE"""),"Quebrou durante manuseio (corte).")</f>
        <v>Quebrou durante manuseio (corte).</v>
      </c>
    </row>
    <row r="283">
      <c r="A283" s="2">
        <f>IFERROR(__xludf.DUMMYFUNCTION("""COMPUTED_VALUE"""),45799.0)</f>
        <v>45799</v>
      </c>
      <c r="B283" s="3" t="str">
        <f>IFERROR(__xludf.DUMMYFUNCTION("""COMPUTED_VALUE"""),"Pão de queijo porção")</f>
        <v>Pão de queijo porção</v>
      </c>
      <c r="C283" s="3" t="str">
        <f>IFERROR(__xludf.DUMMYFUNCTION("""COMPUTED_VALUE"""),"Produto final")</f>
        <v>Produto final</v>
      </c>
      <c r="D283" s="3">
        <f>IFERROR(__xludf.DUMMYFUNCTION("""COMPUTED_VALUE"""),1.0)</f>
        <v>1</v>
      </c>
      <c r="E283" s="3" t="str">
        <f>IFERROR(__xludf.DUMMYFUNCTION("""COMPUTED_VALUE"""),"Venceu (Validade)")</f>
        <v>Venceu (Validade)</v>
      </c>
      <c r="F283" s="3" t="str">
        <f>IFERROR(__xludf.DUMMYFUNCTION("""COMPUTED_VALUE"""),"Melissa")</f>
        <v>Melissa</v>
      </c>
      <c r="G283" s="3" t="str">
        <f>IFERROR(__xludf.DUMMYFUNCTION("""COMPUTED_VALUE"""),"Vencido")</f>
        <v>Vencido</v>
      </c>
    </row>
    <row r="284">
      <c r="A284" s="2">
        <f>IFERROR(__xludf.DUMMYFUNCTION("""COMPUTED_VALUE"""),45799.0)</f>
        <v>45799</v>
      </c>
      <c r="B284" s="3" t="str">
        <f>IFERROR(__xludf.DUMMYFUNCTION("""COMPUTED_VALUE"""),"Tomate")</f>
        <v>Tomate</v>
      </c>
      <c r="C284" s="3" t="str">
        <f>IFERROR(__xludf.DUMMYFUNCTION("""COMPUTED_VALUE"""),"Hortifruti")</f>
        <v>Hortifruti</v>
      </c>
      <c r="D284" s="3" t="str">
        <f>IFERROR(__xludf.DUMMYFUNCTION("""COMPUTED_VALUE"""),"200g")</f>
        <v>200g</v>
      </c>
      <c r="E284" s="3" t="str">
        <f>IFERROR(__xludf.DUMMYFUNCTION("""COMPUTED_VALUE"""),"Venceu (Validade)")</f>
        <v>Venceu (Validade)</v>
      </c>
      <c r="F284" s="3" t="str">
        <f>IFERROR(__xludf.DUMMYFUNCTION("""COMPUTED_VALUE"""),"Patrícia")</f>
        <v>Patrícia</v>
      </c>
      <c r="G284" s="3" t="str">
        <f>IFERROR(__xludf.DUMMYFUNCTION("""COMPUTED_VALUE"""),"Vencido")</f>
        <v>Vencido</v>
      </c>
    </row>
    <row r="285">
      <c r="A285" s="2">
        <f>IFERROR(__xludf.DUMMYFUNCTION("""COMPUTED_VALUE"""),45799.0)</f>
        <v>45799</v>
      </c>
      <c r="B285" s="3" t="str">
        <f>IFERROR(__xludf.DUMMYFUNCTION("""COMPUTED_VALUE"""),"Empada palmito")</f>
        <v>Empada palmito</v>
      </c>
      <c r="C285" s="3" t="str">
        <f>IFERROR(__xludf.DUMMYFUNCTION("""COMPUTED_VALUE"""),"Produto final")</f>
        <v>Produto final</v>
      </c>
      <c r="D285" s="3">
        <f>IFERROR(__xludf.DUMMYFUNCTION("""COMPUTED_VALUE"""),2.0)</f>
        <v>2</v>
      </c>
      <c r="E285" s="3" t="str">
        <f>IFERROR(__xludf.DUMMYFUNCTION("""COMPUTED_VALUE"""),"Venceu (Validade)")</f>
        <v>Venceu (Validade)</v>
      </c>
      <c r="F285" s="3" t="str">
        <f>IFERROR(__xludf.DUMMYFUNCTION("""COMPUTED_VALUE"""),"Melissa")</f>
        <v>Melissa</v>
      </c>
      <c r="G285" s="3" t="str">
        <f>IFERROR(__xludf.DUMMYFUNCTION("""COMPUTED_VALUE"""),"Vencido na geladeira (com mofo)")</f>
        <v>Vencido na geladeira (com mofo)</v>
      </c>
    </row>
    <row r="286">
      <c r="A286" s="2">
        <f>IFERROR(__xludf.DUMMYFUNCTION("""COMPUTED_VALUE"""),45799.0)</f>
        <v>45799</v>
      </c>
      <c r="B286" s="3" t="str">
        <f>IFERROR(__xludf.DUMMYFUNCTION("""COMPUTED_VALUE"""),"Brigadeiro Premium")</f>
        <v>Brigadeiro Premium</v>
      </c>
      <c r="C286" s="3" t="str">
        <f>IFERROR(__xludf.DUMMYFUNCTION("""COMPUTED_VALUE"""),"Produto final")</f>
        <v>Produto final</v>
      </c>
      <c r="D286" s="3">
        <f>IFERROR(__xludf.DUMMYFUNCTION("""COMPUTED_VALUE"""),1.0)</f>
        <v>1</v>
      </c>
      <c r="E286" s="3" t="str">
        <f>IFERROR(__xludf.DUMMYFUNCTION("""COMPUTED_VALUE"""),"Erro de processo")</f>
        <v>Erro de processo</v>
      </c>
      <c r="F286" s="3" t="str">
        <f>IFERROR(__xludf.DUMMYFUNCTION("""COMPUTED_VALUE"""),"Ana Julia")</f>
        <v>Ana Julia</v>
      </c>
      <c r="G286" s="3" t="str">
        <f>IFERROR(__xludf.DUMMYFUNCTION("""COMPUTED_VALUE"""),"Deixou cair")</f>
        <v>Deixou cair</v>
      </c>
    </row>
    <row r="287">
      <c r="A287" s="2">
        <f>IFERROR(__xludf.DUMMYFUNCTION("""COMPUTED_VALUE"""),45800.0)</f>
        <v>45800</v>
      </c>
      <c r="B287" s="3" t="str">
        <f>IFERROR(__xludf.DUMMYFUNCTION("""COMPUTED_VALUE"""),"Copo shot")</f>
        <v>Copo shot</v>
      </c>
      <c r="C287" s="3" t="str">
        <f>IFERROR(__xludf.DUMMYFUNCTION("""COMPUTED_VALUE"""),"Utensílio")</f>
        <v>Utensílio</v>
      </c>
      <c r="D287" s="3">
        <f>IFERROR(__xludf.DUMMYFUNCTION("""COMPUTED_VALUE"""),1.0)</f>
        <v>1</v>
      </c>
      <c r="E287" s="3" t="str">
        <f>IFERROR(__xludf.DUMMYFUNCTION("""COMPUTED_VALUE"""),"Quebra")</f>
        <v>Quebra</v>
      </c>
      <c r="F287" s="3" t="str">
        <f>IFERROR(__xludf.DUMMYFUNCTION("""COMPUTED_VALUE"""),"Francisca")</f>
        <v>Francisca</v>
      </c>
      <c r="G287" s="3" t="str">
        <f>IFERROR(__xludf.DUMMYFUNCTION("""COMPUTED_VALUE"""),"Deixou cair ao colocar na máquina")</f>
        <v>Deixou cair ao colocar na máquina</v>
      </c>
    </row>
    <row r="288">
      <c r="A288" s="2">
        <f>IFERROR(__xludf.DUMMYFUNCTION("""COMPUTED_VALUE"""),45800.0)</f>
        <v>45800</v>
      </c>
      <c r="B288" s="3" t="str">
        <f>IFERROR(__xludf.DUMMYFUNCTION("""COMPUTED_VALUE"""),"Copo grande")</f>
        <v>Copo grande</v>
      </c>
      <c r="C288" s="3" t="str">
        <f>IFERROR(__xludf.DUMMYFUNCTION("""COMPUTED_VALUE"""),"Utensílio")</f>
        <v>Utensílio</v>
      </c>
      <c r="D288" s="3">
        <f>IFERROR(__xludf.DUMMYFUNCTION("""COMPUTED_VALUE"""),1.0)</f>
        <v>1</v>
      </c>
      <c r="E288" s="3" t="str">
        <f>IFERROR(__xludf.DUMMYFUNCTION("""COMPUTED_VALUE"""),"Quebra")</f>
        <v>Quebra</v>
      </c>
      <c r="F288" s="3" t="str">
        <f>IFERROR(__xludf.DUMMYFUNCTION("""COMPUTED_VALUE"""),"Francisca")</f>
        <v>Francisca</v>
      </c>
      <c r="G288" s="3" t="str">
        <f>IFERROR(__xludf.DUMMYFUNCTION("""COMPUTED_VALUE"""),"Deixou cair ao colocar na máquina")</f>
        <v>Deixou cair ao colocar na máquina</v>
      </c>
    </row>
    <row r="289">
      <c r="A289" s="2">
        <f>IFERROR(__xludf.DUMMYFUNCTION("""COMPUTED_VALUE"""),45800.0)</f>
        <v>45800</v>
      </c>
      <c r="B289" s="3" t="str">
        <f>IFERROR(__xludf.DUMMYFUNCTION("""COMPUTED_VALUE"""),"Torta de frango")</f>
        <v>Torta de frango</v>
      </c>
      <c r="C289" s="3" t="str">
        <f>IFERROR(__xludf.DUMMYFUNCTION("""COMPUTED_VALUE"""),"Produto final")</f>
        <v>Produto final</v>
      </c>
      <c r="D289" s="3">
        <f>IFERROR(__xludf.DUMMYFUNCTION("""COMPUTED_VALUE"""),1.0)</f>
        <v>1</v>
      </c>
      <c r="E289" s="3" t="str">
        <f>IFERROR(__xludf.DUMMYFUNCTION("""COMPUTED_VALUE"""),"Cliente")</f>
        <v>Cliente</v>
      </c>
      <c r="F289" s="3" t="str">
        <f>IFERROR(__xludf.DUMMYFUNCTION("""COMPUTED_VALUE"""),"Michele")</f>
        <v>Michele</v>
      </c>
      <c r="G289" s="3" t="str">
        <f>IFERROR(__xludf.DUMMYFUNCTION("""COMPUTED_VALUE"""),"Cliente não gostou do sabor do frango")</f>
        <v>Cliente não gostou do sabor do frango</v>
      </c>
    </row>
    <row r="290">
      <c r="A290" s="2">
        <f>IFERROR(__xludf.DUMMYFUNCTION("""COMPUTED_VALUE"""),45801.0)</f>
        <v>45801</v>
      </c>
      <c r="B290" s="3" t="str">
        <f>IFERROR(__xludf.DUMMYFUNCTION("""COMPUTED_VALUE"""),"Tostex ciabatta")</f>
        <v>Tostex ciabatta</v>
      </c>
      <c r="C290" s="3" t="str">
        <f>IFERROR(__xludf.DUMMYFUNCTION("""COMPUTED_VALUE"""),"Produto final")</f>
        <v>Produto final</v>
      </c>
      <c r="D290" s="3">
        <f>IFERROR(__xludf.DUMMYFUNCTION("""COMPUTED_VALUE"""),1.0)</f>
        <v>1</v>
      </c>
      <c r="E290" s="3" t="str">
        <f>IFERROR(__xludf.DUMMYFUNCTION("""COMPUTED_VALUE"""),"Erro de processo")</f>
        <v>Erro de processo</v>
      </c>
      <c r="F290" s="3" t="str">
        <f>IFERROR(__xludf.DUMMYFUNCTION("""COMPUTED_VALUE"""),"Alex")</f>
        <v>Alex</v>
      </c>
      <c r="G290" s="3" t="str">
        <f>IFERROR(__xludf.DUMMYFUNCTION("""COMPUTED_VALUE"""),"Deixou queimar")</f>
        <v>Deixou queimar</v>
      </c>
    </row>
    <row r="291">
      <c r="A291" s="2">
        <f>IFERROR(__xludf.DUMMYFUNCTION("""COMPUTED_VALUE"""),45801.0)</f>
        <v>45801</v>
      </c>
      <c r="B291" s="3" t="str">
        <f>IFERROR(__xludf.DUMMYFUNCTION("""COMPUTED_VALUE"""),"Pão de queijo porção")</f>
        <v>Pão de queijo porção</v>
      </c>
      <c r="C291" s="3" t="str">
        <f>IFERROR(__xludf.DUMMYFUNCTION("""COMPUTED_VALUE"""),"Produto final")</f>
        <v>Produto final</v>
      </c>
      <c r="D291" s="3" t="str">
        <f>IFERROR(__xludf.DUMMYFUNCTION("""COMPUTED_VALUE"""),"1 unidade da porção")</f>
        <v>1 unidade da porção</v>
      </c>
      <c r="E291" s="3" t="str">
        <f>IFERROR(__xludf.DUMMYFUNCTION("""COMPUTED_VALUE"""),"Erro de processo")</f>
        <v>Erro de processo</v>
      </c>
      <c r="F291" s="3" t="str">
        <f>IFERROR(__xludf.DUMMYFUNCTION("""COMPUTED_VALUE"""),"Ana Júlia")</f>
        <v>Ana Júlia</v>
      </c>
      <c r="G291" s="3" t="str">
        <f>IFERROR(__xludf.DUMMYFUNCTION("""COMPUTED_VALUE"""),"Deixou cair no chão")</f>
        <v>Deixou cair no chão</v>
      </c>
    </row>
    <row r="292">
      <c r="A292" s="2">
        <f>IFERROR(__xludf.DUMMYFUNCTION("""COMPUTED_VALUE"""),45801.0)</f>
        <v>45801</v>
      </c>
      <c r="B292" s="3" t="str">
        <f>IFERROR(__xludf.DUMMYFUNCTION("""COMPUTED_VALUE"""),"Rúcula ")</f>
        <v>Rúcula </v>
      </c>
      <c r="C292" s="3" t="str">
        <f>IFERROR(__xludf.DUMMYFUNCTION("""COMPUTED_VALUE"""),"Hortifruti")</f>
        <v>Hortifruti</v>
      </c>
      <c r="D292" s="3" t="str">
        <f>IFERROR(__xludf.DUMMYFUNCTION("""COMPUTED_VALUE"""),"30g")</f>
        <v>30g</v>
      </c>
      <c r="E292" s="3" t="str">
        <f>IFERROR(__xludf.DUMMYFUNCTION("""COMPUTED_VALUE"""),"Venceu (Validade)")</f>
        <v>Venceu (Validade)</v>
      </c>
      <c r="F292" s="3" t="str">
        <f>IFERROR(__xludf.DUMMYFUNCTION("""COMPUTED_VALUE"""),"Patrícia")</f>
        <v>Patrícia</v>
      </c>
      <c r="G292" s="3" t="str">
        <f>IFERROR(__xludf.DUMMYFUNCTION("""COMPUTED_VALUE"""),"Vencida (folhas murchas e queimadas)")</f>
        <v>Vencida (folhas murchas e queimadas)</v>
      </c>
    </row>
    <row r="293">
      <c r="A293" s="2">
        <f>IFERROR(__xludf.DUMMYFUNCTION("""COMPUTED_VALUE"""),45801.0)</f>
        <v>45801</v>
      </c>
      <c r="B293" s="3" t="str">
        <f>IFERROR(__xludf.DUMMYFUNCTION("""COMPUTED_VALUE"""),"Suco de abacaxi com hortelã ")</f>
        <v>Suco de abacaxi com hortelã </v>
      </c>
      <c r="C293" s="3" t="str">
        <f>IFERROR(__xludf.DUMMYFUNCTION("""COMPUTED_VALUE"""),"Produto final")</f>
        <v>Produto final</v>
      </c>
      <c r="D293" s="3">
        <f>IFERROR(__xludf.DUMMYFUNCTION("""COMPUTED_VALUE"""),2.0)</f>
        <v>2</v>
      </c>
      <c r="E293" s="3" t="str">
        <f>IFERROR(__xludf.DUMMYFUNCTION("""COMPUTED_VALUE"""),"Erro de processo")</f>
        <v>Erro de processo</v>
      </c>
      <c r="F293" s="3" t="str">
        <f>IFERROR(__xludf.DUMMYFUNCTION("""COMPUTED_VALUE"""),"Melissa")</f>
        <v>Melissa</v>
      </c>
      <c r="G293" s="3" t="str">
        <f>IFERROR(__xludf.DUMMYFUNCTION("""COMPUTED_VALUE"""),"Fez errado ")</f>
        <v>Fez errado </v>
      </c>
    </row>
    <row r="294">
      <c r="A294" s="2">
        <f>IFERROR(__xludf.DUMMYFUNCTION("""COMPUTED_VALUE"""),45802.0)</f>
        <v>45802</v>
      </c>
      <c r="B294" s="3" t="str">
        <f>IFERROR(__xludf.DUMMYFUNCTION("""COMPUTED_VALUE"""),"Copo xote ")</f>
        <v>Copo xote </v>
      </c>
      <c r="C294" s="3" t="str">
        <f>IFERROR(__xludf.DUMMYFUNCTION("""COMPUTED_VALUE"""),"Utensílio")</f>
        <v>Utensílio</v>
      </c>
      <c r="D294" s="3">
        <f>IFERROR(__xludf.DUMMYFUNCTION("""COMPUTED_VALUE"""),1.0)</f>
        <v>1</v>
      </c>
      <c r="E294" s="3" t="str">
        <f>IFERROR(__xludf.DUMMYFUNCTION("""COMPUTED_VALUE"""),"Quebra")</f>
        <v>Quebra</v>
      </c>
      <c r="F294" s="3" t="str">
        <f>IFERROR(__xludf.DUMMYFUNCTION("""COMPUTED_VALUE"""),"Rafael")</f>
        <v>Rafael</v>
      </c>
      <c r="G294" s="3" t="str">
        <f>IFERROR(__xludf.DUMMYFUNCTION("""COMPUTED_VALUE"""),"Deixou cair")</f>
        <v>Deixou cair</v>
      </c>
    </row>
    <row r="295">
      <c r="A295" s="2">
        <f>IFERROR(__xludf.DUMMYFUNCTION("""COMPUTED_VALUE"""),45803.0)</f>
        <v>45803</v>
      </c>
      <c r="B295" s="3" t="str">
        <f>IFERROR(__xludf.DUMMYFUNCTION("""COMPUTED_VALUE"""),"Banana")</f>
        <v>Banana</v>
      </c>
      <c r="C295" s="3" t="str">
        <f>IFERROR(__xludf.DUMMYFUNCTION("""COMPUTED_VALUE"""),"Hortifruti")</f>
        <v>Hortifruti</v>
      </c>
      <c r="D295" s="3" t="str">
        <f>IFERROR(__xludf.DUMMYFUNCTION("""COMPUTED_VALUE"""),"451g")</f>
        <v>451g</v>
      </c>
      <c r="E295" s="3" t="str">
        <f>IFERROR(__xludf.DUMMYFUNCTION("""COMPUTED_VALUE"""),"Venceu (Validade)")</f>
        <v>Venceu (Validade)</v>
      </c>
      <c r="F295" s="3" t="str">
        <f>IFERROR(__xludf.DUMMYFUNCTION("""COMPUTED_VALUE"""),"Patrícia")</f>
        <v>Patrícia</v>
      </c>
      <c r="G295" s="3" t="str">
        <f>IFERROR(__xludf.DUMMYFUNCTION("""COMPUTED_VALUE"""),"Vencida")</f>
        <v>Vencida</v>
      </c>
    </row>
    <row r="296">
      <c r="A296" s="2">
        <f>IFERROR(__xludf.DUMMYFUNCTION("""COMPUTED_VALUE"""),45803.0)</f>
        <v>45803</v>
      </c>
      <c r="B296" s="3" t="str">
        <f>IFERROR(__xludf.DUMMYFUNCTION("""COMPUTED_VALUE"""),"Pires grande")</f>
        <v>Pires grande</v>
      </c>
      <c r="C296" s="3" t="str">
        <f>IFERROR(__xludf.DUMMYFUNCTION("""COMPUTED_VALUE"""),"Utensílio")</f>
        <v>Utensílio</v>
      </c>
      <c r="D296" s="3">
        <f>IFERROR(__xludf.DUMMYFUNCTION("""COMPUTED_VALUE"""),1.0)</f>
        <v>1</v>
      </c>
      <c r="E296" s="3" t="str">
        <f>IFERROR(__xludf.DUMMYFUNCTION("""COMPUTED_VALUE"""),"Quebra")</f>
        <v>Quebra</v>
      </c>
      <c r="F296" s="3" t="str">
        <f>IFERROR(__xludf.DUMMYFUNCTION("""COMPUTED_VALUE"""),"Alex")</f>
        <v>Alex</v>
      </c>
      <c r="G296" s="3" t="str">
        <f>IFERROR(__xludf.DUMMYFUNCTION("""COMPUTED_VALUE"""),"Quebrou ao retirar da bandeja de lavados (borda lascada)")</f>
        <v>Quebrou ao retirar da bandeja de lavados (borda lascada)</v>
      </c>
    </row>
    <row r="297">
      <c r="A297" s="2">
        <f>IFERROR(__xludf.DUMMYFUNCTION("""COMPUTED_VALUE"""),45803.0)</f>
        <v>45803</v>
      </c>
      <c r="B297" s="3" t="str">
        <f>IFERROR(__xludf.DUMMYFUNCTION("""COMPUTED_VALUE"""),"Torta limão ")</f>
        <v>Torta limão </v>
      </c>
      <c r="C297" s="3" t="str">
        <f>IFERROR(__xludf.DUMMYFUNCTION("""COMPUTED_VALUE"""),"Produto final")</f>
        <v>Produto final</v>
      </c>
      <c r="D297" s="3">
        <f>IFERROR(__xludf.DUMMYFUNCTION("""COMPUTED_VALUE"""),1.0)</f>
        <v>1</v>
      </c>
      <c r="E297" s="3" t="str">
        <f>IFERROR(__xludf.DUMMYFUNCTION("""COMPUTED_VALUE"""),"Outro")</f>
        <v>Outro</v>
      </c>
      <c r="F297" s="3" t="str">
        <f>IFERROR(__xludf.DUMMYFUNCTION("""COMPUTED_VALUE"""),"Brunna")</f>
        <v>Brunna</v>
      </c>
      <c r="G297" s="3" t="str">
        <f>IFERROR(__xludf.DUMMYFUNCTION("""COMPUTED_VALUE"""),"Prova equipe. Autorizado Brunna.")</f>
        <v>Prova equipe. Autorizado Brunna.</v>
      </c>
    </row>
    <row r="298">
      <c r="A298" s="2">
        <f>IFERROR(__xludf.DUMMYFUNCTION("""COMPUTED_VALUE"""),45805.0)</f>
        <v>45805</v>
      </c>
      <c r="B298" s="3" t="str">
        <f>IFERROR(__xludf.DUMMYFUNCTION("""COMPUTED_VALUE"""),"Quiche 4 queijos")</f>
        <v>Quiche 4 queijos</v>
      </c>
      <c r="C298" s="3" t="str">
        <f>IFERROR(__xludf.DUMMYFUNCTION("""COMPUTED_VALUE"""),"Produto final")</f>
        <v>Produto final</v>
      </c>
      <c r="D298" s="3">
        <f>IFERROR(__xludf.DUMMYFUNCTION("""COMPUTED_VALUE"""),1.0)</f>
        <v>1</v>
      </c>
      <c r="E298" s="3" t="str">
        <f>IFERROR(__xludf.DUMMYFUNCTION("""COMPUTED_VALUE"""),"Erro de processo")</f>
        <v>Erro de processo</v>
      </c>
      <c r="F298" s="3" t="str">
        <f>IFERROR(__xludf.DUMMYFUNCTION("""COMPUTED_VALUE"""),"Alex")</f>
        <v>Alex</v>
      </c>
      <c r="G298" s="3" t="str">
        <f>IFERROR(__xludf.DUMMYFUNCTION("""COMPUTED_VALUE"""),"Deixou cair ao levar ao forno")</f>
        <v>Deixou cair ao levar ao forno</v>
      </c>
    </row>
    <row r="299">
      <c r="A299" s="2">
        <f>IFERROR(__xludf.DUMMYFUNCTION("""COMPUTED_VALUE"""),45805.0)</f>
        <v>45805</v>
      </c>
      <c r="B299" s="3" t="str">
        <f>IFERROR(__xludf.DUMMYFUNCTION("""COMPUTED_VALUE"""),"Palha italiana")</f>
        <v>Palha italiana</v>
      </c>
      <c r="C299" s="3" t="str">
        <f>IFERROR(__xludf.DUMMYFUNCTION("""COMPUTED_VALUE"""),"Produto final")</f>
        <v>Produto final</v>
      </c>
      <c r="D299" s="3">
        <f>IFERROR(__xludf.DUMMYFUNCTION("""COMPUTED_VALUE"""),1.0)</f>
        <v>1</v>
      </c>
      <c r="E299" s="3" t="str">
        <f>IFERROR(__xludf.DUMMYFUNCTION("""COMPUTED_VALUE"""),"Erro de processo")</f>
        <v>Erro de processo</v>
      </c>
      <c r="F299" s="3" t="str">
        <f>IFERROR(__xludf.DUMMYFUNCTION("""COMPUTED_VALUE"""),"Melissa")</f>
        <v>Melissa</v>
      </c>
      <c r="G299" s="3" t="str">
        <f>IFERROR(__xludf.DUMMYFUNCTION("""COMPUTED_VALUE"""),"Quebrou durante corte e retirada")</f>
        <v>Quebrou durante corte e retirada</v>
      </c>
    </row>
    <row r="300">
      <c r="A300" s="2">
        <f>IFERROR(__xludf.DUMMYFUNCTION("""COMPUTED_VALUE"""),45806.0)</f>
        <v>45806</v>
      </c>
      <c r="B300" s="3" t="str">
        <f>IFERROR(__xludf.DUMMYFUNCTION("""COMPUTED_VALUE"""),"Empada de palmito ")</f>
        <v>Empada de palmito </v>
      </c>
      <c r="C300" s="3" t="str">
        <f>IFERROR(__xludf.DUMMYFUNCTION("""COMPUTED_VALUE"""),"Produto final")</f>
        <v>Produto final</v>
      </c>
      <c r="D300" s="3">
        <f>IFERROR(__xludf.DUMMYFUNCTION("""COMPUTED_VALUE"""),1.0)</f>
        <v>1</v>
      </c>
      <c r="E300" s="3" t="str">
        <f>IFERROR(__xludf.DUMMYFUNCTION("""COMPUTED_VALUE"""),"Cliente")</f>
        <v>Cliente</v>
      </c>
      <c r="F300" s="3" t="str">
        <f>IFERROR(__xludf.DUMMYFUNCTION("""COMPUTED_VALUE"""),"Marilene")</f>
        <v>Marilene</v>
      </c>
      <c r="G300" s="3" t="str">
        <f>IFERROR(__xludf.DUMMYFUNCTION("""COMPUTED_VALUE"""),"Cliente não gostou da massa")</f>
        <v>Cliente não gostou da massa</v>
      </c>
    </row>
    <row r="301">
      <c r="A301" s="2">
        <f>IFERROR(__xludf.DUMMYFUNCTION("""COMPUTED_VALUE"""),45806.0)</f>
        <v>45806</v>
      </c>
      <c r="B301" s="3" t="str">
        <f>IFERROR(__xludf.DUMMYFUNCTION("""COMPUTED_VALUE"""),"Empada de frango ")</f>
        <v>Empada de frango </v>
      </c>
      <c r="C301" s="3" t="str">
        <f>IFERROR(__xludf.DUMMYFUNCTION("""COMPUTED_VALUE"""),"Produto final")</f>
        <v>Produto final</v>
      </c>
      <c r="D301" s="3">
        <f>IFERROR(__xludf.DUMMYFUNCTION("""COMPUTED_VALUE"""),1.0)</f>
        <v>1</v>
      </c>
      <c r="E301" s="3" t="str">
        <f>IFERROR(__xludf.DUMMYFUNCTION("""COMPUTED_VALUE"""),"Cliente")</f>
        <v>Cliente</v>
      </c>
      <c r="F301" s="3" t="str">
        <f>IFERROR(__xludf.DUMMYFUNCTION("""COMPUTED_VALUE"""),"Marilene")</f>
        <v>Marilene</v>
      </c>
      <c r="G301" s="3" t="str">
        <f>IFERROR(__xludf.DUMMYFUNCTION("""COMPUTED_VALUE"""),"Cliente não gostou da massa")</f>
        <v>Cliente não gostou da massa</v>
      </c>
    </row>
    <row r="302">
      <c r="A302" s="2">
        <f>IFERROR(__xludf.DUMMYFUNCTION("""COMPUTED_VALUE"""),45806.0)</f>
        <v>45806</v>
      </c>
      <c r="B302" s="3" t="str">
        <f>IFERROR(__xludf.DUMMYFUNCTION("""COMPUTED_VALUE"""),"Coado blend")</f>
        <v>Coado blend</v>
      </c>
      <c r="C302" s="3" t="str">
        <f>IFERROR(__xludf.DUMMYFUNCTION("""COMPUTED_VALUE"""),"Produto final")</f>
        <v>Produto final</v>
      </c>
      <c r="D302" s="3">
        <f>IFERROR(__xludf.DUMMYFUNCTION("""COMPUTED_VALUE"""),1.0)</f>
        <v>1</v>
      </c>
      <c r="E302" s="3" t="str">
        <f>IFERROR(__xludf.DUMMYFUNCTION("""COMPUTED_VALUE"""),"Erro de processo")</f>
        <v>Erro de processo</v>
      </c>
      <c r="F302" s="3" t="str">
        <f>IFERROR(__xludf.DUMMYFUNCTION("""COMPUTED_VALUE"""),"Ana Júlia")</f>
        <v>Ana Júlia</v>
      </c>
      <c r="G302" s="3" t="str">
        <f>IFERROR(__xludf.DUMMYFUNCTION("""COMPUTED_VALUE"""),"Deixou cair na horas de leva ")</f>
        <v>Deixou cair na horas de leva </v>
      </c>
    </row>
    <row r="303">
      <c r="A303" s="2">
        <f>IFERROR(__xludf.DUMMYFUNCTION("""COMPUTED_VALUE"""),45807.0)</f>
        <v>45807</v>
      </c>
      <c r="B303" s="3" t="str">
        <f>IFERROR(__xludf.DUMMYFUNCTION("""COMPUTED_VALUE"""),"Croissant Doce de leite")</f>
        <v>Croissant Doce de leite</v>
      </c>
      <c r="C303" s="3" t="str">
        <f>IFERROR(__xludf.DUMMYFUNCTION("""COMPUTED_VALUE"""),"Produto final")</f>
        <v>Produto final</v>
      </c>
      <c r="D303" s="3">
        <f>IFERROR(__xludf.DUMMYFUNCTION("""COMPUTED_VALUE"""),1.0)</f>
        <v>1</v>
      </c>
      <c r="E303" s="3" t="str">
        <f>IFERROR(__xludf.DUMMYFUNCTION("""COMPUTED_VALUE"""),"Lançamento errado")</f>
        <v>Lançamento errado</v>
      </c>
      <c r="F303" s="3" t="str">
        <f>IFERROR(__xludf.DUMMYFUNCTION("""COMPUTED_VALUE"""),"Paulo")</f>
        <v>Paulo</v>
      </c>
      <c r="G303" s="3" t="str">
        <f>IFERROR(__xludf.DUMMYFUNCTION("""COMPUTED_VALUE"""),"Cliente pediu Nutella e lançou Doce de Leite")</f>
        <v>Cliente pediu Nutella e lançou Doce de Leite</v>
      </c>
    </row>
    <row r="304">
      <c r="A304" s="2">
        <f>IFERROR(__xludf.DUMMYFUNCTION("""COMPUTED_VALUE"""),45811.0)</f>
        <v>45811</v>
      </c>
      <c r="B304" s="3" t="str">
        <f>IFERROR(__xludf.DUMMYFUNCTION("""COMPUTED_VALUE"""),"Quiche de 4 quijo ")</f>
        <v>Quiche de 4 quijo </v>
      </c>
      <c r="C304" s="3" t="str">
        <f>IFERROR(__xludf.DUMMYFUNCTION("""COMPUTED_VALUE"""),"Produto final")</f>
        <v>Produto final</v>
      </c>
      <c r="D304" s="3">
        <f>IFERROR(__xludf.DUMMYFUNCTION("""COMPUTED_VALUE"""),1.0)</f>
        <v>1</v>
      </c>
      <c r="E304" s="3" t="str">
        <f>IFERROR(__xludf.DUMMYFUNCTION("""COMPUTED_VALUE"""),"Erro de processo")</f>
        <v>Erro de processo</v>
      </c>
      <c r="F304" s="3" t="str">
        <f>IFERROR(__xludf.DUMMYFUNCTION("""COMPUTED_VALUE"""),"Melissa")</f>
        <v>Melissa</v>
      </c>
      <c r="G304" s="3" t="str">
        <f>IFERROR(__xludf.DUMMYFUNCTION("""COMPUTED_VALUE"""),"Deixou cair ")</f>
        <v>Deixou cair </v>
      </c>
    </row>
    <row r="305">
      <c r="A305" s="2">
        <f>IFERROR(__xludf.DUMMYFUNCTION("""COMPUTED_VALUE"""),45812.0)</f>
        <v>45812</v>
      </c>
      <c r="B305" s="3" t="str">
        <f>IFERROR(__xludf.DUMMYFUNCTION("""COMPUTED_VALUE"""),"manjericao")</f>
        <v>manjericao</v>
      </c>
      <c r="C305" s="3" t="str">
        <f>IFERROR(__xludf.DUMMYFUNCTION("""COMPUTED_VALUE"""),"Produto final")</f>
        <v>Produto final</v>
      </c>
      <c r="D305" s="3">
        <f>IFERROR(__xludf.DUMMYFUNCTION("""COMPUTED_VALUE"""),1.0)</f>
        <v>1</v>
      </c>
      <c r="E305" s="3" t="str">
        <f>IFERROR(__xludf.DUMMYFUNCTION("""COMPUTED_VALUE"""),"Venceu (Validade)")</f>
        <v>Venceu (Validade)</v>
      </c>
      <c r="F305" s="3" t="str">
        <f>IFERROR(__xludf.DUMMYFUNCTION("""COMPUTED_VALUE"""),"Marilene")</f>
        <v>Marilene</v>
      </c>
      <c r="G305" s="3" t="str">
        <f>IFERROR(__xludf.DUMMYFUNCTION("""COMPUTED_VALUE"""),"venceu validade")</f>
        <v>venceu validade</v>
      </c>
    </row>
    <row r="306">
      <c r="A306" s="2">
        <f>IFERROR(__xludf.DUMMYFUNCTION("""COMPUTED_VALUE"""),45813.0)</f>
        <v>45813</v>
      </c>
      <c r="B306" s="3" t="str">
        <f>IFERROR(__xludf.DUMMYFUNCTION("""COMPUTED_VALUE"""),"Frango empanado ")</f>
        <v>Frango empanado </v>
      </c>
      <c r="C306" s="3" t="str">
        <f>IFERROR(__xludf.DUMMYFUNCTION("""COMPUTED_VALUE"""),"Produto final")</f>
        <v>Produto final</v>
      </c>
      <c r="D306" s="3">
        <f>IFERROR(__xludf.DUMMYFUNCTION("""COMPUTED_VALUE"""),1.0)</f>
        <v>1</v>
      </c>
      <c r="E306" s="3" t="str">
        <f>IFERROR(__xludf.DUMMYFUNCTION("""COMPUTED_VALUE"""),"Cliente")</f>
        <v>Cliente</v>
      </c>
      <c r="F306" s="3" t="str">
        <f>IFERROR(__xludf.DUMMYFUNCTION("""COMPUTED_VALUE"""),"Marilene")</f>
        <v>Marilene</v>
      </c>
      <c r="G306" s="3" t="str">
        <f>IFERROR(__xludf.DUMMYFUNCTION("""COMPUTED_VALUE"""),"Cliente falou frango era muito pequeno do sanduíche deu outro para ela ")</f>
        <v>Cliente falou frango era muito pequeno do sanduíche deu outro para ela </v>
      </c>
    </row>
    <row r="307">
      <c r="A307" s="2">
        <f>IFERROR(__xludf.DUMMYFUNCTION("""COMPUTED_VALUE"""),45813.0)</f>
        <v>45813</v>
      </c>
      <c r="B307" s="3" t="str">
        <f>IFERROR(__xludf.DUMMYFUNCTION("""COMPUTED_VALUE"""),"Suco maracujá ")</f>
        <v>Suco maracujá </v>
      </c>
      <c r="C307" s="3" t="str">
        <f>IFERROR(__xludf.DUMMYFUNCTION("""COMPUTED_VALUE"""),"Produto final")</f>
        <v>Produto final</v>
      </c>
      <c r="D307" s="3">
        <f>IFERROR(__xludf.DUMMYFUNCTION("""COMPUTED_VALUE"""),1.0)</f>
        <v>1</v>
      </c>
      <c r="E307" s="3" t="str">
        <f>IFERROR(__xludf.DUMMYFUNCTION("""COMPUTED_VALUE"""),"Erro de processo")</f>
        <v>Erro de processo</v>
      </c>
      <c r="F307" s="3" t="str">
        <f>IFERROR(__xludf.DUMMYFUNCTION("""COMPUTED_VALUE"""),"Melissa")</f>
        <v>Melissa</v>
      </c>
      <c r="G307" s="3" t="str">
        <f>IFERROR(__xludf.DUMMYFUNCTION("""COMPUTED_VALUE"""),"Era de laranja e fez de maracujá ")</f>
        <v>Era de laranja e fez de maracujá </v>
      </c>
    </row>
    <row r="308">
      <c r="A308" s="2">
        <f>IFERROR(__xludf.DUMMYFUNCTION("""COMPUTED_VALUE"""),45813.0)</f>
        <v>45813</v>
      </c>
      <c r="B308" s="3" t="str">
        <f>IFERROR(__xludf.DUMMYFUNCTION("""COMPUTED_VALUE"""),"Torta sweetpie ")</f>
        <v>Torta sweetpie </v>
      </c>
      <c r="C308" s="3" t="str">
        <f>IFERROR(__xludf.DUMMYFUNCTION("""COMPUTED_VALUE"""),"Produto final")</f>
        <v>Produto final</v>
      </c>
      <c r="D308" s="3">
        <f>IFERROR(__xludf.DUMMYFUNCTION("""COMPUTED_VALUE"""),2.0)</f>
        <v>2</v>
      </c>
      <c r="E308" s="3" t="str">
        <f>IFERROR(__xludf.DUMMYFUNCTION("""COMPUTED_VALUE"""),"Venceu (Validade)")</f>
        <v>Venceu (Validade)</v>
      </c>
      <c r="F308" s="3" t="str">
        <f>IFERROR(__xludf.DUMMYFUNCTION("""COMPUTED_VALUE"""),"Melissa")</f>
        <v>Melissa</v>
      </c>
      <c r="G308" s="3" t="str">
        <f>IFERROR(__xludf.DUMMYFUNCTION("""COMPUTED_VALUE"""),"Vencida na geladeira")</f>
        <v>Vencida na geladeira</v>
      </c>
    </row>
    <row r="309">
      <c r="A309" s="2">
        <f>IFERROR(__xludf.DUMMYFUNCTION("""COMPUTED_VALUE"""),45814.0)</f>
        <v>45814</v>
      </c>
      <c r="B309" s="3" t="str">
        <f>IFERROR(__xludf.DUMMYFUNCTION("""COMPUTED_VALUE"""),"Pão de queijo recheado com quijo branco ")</f>
        <v>Pão de queijo recheado com quijo branco </v>
      </c>
      <c r="C309" s="3" t="str">
        <f>IFERROR(__xludf.DUMMYFUNCTION("""COMPUTED_VALUE"""),"Produto final")</f>
        <v>Produto final</v>
      </c>
      <c r="D309" s="3">
        <f>IFERROR(__xludf.DUMMYFUNCTION("""COMPUTED_VALUE"""),1.0)</f>
        <v>1</v>
      </c>
      <c r="E309" s="3" t="str">
        <f>IFERROR(__xludf.DUMMYFUNCTION("""COMPUTED_VALUE"""),"Erro de processo")</f>
        <v>Erro de processo</v>
      </c>
      <c r="F309" s="3" t="str">
        <f>IFERROR(__xludf.DUMMYFUNCTION("""COMPUTED_VALUE"""),"Jonathan")</f>
        <v>Jonathan</v>
      </c>
      <c r="G309" s="3" t="str">
        <f>IFERROR(__xludf.DUMMYFUNCTION("""COMPUTED_VALUE"""),"Lançou errado ")</f>
        <v>Lançou errado </v>
      </c>
    </row>
    <row r="310">
      <c r="A310" s="2">
        <f>IFERROR(__xludf.DUMMYFUNCTION("""COMPUTED_VALUE"""),45815.0)</f>
        <v>45815</v>
      </c>
      <c r="B310" s="3" t="str">
        <f>IFERROR(__xludf.DUMMYFUNCTION("""COMPUTED_VALUE"""),"Misto tradicional")</f>
        <v>Misto tradicional</v>
      </c>
      <c r="C310" s="3" t="str">
        <f>IFERROR(__xludf.DUMMYFUNCTION("""COMPUTED_VALUE"""),"Produto final")</f>
        <v>Produto final</v>
      </c>
      <c r="D310" s="3">
        <f>IFERROR(__xludf.DUMMYFUNCTION("""COMPUTED_VALUE"""),1.0)</f>
        <v>1</v>
      </c>
      <c r="E310" s="3" t="str">
        <f>IFERROR(__xludf.DUMMYFUNCTION("""COMPUTED_VALUE"""),"Erro de processo")</f>
        <v>Erro de processo</v>
      </c>
      <c r="F310" s="3" t="str">
        <f>IFERROR(__xludf.DUMMYFUNCTION("""COMPUTED_VALUE"""),"Alex")</f>
        <v>Alex</v>
      </c>
      <c r="G310" s="3" t="str">
        <f>IFERROR(__xludf.DUMMYFUNCTION("""COMPUTED_VALUE"""),"Deixou queimar")</f>
        <v>Deixou queimar</v>
      </c>
    </row>
    <row r="311">
      <c r="A311" s="2">
        <f>IFERROR(__xludf.DUMMYFUNCTION("""COMPUTED_VALUE"""),45815.0)</f>
        <v>45815</v>
      </c>
      <c r="B311" s="3" t="str">
        <f>IFERROR(__xludf.DUMMYFUNCTION("""COMPUTED_VALUE"""),"Ave suíça ")</f>
        <v>Ave suíça </v>
      </c>
      <c r="C311" s="3" t="str">
        <f>IFERROR(__xludf.DUMMYFUNCTION("""COMPUTED_VALUE"""),"Produto final")</f>
        <v>Produto final</v>
      </c>
      <c r="D311" s="3">
        <f>IFERROR(__xludf.DUMMYFUNCTION("""COMPUTED_VALUE"""),1.0)</f>
        <v>1</v>
      </c>
      <c r="E311" s="3" t="str">
        <f>IFERROR(__xludf.DUMMYFUNCTION("""COMPUTED_VALUE"""),"Erro de processo")</f>
        <v>Erro de processo</v>
      </c>
      <c r="F311" s="3" t="str">
        <f>IFERROR(__xludf.DUMMYFUNCTION("""COMPUTED_VALUE"""),"Patrícia")</f>
        <v>Patrícia</v>
      </c>
      <c r="G311" s="3" t="str">
        <f>IFERROR(__xludf.DUMMYFUNCTION("""COMPUTED_VALUE"""),"Fez errado ")</f>
        <v>Fez errado </v>
      </c>
    </row>
    <row r="312">
      <c r="A312" s="2">
        <f>IFERROR(__xludf.DUMMYFUNCTION("""COMPUTED_VALUE"""),45816.0)</f>
        <v>45816</v>
      </c>
      <c r="B312" s="3" t="str">
        <f>IFERROR(__xludf.DUMMYFUNCTION("""COMPUTED_VALUE"""),"Copo")</f>
        <v>Copo</v>
      </c>
      <c r="C312" s="3" t="str">
        <f>IFERROR(__xludf.DUMMYFUNCTION("""COMPUTED_VALUE"""),"Utensílio")</f>
        <v>Utensílio</v>
      </c>
      <c r="D312" s="3">
        <f>IFERROR(__xludf.DUMMYFUNCTION("""COMPUTED_VALUE"""),1.0)</f>
        <v>1</v>
      </c>
      <c r="E312" s="3" t="str">
        <f>IFERROR(__xludf.DUMMYFUNCTION("""COMPUTED_VALUE"""),"Quebra")</f>
        <v>Quebra</v>
      </c>
      <c r="F312" s="3" t="str">
        <f>IFERROR(__xludf.DUMMYFUNCTION("""COMPUTED_VALUE"""),"Marilene")</f>
        <v>Marilene</v>
      </c>
      <c r="G312" s="3" t="str">
        <f>IFERROR(__xludf.DUMMYFUNCTION("""COMPUTED_VALUE"""),"Quebrou durante lavagem")</f>
        <v>Quebrou durante lavagem</v>
      </c>
    </row>
    <row r="313">
      <c r="A313" s="2">
        <f>IFERROR(__xludf.DUMMYFUNCTION("""COMPUTED_VALUE"""),45817.0)</f>
        <v>45817</v>
      </c>
      <c r="B313" s="3" t="str">
        <f>IFERROR(__xludf.DUMMYFUNCTION("""COMPUTED_VALUE"""),"Alface")</f>
        <v>Alface</v>
      </c>
      <c r="C313" s="3" t="str">
        <f>IFERROR(__xludf.DUMMYFUNCTION("""COMPUTED_VALUE"""),"Hortifruti")</f>
        <v>Hortifruti</v>
      </c>
      <c r="D313" s="3" t="str">
        <f>IFERROR(__xludf.DUMMYFUNCTION("""COMPUTED_VALUE"""),"152g")</f>
        <v>152g</v>
      </c>
      <c r="E313" s="3" t="str">
        <f>IFERROR(__xludf.DUMMYFUNCTION("""COMPUTED_VALUE"""),"Venceu (Validade)")</f>
        <v>Venceu (Validade)</v>
      </c>
      <c r="F313" s="3" t="str">
        <f>IFERROR(__xludf.DUMMYFUNCTION("""COMPUTED_VALUE"""),"Patrícia")</f>
        <v>Patrícia</v>
      </c>
      <c r="G313" s="3" t="str">
        <f>IFERROR(__xludf.DUMMYFUNCTION("""COMPUTED_VALUE"""),"Vencido (Folhas queimadas e murcha)")</f>
        <v>Vencido (Folhas queimadas e murcha)</v>
      </c>
    </row>
    <row r="314">
      <c r="A314" s="2">
        <f>IFERROR(__xludf.DUMMYFUNCTION("""COMPUTED_VALUE"""),45817.0)</f>
        <v>45817</v>
      </c>
      <c r="B314" s="3" t="str">
        <f>IFERROR(__xludf.DUMMYFUNCTION("""COMPUTED_VALUE"""),"Quiche de Alho poró")</f>
        <v>Quiche de Alho poró</v>
      </c>
      <c r="C314" s="3" t="str">
        <f>IFERROR(__xludf.DUMMYFUNCTION("""COMPUTED_VALUE"""),"Produto final")</f>
        <v>Produto final</v>
      </c>
      <c r="D314" s="3">
        <f>IFERROR(__xludf.DUMMYFUNCTION("""COMPUTED_VALUE"""),1.0)</f>
        <v>1</v>
      </c>
      <c r="E314" s="3" t="str">
        <f>IFERROR(__xludf.DUMMYFUNCTION("""COMPUTED_VALUE"""),"Erro de processo")</f>
        <v>Erro de processo</v>
      </c>
      <c r="F314" s="3" t="str">
        <f>IFERROR(__xludf.DUMMYFUNCTION("""COMPUTED_VALUE"""),"Melissa")</f>
        <v>Melissa</v>
      </c>
      <c r="G314" s="3" t="str">
        <f>IFERROR(__xludf.DUMMYFUNCTION("""COMPUTED_VALUE"""),"Deixou cair no chão")</f>
        <v>Deixou cair no chão</v>
      </c>
    </row>
    <row r="315">
      <c r="A315" s="2">
        <f>IFERROR(__xludf.DUMMYFUNCTION("""COMPUTED_VALUE"""),45817.0)</f>
        <v>45817</v>
      </c>
      <c r="B315" s="3" t="str">
        <f>IFERROR(__xludf.DUMMYFUNCTION("""COMPUTED_VALUE"""),"Banana")</f>
        <v>Banana</v>
      </c>
      <c r="C315" s="3" t="str">
        <f>IFERROR(__xludf.DUMMYFUNCTION("""COMPUTED_VALUE"""),"Hortifruti")</f>
        <v>Hortifruti</v>
      </c>
      <c r="D315" s="3" t="str">
        <f>IFERROR(__xludf.DUMMYFUNCTION("""COMPUTED_VALUE"""),"164g")</f>
        <v>164g</v>
      </c>
      <c r="E315" s="3" t="str">
        <f>IFERROR(__xludf.DUMMYFUNCTION("""COMPUTED_VALUE"""),"Venceu (Validade)")</f>
        <v>Venceu (Validade)</v>
      </c>
      <c r="F315" s="3" t="str">
        <f>IFERROR(__xludf.DUMMYFUNCTION("""COMPUTED_VALUE"""),"Patrícia")</f>
        <v>Patrícia</v>
      </c>
      <c r="G315" s="3" t="str">
        <f>IFERROR(__xludf.DUMMYFUNCTION("""COMPUTED_VALUE"""),"Vencida (escura).")</f>
        <v>Vencida (escura).</v>
      </c>
    </row>
    <row r="316">
      <c r="A316" s="2">
        <f>IFERROR(__xludf.DUMMYFUNCTION("""COMPUTED_VALUE"""),45818.0)</f>
        <v>45818</v>
      </c>
      <c r="B316" s="3" t="str">
        <f>IFERROR(__xludf.DUMMYFUNCTION("""COMPUTED_VALUE"""),"Casadinho")</f>
        <v>Casadinho</v>
      </c>
      <c r="C316" s="3" t="str">
        <f>IFERROR(__xludf.DUMMYFUNCTION("""COMPUTED_VALUE"""),"Produto final")</f>
        <v>Produto final</v>
      </c>
      <c r="D316" s="3">
        <f>IFERROR(__xludf.DUMMYFUNCTION("""COMPUTED_VALUE"""),1.0)</f>
        <v>1</v>
      </c>
      <c r="E316" s="3" t="str">
        <f>IFERROR(__xludf.DUMMYFUNCTION("""COMPUTED_VALUE"""),"Cliente")</f>
        <v>Cliente</v>
      </c>
      <c r="F316" s="3" t="str">
        <f>IFERROR(__xludf.DUMMYFUNCTION("""COMPUTED_VALUE"""),"Marilene")</f>
        <v>Marilene</v>
      </c>
      <c r="G316" s="3" t="str">
        <f>IFERROR(__xludf.DUMMYFUNCTION("""COMPUTED_VALUE"""),"Cliente alegou que estava duro")</f>
        <v>Cliente alegou que estava duro</v>
      </c>
    </row>
    <row r="317">
      <c r="A317" s="2">
        <f>IFERROR(__xludf.DUMMYFUNCTION("""COMPUTED_VALUE"""),45821.0)</f>
        <v>45821</v>
      </c>
      <c r="B317" s="3" t="str">
        <f>IFERROR(__xludf.DUMMYFUNCTION("""COMPUTED_VALUE"""),"Toxte ciabata ")</f>
        <v>Toxte ciabata </v>
      </c>
      <c r="C317" s="3" t="str">
        <f>IFERROR(__xludf.DUMMYFUNCTION("""COMPUTED_VALUE"""),"Produto final")</f>
        <v>Produto final</v>
      </c>
      <c r="D317" s="3">
        <f>IFERROR(__xludf.DUMMYFUNCTION("""COMPUTED_VALUE"""),1.0)</f>
        <v>1</v>
      </c>
      <c r="E317" s="3" t="str">
        <f>IFERROR(__xludf.DUMMYFUNCTION("""COMPUTED_VALUE"""),"Erro de processo")</f>
        <v>Erro de processo</v>
      </c>
      <c r="F317" s="3" t="str">
        <f>IFERROR(__xludf.DUMMYFUNCTION("""COMPUTED_VALUE"""),"Melissa")</f>
        <v>Melissa</v>
      </c>
      <c r="G317" s="3" t="str">
        <f>IFERROR(__xludf.DUMMYFUNCTION("""COMPUTED_VALUE"""),"Fez errado cliente queria sem manteiga ")</f>
        <v>Fez errado cliente queria sem manteiga </v>
      </c>
    </row>
    <row r="318">
      <c r="A318" s="2">
        <f>IFERROR(__xludf.DUMMYFUNCTION("""COMPUTED_VALUE"""),45823.0)</f>
        <v>45823</v>
      </c>
      <c r="B318" s="3" t="str">
        <f>IFERROR(__xludf.DUMMYFUNCTION("""COMPUTED_VALUE"""),"Copo grande ")</f>
        <v>Copo grande </v>
      </c>
      <c r="C318" s="3" t="str">
        <f>IFERROR(__xludf.DUMMYFUNCTION("""COMPUTED_VALUE"""),"Utensílio")</f>
        <v>Utensílio</v>
      </c>
      <c r="D318" s="3">
        <f>IFERROR(__xludf.DUMMYFUNCTION("""COMPUTED_VALUE"""),1.0)</f>
        <v>1</v>
      </c>
      <c r="E318" s="3" t="str">
        <f>IFERROR(__xludf.DUMMYFUNCTION("""COMPUTED_VALUE"""),"Quebra")</f>
        <v>Quebra</v>
      </c>
      <c r="F318" s="3" t="str">
        <f>IFERROR(__xludf.DUMMYFUNCTION("""COMPUTED_VALUE"""),"Melissa")</f>
        <v>Melissa</v>
      </c>
      <c r="G318" s="3" t="str">
        <f>IFERROR(__xludf.DUMMYFUNCTION("""COMPUTED_VALUE"""),"Quebrou na horas de usar ")</f>
        <v>Quebrou na horas de usar </v>
      </c>
    </row>
    <row r="319">
      <c r="A319" s="2">
        <f>IFERROR(__xludf.DUMMYFUNCTION("""COMPUTED_VALUE"""),45825.0)</f>
        <v>45825</v>
      </c>
      <c r="B319" s="3" t="str">
        <f>IFERROR(__xludf.DUMMYFUNCTION("""COMPUTED_VALUE"""),"Bolo de cura ")</f>
        <v>Bolo de cura </v>
      </c>
      <c r="C319" s="3" t="str">
        <f>IFERROR(__xludf.DUMMYFUNCTION("""COMPUTED_VALUE"""),"Produto final")</f>
        <v>Produto final</v>
      </c>
      <c r="D319" s="3" t="str">
        <f>IFERROR(__xludf.DUMMYFUNCTION("""COMPUTED_VALUE"""),"2 fatia ")</f>
        <v>2 fatia </v>
      </c>
      <c r="E319" s="3" t="str">
        <f>IFERROR(__xludf.DUMMYFUNCTION("""COMPUTED_VALUE"""),"Venceu (Validade)")</f>
        <v>Venceu (Validade)</v>
      </c>
      <c r="F319" s="3" t="str">
        <f>IFERROR(__xludf.DUMMYFUNCTION("""COMPUTED_VALUE"""),"Marilene")</f>
        <v>Marilene</v>
      </c>
      <c r="G319" s="3" t="str">
        <f>IFERROR(__xludf.DUMMYFUNCTION("""COMPUTED_VALUE"""),"Já estava ruim na vitrine ")</f>
        <v>Já estava ruim na vitrine </v>
      </c>
    </row>
    <row r="320">
      <c r="A320" s="2">
        <f>IFERROR(__xludf.DUMMYFUNCTION("""COMPUTED_VALUE"""),45826.0)</f>
        <v>45826</v>
      </c>
      <c r="B320" s="3" t="str">
        <f>IFERROR(__xludf.DUMMYFUNCTION("""COMPUTED_VALUE"""),"xicara grande")</f>
        <v>xicara grande</v>
      </c>
      <c r="C320" s="3" t="str">
        <f>IFERROR(__xludf.DUMMYFUNCTION("""COMPUTED_VALUE"""),"Utensílio")</f>
        <v>Utensílio</v>
      </c>
      <c r="D320" s="3">
        <f>IFERROR(__xludf.DUMMYFUNCTION("""COMPUTED_VALUE"""),1.0)</f>
        <v>1</v>
      </c>
      <c r="E320" s="3" t="str">
        <f>IFERROR(__xludf.DUMMYFUNCTION("""COMPUTED_VALUE"""),"Quebra")</f>
        <v>Quebra</v>
      </c>
      <c r="F320" s="3" t="str">
        <f>IFERROR(__xludf.DUMMYFUNCTION("""COMPUTED_VALUE"""),"Edna")</f>
        <v>Edna</v>
      </c>
      <c r="G320" s="3" t="str">
        <f>IFERROR(__xludf.DUMMYFUNCTION("""COMPUTED_VALUE"""),"quebrou ao limpar a maquina")</f>
        <v>quebrou ao limpar a maquina</v>
      </c>
    </row>
    <row r="321">
      <c r="A321" s="2">
        <f>IFERROR(__xludf.DUMMYFUNCTION("""COMPUTED_VALUE"""),45826.0)</f>
        <v>45826</v>
      </c>
      <c r="B321" s="3" t="str">
        <f>IFERROR(__xludf.DUMMYFUNCTION("""COMPUTED_VALUE"""),"Pão de queijo porção unidade ")</f>
        <v>Pão de queijo porção unidade </v>
      </c>
      <c r="C321" s="3" t="str">
        <f>IFERROR(__xludf.DUMMYFUNCTION("""COMPUTED_VALUE"""),"Produto final")</f>
        <v>Produto final</v>
      </c>
      <c r="D321" s="3" t="str">
        <f>IFERROR(__xludf.DUMMYFUNCTION("""COMPUTED_VALUE"""),"24 unidades da porção ")</f>
        <v>24 unidades da porção </v>
      </c>
      <c r="E321" s="3" t="str">
        <f>IFERROR(__xludf.DUMMYFUNCTION("""COMPUTED_VALUE"""),"Venceu (Validade)")</f>
        <v>Venceu (Validade)</v>
      </c>
      <c r="F321" s="3" t="str">
        <f>IFERROR(__xludf.DUMMYFUNCTION("""COMPUTED_VALUE"""),"Marilene")</f>
        <v>Marilene</v>
      </c>
      <c r="G321" s="3" t="str">
        <f>IFERROR(__xludf.DUMMYFUNCTION("""COMPUTED_VALUE"""),"Já estava duro na geladeira ")</f>
        <v>Já estava duro na geladeira </v>
      </c>
    </row>
    <row r="322">
      <c r="A322" s="2">
        <f>IFERROR(__xludf.DUMMYFUNCTION("""COMPUTED_VALUE"""),45827.0)</f>
        <v>45827</v>
      </c>
      <c r="B322" s="3" t="str">
        <f>IFERROR(__xludf.DUMMYFUNCTION("""COMPUTED_VALUE"""),"VEG Latte Gelado")</f>
        <v>VEG Latte Gelado</v>
      </c>
      <c r="C322" s="3" t="str">
        <f>IFERROR(__xludf.DUMMYFUNCTION("""COMPUTED_VALUE"""),"Produto final")</f>
        <v>Produto final</v>
      </c>
      <c r="D322" s="3">
        <f>IFERROR(__xludf.DUMMYFUNCTION("""COMPUTED_VALUE"""),2.0)</f>
        <v>2</v>
      </c>
      <c r="E322" s="3" t="str">
        <f>IFERROR(__xludf.DUMMYFUNCTION("""COMPUTED_VALUE"""),"Cliente")</f>
        <v>Cliente</v>
      </c>
      <c r="F322" s="3" t="str">
        <f>IFERROR(__xludf.DUMMYFUNCTION("""COMPUTED_VALUE"""),"Melissa")</f>
        <v>Melissa</v>
      </c>
      <c r="G322" s="3" t="str">
        <f>IFERROR(__xludf.DUMMYFUNCTION("""COMPUTED_VALUE"""),"Cliente achou muito doce por conta do aromatizante de avelã e devolveu.")</f>
        <v>Cliente achou muito doce por conta do aromatizante de avelã e devolveu.</v>
      </c>
    </row>
    <row r="323">
      <c r="A323" s="2">
        <f>IFERROR(__xludf.DUMMYFUNCTION("""COMPUTED_VALUE"""),45827.0)</f>
        <v>45827</v>
      </c>
      <c r="B323" s="3" t="str">
        <f>IFERROR(__xludf.DUMMYFUNCTION("""COMPUTED_VALUE"""),"Bolo brigadeiro holandes")</f>
        <v>Bolo brigadeiro holandes</v>
      </c>
      <c r="C323" s="3" t="str">
        <f>IFERROR(__xludf.DUMMYFUNCTION("""COMPUTED_VALUE"""),"Produto final")</f>
        <v>Produto final</v>
      </c>
      <c r="D323" s="3">
        <f>IFERROR(__xludf.DUMMYFUNCTION("""COMPUTED_VALUE"""),1.0)</f>
        <v>1</v>
      </c>
      <c r="E323" s="3" t="str">
        <f>IFERROR(__xludf.DUMMYFUNCTION("""COMPUTED_VALUE"""),"Erro de processo")</f>
        <v>Erro de processo</v>
      </c>
      <c r="F323" s="3" t="str">
        <f>IFERROR(__xludf.DUMMYFUNCTION("""COMPUTED_VALUE"""),"Melissa")</f>
        <v>Melissa</v>
      </c>
      <c r="G323" s="3" t="str">
        <f>IFERROR(__xludf.DUMMYFUNCTION("""COMPUTED_VALUE"""),"Deixou cair")</f>
        <v>Deixou cair</v>
      </c>
    </row>
    <row r="324">
      <c r="A324" s="2">
        <f>IFERROR(__xludf.DUMMYFUNCTION("""COMPUTED_VALUE"""),45827.0)</f>
        <v>45827</v>
      </c>
      <c r="B324" s="3" t="str">
        <f>IFERROR(__xludf.DUMMYFUNCTION("""COMPUTED_VALUE"""),"Copo shot")</f>
        <v>Copo shot</v>
      </c>
      <c r="C324" s="3" t="str">
        <f>IFERROR(__xludf.DUMMYFUNCTION("""COMPUTED_VALUE"""),"Utensílio")</f>
        <v>Utensílio</v>
      </c>
      <c r="D324" s="3">
        <f>IFERROR(__xludf.DUMMYFUNCTION("""COMPUTED_VALUE"""),1.0)</f>
        <v>1</v>
      </c>
      <c r="E324" s="3" t="str">
        <f>IFERROR(__xludf.DUMMYFUNCTION("""COMPUTED_VALUE"""),"Quebra")</f>
        <v>Quebra</v>
      </c>
      <c r="F324" s="3" t="str">
        <f>IFERROR(__xludf.DUMMYFUNCTION("""COMPUTED_VALUE"""),"Paulo")</f>
        <v>Paulo</v>
      </c>
      <c r="G324" s="3" t="str">
        <f>IFERROR(__xludf.DUMMYFUNCTION("""COMPUTED_VALUE"""),"Cliente quebrou (deixou cair)")</f>
        <v>Cliente quebrou (deixou cair)</v>
      </c>
    </row>
    <row r="325">
      <c r="A325" s="2">
        <f>IFERROR(__xludf.DUMMYFUNCTION("""COMPUTED_VALUE"""),45827.0)</f>
        <v>45827</v>
      </c>
      <c r="B325" s="3" t="str">
        <f>IFERROR(__xludf.DUMMYFUNCTION("""COMPUTED_VALUE"""),"Rúcula")</f>
        <v>Rúcula</v>
      </c>
      <c r="C325" s="3" t="str">
        <f>IFERROR(__xludf.DUMMYFUNCTION("""COMPUTED_VALUE"""),"Hortifruti")</f>
        <v>Hortifruti</v>
      </c>
      <c r="D325" s="3" t="str">
        <f>IFERROR(__xludf.DUMMYFUNCTION("""COMPUTED_VALUE"""),"29g")</f>
        <v>29g</v>
      </c>
      <c r="E325" s="3" t="str">
        <f>IFERROR(__xludf.DUMMYFUNCTION("""COMPUTED_VALUE"""),"Venceu (Validade)")</f>
        <v>Venceu (Validade)</v>
      </c>
      <c r="F325" s="3" t="str">
        <f>IFERROR(__xludf.DUMMYFUNCTION("""COMPUTED_VALUE"""),"Patrícia")</f>
        <v>Patrícia</v>
      </c>
      <c r="G325" s="3" t="str">
        <f>IFERROR(__xludf.DUMMYFUNCTION("""COMPUTED_VALUE"""),"Vencida (Folhas murchas)")</f>
        <v>Vencida (Folhas murchas)</v>
      </c>
    </row>
    <row r="326">
      <c r="A326" s="2">
        <f>IFERROR(__xludf.DUMMYFUNCTION("""COMPUTED_VALUE"""),45827.0)</f>
        <v>45827</v>
      </c>
      <c r="B326" s="3" t="str">
        <f>IFERROR(__xludf.DUMMYFUNCTION("""COMPUTED_VALUE"""),"Alface")</f>
        <v>Alface</v>
      </c>
      <c r="C326" s="3" t="str">
        <f>IFERROR(__xludf.DUMMYFUNCTION("""COMPUTED_VALUE"""),"Hortifruti")</f>
        <v>Hortifruti</v>
      </c>
      <c r="D326" s="3" t="str">
        <f>IFERROR(__xludf.DUMMYFUNCTION("""COMPUTED_VALUE"""),"205g")</f>
        <v>205g</v>
      </c>
      <c r="E326" s="3" t="str">
        <f>IFERROR(__xludf.DUMMYFUNCTION("""COMPUTED_VALUE"""),"Venceu (Validade)")</f>
        <v>Venceu (Validade)</v>
      </c>
      <c r="F326" s="3" t="str">
        <f>IFERROR(__xludf.DUMMYFUNCTION("""COMPUTED_VALUE"""),"Patrícia")</f>
        <v>Patrícia</v>
      </c>
      <c r="G326" s="3" t="str">
        <f>IFERROR(__xludf.DUMMYFUNCTION("""COMPUTED_VALUE"""),"Vencida (Folhas queimadas)")</f>
        <v>Vencida (Folhas queimadas)</v>
      </c>
    </row>
    <row r="327">
      <c r="A327" s="2">
        <f>IFERROR(__xludf.DUMMYFUNCTION("""COMPUTED_VALUE"""),45829.0)</f>
        <v>45829</v>
      </c>
      <c r="B327" s="3" t="str">
        <f>IFERROR(__xludf.DUMMYFUNCTION("""COMPUTED_VALUE"""),"Torta crocante ")</f>
        <v>Torta crocante </v>
      </c>
      <c r="C327" s="3" t="str">
        <f>IFERROR(__xludf.DUMMYFUNCTION("""COMPUTED_VALUE"""),"Utensílio")</f>
        <v>Utensílio</v>
      </c>
      <c r="D327" s="3">
        <f>IFERROR(__xludf.DUMMYFUNCTION("""COMPUTED_VALUE"""),2.0)</f>
        <v>2</v>
      </c>
      <c r="E327" s="3" t="str">
        <f>IFERROR(__xludf.DUMMYFUNCTION("""COMPUTED_VALUE"""),"Venceu (Validade)")</f>
        <v>Venceu (Validade)</v>
      </c>
      <c r="F327" s="3" t="str">
        <f>IFERROR(__xludf.DUMMYFUNCTION("""COMPUTED_VALUE"""),"Marilene")</f>
        <v>Marilene</v>
      </c>
      <c r="G327" s="3" t="str">
        <f>IFERROR(__xludf.DUMMYFUNCTION("""COMPUTED_VALUE"""),"Estava desmanchando ")</f>
        <v>Estava desmanchando </v>
      </c>
    </row>
    <row r="328">
      <c r="A328" s="2">
        <f>IFERROR(__xludf.DUMMYFUNCTION("""COMPUTED_VALUE"""),45831.0)</f>
        <v>45831</v>
      </c>
      <c r="B328" s="3" t="str">
        <f>IFERROR(__xludf.DUMMYFUNCTION("""COMPUTED_VALUE"""),"Presunto Parma")</f>
        <v>Presunto Parma</v>
      </c>
      <c r="C328" s="3" t="str">
        <f>IFERROR(__xludf.DUMMYFUNCTION("""COMPUTED_VALUE"""),"Insumo")</f>
        <v>Insumo</v>
      </c>
      <c r="D328" s="3" t="str">
        <f>IFERROR(__xludf.DUMMYFUNCTION("""COMPUTED_VALUE"""),"51g")</f>
        <v>51g</v>
      </c>
      <c r="E328" s="3" t="str">
        <f>IFERROR(__xludf.DUMMYFUNCTION("""COMPUTED_VALUE"""),"Venceu (Validade)")</f>
        <v>Venceu (Validade)</v>
      </c>
      <c r="F328" s="3" t="str">
        <f>IFERROR(__xludf.DUMMYFUNCTION("""COMPUTED_VALUE"""),"Patrícia")</f>
        <v>Patrícia</v>
      </c>
      <c r="G328" s="3" t="str">
        <f>IFERROR(__xludf.DUMMYFUNCTION("""COMPUTED_VALUE"""),"Passado (Verde)")</f>
        <v>Passado (Verde)</v>
      </c>
    </row>
    <row r="329">
      <c r="A329" s="2">
        <f>IFERROR(__xludf.DUMMYFUNCTION("""COMPUTED_VALUE"""),45831.0)</f>
        <v>45831</v>
      </c>
      <c r="B329" s="3" t="str">
        <f>IFERROR(__xludf.DUMMYFUNCTION("""COMPUTED_VALUE"""),"Tomate")</f>
        <v>Tomate</v>
      </c>
      <c r="C329" s="3" t="str">
        <f>IFERROR(__xludf.DUMMYFUNCTION("""COMPUTED_VALUE"""),"Hortifruti")</f>
        <v>Hortifruti</v>
      </c>
      <c r="D329" s="3" t="str">
        <f>IFERROR(__xludf.DUMMYFUNCTION("""COMPUTED_VALUE"""),"105g")</f>
        <v>105g</v>
      </c>
      <c r="E329" s="3" t="str">
        <f>IFERROR(__xludf.DUMMYFUNCTION("""COMPUTED_VALUE"""),"Venceu (Validade)")</f>
        <v>Venceu (Validade)</v>
      </c>
      <c r="F329" s="3" t="str">
        <f>IFERROR(__xludf.DUMMYFUNCTION("""COMPUTED_VALUE"""),"Patrícia")</f>
        <v>Patrícia</v>
      </c>
      <c r="G329" s="3" t="str">
        <f>IFERROR(__xludf.DUMMYFUNCTION("""COMPUTED_VALUE"""),"Vencido.")</f>
        <v>Vencido.</v>
      </c>
    </row>
    <row r="330">
      <c r="A330" s="2">
        <f>IFERROR(__xludf.DUMMYFUNCTION("""COMPUTED_VALUE"""),45831.0)</f>
        <v>45831</v>
      </c>
      <c r="B330" s="3" t="str">
        <f>IFERROR(__xludf.DUMMYFUNCTION("""COMPUTED_VALUE"""),"Rúcula")</f>
        <v>Rúcula</v>
      </c>
      <c r="C330" s="3" t="str">
        <f>IFERROR(__xludf.DUMMYFUNCTION("""COMPUTED_VALUE"""),"Hortifruti")</f>
        <v>Hortifruti</v>
      </c>
      <c r="D330" s="3" t="str">
        <f>IFERROR(__xludf.DUMMYFUNCTION("""COMPUTED_VALUE"""),"30g")</f>
        <v>30g</v>
      </c>
      <c r="E330" s="3" t="str">
        <f>IFERROR(__xludf.DUMMYFUNCTION("""COMPUTED_VALUE"""),"Venceu (Validade)")</f>
        <v>Venceu (Validade)</v>
      </c>
      <c r="F330" s="3" t="str">
        <f>IFERROR(__xludf.DUMMYFUNCTION("""COMPUTED_VALUE"""),"Patrícia")</f>
        <v>Patrícia</v>
      </c>
      <c r="G330" s="3" t="str">
        <f>IFERROR(__xludf.DUMMYFUNCTION("""COMPUTED_VALUE"""),"Vencido.")</f>
        <v>Vencido.</v>
      </c>
    </row>
    <row r="331">
      <c r="A331" s="2">
        <f>IFERROR(__xludf.DUMMYFUNCTION("""COMPUTED_VALUE"""),45832.0)</f>
        <v>45832</v>
      </c>
      <c r="B331" s="3" t="str">
        <f>IFERROR(__xludf.DUMMYFUNCTION("""COMPUTED_VALUE"""),"Copo xote")</f>
        <v>Copo xote</v>
      </c>
      <c r="C331" s="3" t="str">
        <f>IFERROR(__xludf.DUMMYFUNCTION("""COMPUTED_VALUE"""),"Utensílio")</f>
        <v>Utensílio</v>
      </c>
      <c r="D331" s="3">
        <f>IFERROR(__xludf.DUMMYFUNCTION("""COMPUTED_VALUE"""),1.0)</f>
        <v>1</v>
      </c>
      <c r="E331" s="3" t="str">
        <f>IFERROR(__xludf.DUMMYFUNCTION("""COMPUTED_VALUE"""),"Quebra")</f>
        <v>Quebra</v>
      </c>
      <c r="F331" s="3" t="str">
        <f>IFERROR(__xludf.DUMMYFUNCTION("""COMPUTED_VALUE"""),"Ana Júlia")</f>
        <v>Ana Júlia</v>
      </c>
      <c r="G331" s="3" t="str">
        <f>IFERROR(__xludf.DUMMYFUNCTION("""COMPUTED_VALUE"""),"Deixou cair ")</f>
        <v>Deixou cair </v>
      </c>
    </row>
    <row r="332">
      <c r="A332" s="2">
        <f>IFERROR(__xludf.DUMMYFUNCTION("""COMPUTED_VALUE"""),45834.0)</f>
        <v>45834</v>
      </c>
      <c r="B332" s="3" t="str">
        <f>IFERROR(__xludf.DUMMYFUNCTION("""COMPUTED_VALUE"""),"Bolo de cura ")</f>
        <v>Bolo de cura </v>
      </c>
      <c r="C332" s="3" t="str">
        <f>IFERROR(__xludf.DUMMYFUNCTION("""COMPUTED_VALUE"""),"Produto final")</f>
        <v>Produto final</v>
      </c>
      <c r="D332" s="3" t="str">
        <f>IFERROR(__xludf.DUMMYFUNCTION("""COMPUTED_VALUE"""),"2 fatia ")</f>
        <v>2 fatia </v>
      </c>
      <c r="E332" s="3" t="str">
        <f>IFERROR(__xludf.DUMMYFUNCTION("""COMPUTED_VALUE"""),"Venceu (Validade)")</f>
        <v>Venceu (Validade)</v>
      </c>
      <c r="F332" s="3" t="str">
        <f>IFERROR(__xludf.DUMMYFUNCTION("""COMPUTED_VALUE"""),"Marilene")</f>
        <v>Marilene</v>
      </c>
      <c r="G332" s="3" t="str">
        <f>IFERROR(__xludf.DUMMYFUNCTION("""COMPUTED_VALUE"""),"Já estava mais de 3 dia já estava rui")</f>
        <v>Já estava mais de 3 dia já estava rui</v>
      </c>
    </row>
    <row r="333">
      <c r="A333" s="2">
        <f>IFERROR(__xludf.DUMMYFUNCTION("""COMPUTED_VALUE"""),45834.0)</f>
        <v>45834</v>
      </c>
      <c r="B333" s="3" t="str">
        <f>IFERROR(__xludf.DUMMYFUNCTION("""COMPUTED_VALUE"""),"presunto parma")</f>
        <v>presunto parma</v>
      </c>
      <c r="C333" s="3" t="str">
        <f>IFERROR(__xludf.DUMMYFUNCTION("""COMPUTED_VALUE"""),"Insumo")</f>
        <v>Insumo</v>
      </c>
      <c r="D333" s="3" t="str">
        <f>IFERROR(__xludf.DUMMYFUNCTION("""COMPUTED_VALUE"""),"81g")</f>
        <v>81g</v>
      </c>
      <c r="E333" s="3" t="str">
        <f>IFERROR(__xludf.DUMMYFUNCTION("""COMPUTED_VALUE"""),"Venceu (Validade)")</f>
        <v>Venceu (Validade)</v>
      </c>
      <c r="F333" s="3" t="str">
        <f>IFERROR(__xludf.DUMMYFUNCTION("""COMPUTED_VALUE"""),"Tainara")</f>
        <v>Tainara</v>
      </c>
      <c r="G333" s="3" t="str">
        <f>IFERROR(__xludf.DUMMYFUNCTION("""COMPUTED_VALUE"""),"ja estava muito rui ")</f>
        <v>ja estava muito rui </v>
      </c>
    </row>
    <row r="334">
      <c r="A334" s="2">
        <f>IFERROR(__xludf.DUMMYFUNCTION("""COMPUTED_VALUE"""),45834.0)</f>
        <v>45834</v>
      </c>
      <c r="B334" s="3" t="str">
        <f>IFERROR(__xludf.DUMMYFUNCTION("""COMPUTED_VALUE"""),"chantaty")</f>
        <v>chantaty</v>
      </c>
      <c r="C334" s="3" t="str">
        <f>IFERROR(__xludf.DUMMYFUNCTION("""COMPUTED_VALUE"""),"Insumo")</f>
        <v>Insumo</v>
      </c>
      <c r="D334" s="3" t="str">
        <f>IFERROR(__xludf.DUMMYFUNCTION("""COMPUTED_VALUE"""),"20g")</f>
        <v>20g</v>
      </c>
      <c r="E334" s="3" t="str">
        <f>IFERROR(__xludf.DUMMYFUNCTION("""COMPUTED_VALUE"""),"Cliente")</f>
        <v>Cliente</v>
      </c>
      <c r="F334" s="3" t="str">
        <f>IFERROR(__xludf.DUMMYFUNCTION("""COMPUTED_VALUE"""),"Ana Júlia")</f>
        <v>Ana Júlia</v>
      </c>
      <c r="G334" s="3" t="str">
        <f>IFERROR(__xludf.DUMMYFUNCTION("""COMPUTED_VALUE"""),"cliente devolve porque queria natural ")</f>
        <v>cliente devolve porque queria natural </v>
      </c>
    </row>
    <row r="335">
      <c r="A335" s="2">
        <f>IFERROR(__xludf.DUMMYFUNCTION("""COMPUTED_VALUE"""),45835.0)</f>
        <v>45835</v>
      </c>
      <c r="B335" s="3" t="str">
        <f>IFERROR(__xludf.DUMMYFUNCTION("""COMPUTED_VALUE"""),"Copo P")</f>
        <v>Copo P</v>
      </c>
      <c r="C335" s="3" t="str">
        <f>IFERROR(__xludf.DUMMYFUNCTION("""COMPUTED_VALUE"""),"Utensílio")</f>
        <v>Utensílio</v>
      </c>
      <c r="D335" s="3">
        <f>IFERROR(__xludf.DUMMYFUNCTION("""COMPUTED_VALUE"""),1.0)</f>
        <v>1</v>
      </c>
      <c r="E335" s="3" t="str">
        <f>IFERROR(__xludf.DUMMYFUNCTION("""COMPUTED_VALUE"""),"Quebra")</f>
        <v>Quebra</v>
      </c>
      <c r="F335" s="3" t="str">
        <f>IFERROR(__xludf.DUMMYFUNCTION("""COMPUTED_VALUE"""),"Alex")</f>
        <v>Alex</v>
      </c>
      <c r="G335" s="3" t="str">
        <f>IFERROR(__xludf.DUMMYFUNCTION("""COMPUTED_VALUE"""),"Quebrou durante lavagem")</f>
        <v>Quebrou durante lavagem</v>
      </c>
    </row>
    <row r="336">
      <c r="A336" s="2">
        <f>IFERROR(__xludf.DUMMYFUNCTION("""COMPUTED_VALUE"""),45835.0)</f>
        <v>45835</v>
      </c>
      <c r="B336" s="3" t="str">
        <f>IFERROR(__xludf.DUMMYFUNCTION("""COMPUTED_VALUE"""),"Granola ")</f>
        <v>Granola </v>
      </c>
      <c r="C336" s="3" t="str">
        <f>IFERROR(__xludf.DUMMYFUNCTION("""COMPUTED_VALUE"""),"Produto final")</f>
        <v>Produto final</v>
      </c>
      <c r="D336" s="3" t="str">
        <f>IFERROR(__xludf.DUMMYFUNCTION("""COMPUTED_VALUE"""),"132grama ")</f>
        <v>132grama </v>
      </c>
      <c r="E336" s="3" t="str">
        <f>IFERROR(__xludf.DUMMYFUNCTION("""COMPUTED_VALUE"""),"Venceu (Validade)")</f>
        <v>Venceu (Validade)</v>
      </c>
      <c r="F336" s="3" t="str">
        <f>IFERROR(__xludf.DUMMYFUNCTION("""COMPUTED_VALUE"""),"Marilene")</f>
        <v>Marilene</v>
      </c>
      <c r="G336" s="3" t="str">
        <f>IFERROR(__xludf.DUMMYFUNCTION("""COMPUTED_VALUE"""),"Venceu válida ")</f>
        <v>Venceu válida </v>
      </c>
    </row>
    <row r="337">
      <c r="A337" s="2">
        <f>IFERROR(__xludf.DUMMYFUNCTION("""COMPUTED_VALUE"""),45835.0)</f>
        <v>45835</v>
      </c>
      <c r="B337" s="3" t="str">
        <f>IFERROR(__xludf.DUMMYFUNCTION("""COMPUTED_VALUE"""),"Yougute ")</f>
        <v>Yougute </v>
      </c>
      <c r="C337" s="3" t="str">
        <f>IFERROR(__xludf.DUMMYFUNCTION("""COMPUTED_VALUE"""),"Produto final")</f>
        <v>Produto final</v>
      </c>
      <c r="D337" s="3" t="str">
        <f>IFERROR(__xludf.DUMMYFUNCTION("""COMPUTED_VALUE"""),"12 unidade ")</f>
        <v>12 unidade </v>
      </c>
      <c r="E337" s="3" t="str">
        <f>IFERROR(__xludf.DUMMYFUNCTION("""COMPUTED_VALUE"""),"Venceu (Validade)")</f>
        <v>Venceu (Validade)</v>
      </c>
      <c r="F337" s="3" t="str">
        <f>IFERROR(__xludf.DUMMYFUNCTION("""COMPUTED_VALUE"""),"Marilene")</f>
        <v>Marilene</v>
      </c>
      <c r="G337" s="3" t="str">
        <f>IFERROR(__xludf.DUMMYFUNCTION("""COMPUTED_VALUE"""),"Venceu validade ")</f>
        <v>Venceu validade </v>
      </c>
    </row>
    <row r="338">
      <c r="A338" s="2">
        <f>IFERROR(__xludf.DUMMYFUNCTION("""COMPUTED_VALUE"""),45835.0)</f>
        <v>45835</v>
      </c>
      <c r="B338" s="3" t="str">
        <f>IFERROR(__xludf.DUMMYFUNCTION("""COMPUTED_VALUE"""),"Banana ")</f>
        <v>Banana </v>
      </c>
      <c r="C338" s="3" t="str">
        <f>IFERROR(__xludf.DUMMYFUNCTION("""COMPUTED_VALUE"""),"Produto final")</f>
        <v>Produto final</v>
      </c>
      <c r="D338" s="3" t="str">
        <f>IFERROR(__xludf.DUMMYFUNCTION("""COMPUTED_VALUE"""),"359g")</f>
        <v>359g</v>
      </c>
      <c r="E338" s="3" t="str">
        <f>IFERROR(__xludf.DUMMYFUNCTION("""COMPUTED_VALUE"""),"Venceu (Validade)")</f>
        <v>Venceu (Validade)</v>
      </c>
      <c r="F338" s="3" t="str">
        <f>IFERROR(__xludf.DUMMYFUNCTION("""COMPUTED_VALUE"""),"Marilene")</f>
        <v>Marilene</v>
      </c>
      <c r="G338" s="3" t="str">
        <f>IFERROR(__xludf.DUMMYFUNCTION("""COMPUTED_VALUE"""),"Venceu ")</f>
        <v>Venceu </v>
      </c>
    </row>
    <row r="339">
      <c r="A339" s="2">
        <f>IFERROR(__xludf.DUMMYFUNCTION("""COMPUTED_VALUE"""),45835.0)</f>
        <v>45835</v>
      </c>
      <c r="B339" s="3" t="str">
        <f>IFERROR(__xludf.DUMMYFUNCTION("""COMPUTED_VALUE"""),"Biscoito ")</f>
        <v>Biscoito </v>
      </c>
      <c r="C339" s="3" t="str">
        <f>IFERROR(__xludf.DUMMYFUNCTION("""COMPUTED_VALUE"""),"Produto final")</f>
        <v>Produto final</v>
      </c>
      <c r="D339" s="3" t="str">
        <f>IFERROR(__xludf.DUMMYFUNCTION("""COMPUTED_VALUE"""),"305g")</f>
        <v>305g</v>
      </c>
      <c r="E339" s="3" t="str">
        <f>IFERROR(__xludf.DUMMYFUNCTION("""COMPUTED_VALUE"""),"Venceu (Validade)")</f>
        <v>Venceu (Validade)</v>
      </c>
      <c r="F339" s="3" t="str">
        <f>IFERROR(__xludf.DUMMYFUNCTION("""COMPUTED_VALUE"""),"Marilene")</f>
        <v>Marilene</v>
      </c>
      <c r="G339" s="3" t="str">
        <f>IFERROR(__xludf.DUMMYFUNCTION("""COMPUTED_VALUE"""),"Venceu ")</f>
        <v>Venceu </v>
      </c>
    </row>
    <row r="340">
      <c r="A340" s="2">
        <f>IFERROR(__xludf.DUMMYFUNCTION("""COMPUTED_VALUE"""),45835.0)</f>
        <v>45835</v>
      </c>
      <c r="B340" s="3" t="str">
        <f>IFERROR(__xludf.DUMMYFUNCTION("""COMPUTED_VALUE"""),"Kitkat")</f>
        <v>Kitkat</v>
      </c>
      <c r="C340" s="3" t="str">
        <f>IFERROR(__xludf.DUMMYFUNCTION("""COMPUTED_VALUE"""),"Insumo")</f>
        <v>Insumo</v>
      </c>
      <c r="D340" s="3">
        <f>IFERROR(__xludf.DUMMYFUNCTION("""COMPUTED_VALUE"""),1.0)</f>
        <v>1</v>
      </c>
      <c r="E340" s="3" t="str">
        <f>IFERROR(__xludf.DUMMYFUNCTION("""COMPUTED_VALUE"""),"Venceu (Validade)")</f>
        <v>Venceu (Validade)</v>
      </c>
      <c r="F340" s="3" t="str">
        <f>IFERROR(__xludf.DUMMYFUNCTION("""COMPUTED_VALUE"""),"Marilene")</f>
        <v>Marilene</v>
      </c>
      <c r="G340" s="3" t="str">
        <f>IFERROR(__xludf.DUMMYFUNCTION("""COMPUTED_VALUE"""),"Vencido")</f>
        <v>Vencido</v>
      </c>
    </row>
    <row r="341">
      <c r="A341" s="2">
        <f>IFERROR(__xludf.DUMMYFUNCTION("""COMPUTED_VALUE"""),45838.0)</f>
        <v>45838</v>
      </c>
      <c r="B341" s="3" t="str">
        <f>IFERROR(__xludf.DUMMYFUNCTION("""COMPUTED_VALUE"""),"Xícara grande ")</f>
        <v>Xícara grande </v>
      </c>
      <c r="C341" s="3" t="str">
        <f>IFERROR(__xludf.DUMMYFUNCTION("""COMPUTED_VALUE"""),"Utensílio")</f>
        <v>Utensílio</v>
      </c>
      <c r="D341" s="3">
        <f>IFERROR(__xludf.DUMMYFUNCTION("""COMPUTED_VALUE"""),1.0)</f>
        <v>1</v>
      </c>
      <c r="E341" s="3" t="str">
        <f>IFERROR(__xludf.DUMMYFUNCTION("""COMPUTED_VALUE"""),"Quebra")</f>
        <v>Quebra</v>
      </c>
      <c r="F341" s="3" t="str">
        <f>IFERROR(__xludf.DUMMYFUNCTION("""COMPUTED_VALUE"""),"Marilene")</f>
        <v>Marilene</v>
      </c>
      <c r="G341" s="3" t="str">
        <f>IFERROR(__xludf.DUMMYFUNCTION("""COMPUTED_VALUE"""),"A alça caiu na hora de fazer o café ")</f>
        <v>A alça caiu na hora de fazer o café </v>
      </c>
    </row>
    <row r="342">
      <c r="A342" s="2">
        <f>IFERROR(__xludf.DUMMYFUNCTION("""COMPUTED_VALUE"""),45839.0)</f>
        <v>45839</v>
      </c>
      <c r="B342" s="3" t="str">
        <f>IFERROR(__xludf.DUMMYFUNCTION("""COMPUTED_VALUE"""),"Pão de queijo unidade")</f>
        <v>Pão de queijo unidade</v>
      </c>
      <c r="C342" s="3" t="str">
        <f>IFERROR(__xludf.DUMMYFUNCTION("""COMPUTED_VALUE"""),"Produto final")</f>
        <v>Produto final</v>
      </c>
      <c r="D342" s="3">
        <f>IFERROR(__xludf.DUMMYFUNCTION("""COMPUTED_VALUE"""),1.0)</f>
        <v>1</v>
      </c>
      <c r="E342" s="3" t="str">
        <f>IFERROR(__xludf.DUMMYFUNCTION("""COMPUTED_VALUE"""),"Erro de processo")</f>
        <v>Erro de processo</v>
      </c>
      <c r="F342" s="3" t="str">
        <f>IFERROR(__xludf.DUMMYFUNCTION("""COMPUTED_VALUE"""),"Alex")</f>
        <v>Alex</v>
      </c>
      <c r="G342" s="3" t="str">
        <f>IFERROR(__xludf.DUMMYFUNCTION("""COMPUTED_VALUE"""),"Deixou cair ao levar à mesa")</f>
        <v>Deixou cair ao levar à mesa</v>
      </c>
    </row>
    <row r="343">
      <c r="A343" s="2">
        <f>IFERROR(__xludf.DUMMYFUNCTION("""COMPUTED_VALUE"""),45839.0)</f>
        <v>45839</v>
      </c>
      <c r="B343" s="3" t="str">
        <f>IFERROR(__xludf.DUMMYFUNCTION("""COMPUTED_VALUE"""),"Copo shot")</f>
        <v>Copo shot</v>
      </c>
      <c r="C343" s="3" t="str">
        <f>IFERROR(__xludf.DUMMYFUNCTION("""COMPUTED_VALUE"""),"Utensílio")</f>
        <v>Utensílio</v>
      </c>
      <c r="D343" s="3">
        <f>IFERROR(__xludf.DUMMYFUNCTION("""COMPUTED_VALUE"""),1.0)</f>
        <v>1</v>
      </c>
      <c r="E343" s="3" t="str">
        <f>IFERROR(__xludf.DUMMYFUNCTION("""COMPUTED_VALUE"""),"Quebra")</f>
        <v>Quebra</v>
      </c>
      <c r="F343" s="3" t="str">
        <f>IFERROR(__xludf.DUMMYFUNCTION("""COMPUTED_VALUE"""),"Paulo")</f>
        <v>Paulo</v>
      </c>
      <c r="G343" s="3" t="str">
        <f>IFERROR(__xludf.DUMMYFUNCTION("""COMPUTED_VALUE"""),"Quebrou durante manuseio")</f>
        <v>Quebrou durante manuseio</v>
      </c>
    </row>
    <row r="344">
      <c r="A344" s="2">
        <f>IFERROR(__xludf.DUMMYFUNCTION("""COMPUTED_VALUE"""),45840.0)</f>
        <v>45840</v>
      </c>
      <c r="B344" s="3" t="str">
        <f>IFERROR(__xludf.DUMMYFUNCTION("""COMPUTED_VALUE"""),"Torta crocante ")</f>
        <v>Torta crocante </v>
      </c>
      <c r="C344" s="3" t="str">
        <f>IFERROR(__xludf.DUMMYFUNCTION("""COMPUTED_VALUE"""),"Produto final")</f>
        <v>Produto final</v>
      </c>
      <c r="D344" s="3">
        <f>IFERROR(__xludf.DUMMYFUNCTION("""COMPUTED_VALUE"""),2.0)</f>
        <v>2</v>
      </c>
      <c r="E344" s="3" t="str">
        <f>IFERROR(__xludf.DUMMYFUNCTION("""COMPUTED_VALUE"""),"Venceu (Validade)")</f>
        <v>Venceu (Validade)</v>
      </c>
      <c r="F344" s="3" t="str">
        <f>IFERROR(__xludf.DUMMYFUNCTION("""COMPUTED_VALUE"""),"Marilene")</f>
        <v>Marilene</v>
      </c>
      <c r="G344" s="3" t="str">
        <f>IFERROR(__xludf.DUMMYFUNCTION("""COMPUTED_VALUE"""),"Já estava mole na na geladeira ")</f>
        <v>Já estava mole na na geladeira </v>
      </c>
    </row>
    <row r="345">
      <c r="A345" s="2">
        <f>IFERROR(__xludf.DUMMYFUNCTION("""COMPUTED_VALUE"""),45840.0)</f>
        <v>45840</v>
      </c>
      <c r="B345" s="3" t="str">
        <f>IFERROR(__xludf.DUMMYFUNCTION("""COMPUTED_VALUE"""),"Torta paçoca ")</f>
        <v>Torta paçoca </v>
      </c>
      <c r="C345" s="3" t="str">
        <f>IFERROR(__xludf.DUMMYFUNCTION("""COMPUTED_VALUE"""),"Produto final")</f>
        <v>Produto final</v>
      </c>
      <c r="D345" s="3">
        <f>IFERROR(__xludf.DUMMYFUNCTION("""COMPUTED_VALUE"""),1.0)</f>
        <v>1</v>
      </c>
      <c r="E345" s="3" t="str">
        <f>IFERROR(__xludf.DUMMYFUNCTION("""COMPUTED_VALUE"""),"Venceu (Validade)")</f>
        <v>Venceu (Validade)</v>
      </c>
      <c r="F345" s="3" t="str">
        <f>IFERROR(__xludf.DUMMYFUNCTION("""COMPUTED_VALUE"""),"Marilene")</f>
        <v>Marilene</v>
      </c>
      <c r="G345" s="3" t="str">
        <f>IFERROR(__xludf.DUMMYFUNCTION("""COMPUTED_VALUE"""),"Já está vencido ")</f>
        <v>Já está vencido </v>
      </c>
    </row>
    <row r="346">
      <c r="A346" s="2">
        <f>IFERROR(__xludf.DUMMYFUNCTION("""COMPUTED_VALUE"""),45840.0)</f>
        <v>45840</v>
      </c>
      <c r="B346" s="3" t="str">
        <f>IFERROR(__xludf.DUMMYFUNCTION("""COMPUTED_VALUE"""),"Bolo de fubá ")</f>
        <v>Bolo de fubá </v>
      </c>
      <c r="C346" s="3" t="str">
        <f>IFERROR(__xludf.DUMMYFUNCTION("""COMPUTED_VALUE"""),"Produto final")</f>
        <v>Produto final</v>
      </c>
      <c r="D346" s="3">
        <f>IFERROR(__xludf.DUMMYFUNCTION("""COMPUTED_VALUE"""),1.0)</f>
        <v>1</v>
      </c>
      <c r="E346" s="3" t="str">
        <f>IFERROR(__xludf.DUMMYFUNCTION("""COMPUTED_VALUE"""),"Venceu (Validade)")</f>
        <v>Venceu (Validade)</v>
      </c>
      <c r="F346" s="3" t="str">
        <f>IFERROR(__xludf.DUMMYFUNCTION("""COMPUTED_VALUE"""),"Marilene")</f>
        <v>Marilene</v>
      </c>
      <c r="G346" s="3" t="str">
        <f>IFERROR(__xludf.DUMMYFUNCTION("""COMPUTED_VALUE"""),"Venceu validade ")</f>
        <v>Venceu validade </v>
      </c>
    </row>
    <row r="347">
      <c r="A347" s="2">
        <f>IFERROR(__xludf.DUMMYFUNCTION("""COMPUTED_VALUE"""),45841.0)</f>
        <v>45841</v>
      </c>
      <c r="B347" s="3" t="str">
        <f>IFERROR(__xludf.DUMMYFUNCTION("""COMPUTED_VALUE"""),"Rúcula")</f>
        <v>Rúcula</v>
      </c>
      <c r="C347" s="3" t="str">
        <f>IFERROR(__xludf.DUMMYFUNCTION("""COMPUTED_VALUE"""),"Hortifruti")</f>
        <v>Hortifruti</v>
      </c>
      <c r="D347" s="3" t="str">
        <f>IFERROR(__xludf.DUMMYFUNCTION("""COMPUTED_VALUE"""),"30g")</f>
        <v>30g</v>
      </c>
      <c r="E347" s="3" t="str">
        <f>IFERROR(__xludf.DUMMYFUNCTION("""COMPUTED_VALUE"""),"Venceu (Validade)")</f>
        <v>Venceu (Validade)</v>
      </c>
      <c r="F347" s="3" t="str">
        <f>IFERROR(__xludf.DUMMYFUNCTION("""COMPUTED_VALUE"""),"Patrícia")</f>
        <v>Patrícia</v>
      </c>
      <c r="G347" s="3" t="str">
        <f>IFERROR(__xludf.DUMMYFUNCTION("""COMPUTED_VALUE"""),"Venceu (folhas murchas)")</f>
        <v>Venceu (folhas murchas)</v>
      </c>
    </row>
    <row r="348">
      <c r="A348" s="2">
        <f>IFERROR(__xludf.DUMMYFUNCTION("""COMPUTED_VALUE"""),45841.0)</f>
        <v>45841</v>
      </c>
      <c r="B348" s="3" t="str">
        <f>IFERROR(__xludf.DUMMYFUNCTION("""COMPUTED_VALUE"""),"Salsa")</f>
        <v>Salsa</v>
      </c>
      <c r="C348" s="3" t="str">
        <f>IFERROR(__xludf.DUMMYFUNCTION("""COMPUTED_VALUE"""),"Hortifruti")</f>
        <v>Hortifruti</v>
      </c>
      <c r="D348" s="3" t="str">
        <f>IFERROR(__xludf.DUMMYFUNCTION("""COMPUTED_VALUE"""),"20g")</f>
        <v>20g</v>
      </c>
      <c r="E348" s="3" t="str">
        <f>IFERROR(__xludf.DUMMYFUNCTION("""COMPUTED_VALUE"""),"Venceu (Validade)")</f>
        <v>Venceu (Validade)</v>
      </c>
      <c r="F348" s="3" t="str">
        <f>IFERROR(__xludf.DUMMYFUNCTION("""COMPUTED_VALUE"""),"Patrícia")</f>
        <v>Patrícia</v>
      </c>
      <c r="G348" s="3" t="str">
        <f>IFERROR(__xludf.DUMMYFUNCTION("""COMPUTED_VALUE"""),"Venceu (Folhas murchas)")</f>
        <v>Venceu (Folhas murchas)</v>
      </c>
    </row>
    <row r="349">
      <c r="A349" s="2">
        <f>IFERROR(__xludf.DUMMYFUNCTION("""COMPUTED_VALUE"""),45842.0)</f>
        <v>45842</v>
      </c>
      <c r="B349" s="3" t="str">
        <f>IFERROR(__xludf.DUMMYFUNCTION("""COMPUTED_VALUE"""),"Torta de frango ")</f>
        <v>Torta de frango </v>
      </c>
      <c r="C349" s="3" t="str">
        <f>IFERROR(__xludf.DUMMYFUNCTION("""COMPUTED_VALUE"""),"Produto final")</f>
        <v>Produto final</v>
      </c>
      <c r="D349" s="3">
        <f>IFERROR(__xludf.DUMMYFUNCTION("""COMPUTED_VALUE"""),1.0)</f>
        <v>1</v>
      </c>
      <c r="E349" s="3" t="str">
        <f>IFERROR(__xludf.DUMMYFUNCTION("""COMPUTED_VALUE"""),"Erro de processo")</f>
        <v>Erro de processo</v>
      </c>
      <c r="F349" s="3" t="str">
        <f>IFERROR(__xludf.DUMMYFUNCTION("""COMPUTED_VALUE"""),"Ana Júlia")</f>
        <v>Ana Júlia</v>
      </c>
      <c r="G349" s="3" t="str">
        <f>IFERROR(__xludf.DUMMYFUNCTION("""COMPUTED_VALUE"""),"Deixou cair ")</f>
        <v>Deixou cair </v>
      </c>
    </row>
    <row r="350">
      <c r="A350" s="2">
        <f>IFERROR(__xludf.DUMMYFUNCTION("""COMPUTED_VALUE"""),45843.0)</f>
        <v>45843</v>
      </c>
      <c r="B350" s="3" t="str">
        <f>IFERROR(__xludf.DUMMYFUNCTION("""COMPUTED_VALUE"""),"Pão Ciabatta")</f>
        <v>Pão Ciabatta</v>
      </c>
      <c r="C350" s="3" t="str">
        <f>IFERROR(__xludf.DUMMYFUNCTION("""COMPUTED_VALUE"""),"Insumo")</f>
        <v>Insumo</v>
      </c>
      <c r="D350" s="3">
        <f>IFERROR(__xludf.DUMMYFUNCTION("""COMPUTED_VALUE"""),5.0)</f>
        <v>5</v>
      </c>
      <c r="E350" s="3" t="str">
        <f>IFERROR(__xludf.DUMMYFUNCTION("""COMPUTED_VALUE"""),"Erro de processo")</f>
        <v>Erro de processo</v>
      </c>
      <c r="F350" s="3" t="str">
        <f>IFERROR(__xludf.DUMMYFUNCTION("""COMPUTED_VALUE"""),"Paulo")</f>
        <v>Paulo</v>
      </c>
      <c r="G350" s="3" t="str">
        <f>IFERROR(__xludf.DUMMYFUNCTION("""COMPUTED_VALUE"""),"Deixou cair a bandeja toda ao retirar do forno")</f>
        <v>Deixou cair a bandeja toda ao retirar do forno</v>
      </c>
    </row>
    <row r="351">
      <c r="A351" s="2">
        <f>IFERROR(__xludf.DUMMYFUNCTION("""COMPUTED_VALUE"""),45843.0)</f>
        <v>45843</v>
      </c>
      <c r="B351" s="3" t="str">
        <f>IFERROR(__xludf.DUMMYFUNCTION("""COMPUTED_VALUE"""),"Coxinha")</f>
        <v>Coxinha</v>
      </c>
      <c r="C351" s="3" t="str">
        <f>IFERROR(__xludf.DUMMYFUNCTION("""COMPUTED_VALUE"""),"Produto final")</f>
        <v>Produto final</v>
      </c>
      <c r="D351" s="3">
        <f>IFERROR(__xludf.DUMMYFUNCTION("""COMPUTED_VALUE"""),1.0)</f>
        <v>1</v>
      </c>
      <c r="E351" s="3" t="str">
        <f>IFERROR(__xludf.DUMMYFUNCTION("""COMPUTED_VALUE"""),"Outro")</f>
        <v>Outro</v>
      </c>
      <c r="F351" s="3" t="str">
        <f>IFERROR(__xludf.DUMMYFUNCTION("""COMPUTED_VALUE"""),"Brunna")</f>
        <v>Brunna</v>
      </c>
      <c r="G351" s="3" t="str">
        <f>IFERROR(__xludf.DUMMYFUNCTION("""COMPUTED_VALUE"""),"Fornecedor - Veio quebrada")</f>
        <v>Fornecedor - Veio quebrada</v>
      </c>
    </row>
    <row r="352">
      <c r="A352" s="2">
        <f>IFERROR(__xludf.DUMMYFUNCTION("""COMPUTED_VALUE"""),45843.0)</f>
        <v>45843</v>
      </c>
      <c r="B352" s="3" t="str">
        <f>IFERROR(__xludf.DUMMYFUNCTION("""COMPUTED_VALUE"""),"Prensa Francesa")</f>
        <v>Prensa Francesa</v>
      </c>
      <c r="C352" s="3" t="str">
        <f>IFERROR(__xludf.DUMMYFUNCTION("""COMPUTED_VALUE"""),"Utensílio")</f>
        <v>Utensílio</v>
      </c>
      <c r="D352" s="3">
        <f>IFERROR(__xludf.DUMMYFUNCTION("""COMPUTED_VALUE"""),1.0)</f>
        <v>1</v>
      </c>
      <c r="E352" s="3" t="str">
        <f>IFERROR(__xludf.DUMMYFUNCTION("""COMPUTED_VALUE"""),"Quebra")</f>
        <v>Quebra</v>
      </c>
      <c r="F352" s="3" t="str">
        <f>IFERROR(__xludf.DUMMYFUNCTION("""COMPUTED_VALUE"""),"Alex")</f>
        <v>Alex</v>
      </c>
      <c r="G352" s="3" t="str">
        <f>IFERROR(__xludf.DUMMYFUNCTION("""COMPUTED_VALUE"""),"Michele identificou um trincado leve na parte inferior em 03/07, porém não estava vazando. Continuamos a usar e hoje o fundo cedeu.")</f>
        <v>Michele identificou um trincado leve na parte inferior em 03/07, porém não estava vazando. Continuamos a usar e hoje o fundo cedeu.</v>
      </c>
    </row>
    <row r="353">
      <c r="A353" s="2">
        <f>IFERROR(__xludf.DUMMYFUNCTION("""COMPUTED_VALUE"""),45844.0)</f>
        <v>45844</v>
      </c>
      <c r="B353" s="3" t="str">
        <f>IFERROR(__xludf.DUMMYFUNCTION("""COMPUTED_VALUE"""),"Croissant simples")</f>
        <v>Croissant simples</v>
      </c>
      <c r="C353" s="3" t="str">
        <f>IFERROR(__xludf.DUMMYFUNCTION("""COMPUTED_VALUE"""),"Produto final")</f>
        <v>Produto final</v>
      </c>
      <c r="D353" s="3">
        <f>IFERROR(__xludf.DUMMYFUNCTION("""COMPUTED_VALUE"""),5.0)</f>
        <v>5</v>
      </c>
      <c r="E353" s="3" t="str">
        <f>IFERROR(__xludf.DUMMYFUNCTION("""COMPUTED_VALUE"""),"Erro de processo")</f>
        <v>Erro de processo</v>
      </c>
      <c r="F353" s="3" t="str">
        <f>IFERROR(__xludf.DUMMYFUNCTION("""COMPUTED_VALUE"""),"Francisca")</f>
        <v>Francisca</v>
      </c>
      <c r="G353" s="3" t="str">
        <f>IFERROR(__xludf.DUMMYFUNCTION("""COMPUTED_VALUE"""),"Não colocou tempo no forno e queimou")</f>
        <v>Não colocou tempo no forno e queimou</v>
      </c>
    </row>
    <row r="354">
      <c r="A354" s="2">
        <f>IFERROR(__xludf.DUMMYFUNCTION("""COMPUTED_VALUE"""),45844.0)</f>
        <v>45844</v>
      </c>
      <c r="B354" s="3" t="str">
        <f>IFERROR(__xludf.DUMMYFUNCTION("""COMPUTED_VALUE"""),"Taça de vinho ")</f>
        <v>Taça de vinho </v>
      </c>
      <c r="C354" s="3" t="str">
        <f>IFERROR(__xludf.DUMMYFUNCTION("""COMPUTED_VALUE"""),"Utensílio")</f>
        <v>Utensílio</v>
      </c>
      <c r="D354" s="3">
        <f>IFERROR(__xludf.DUMMYFUNCTION("""COMPUTED_VALUE"""),1.0)</f>
        <v>1</v>
      </c>
      <c r="E354" s="3" t="str">
        <f>IFERROR(__xludf.DUMMYFUNCTION("""COMPUTED_VALUE"""),"Quebra")</f>
        <v>Quebra</v>
      </c>
      <c r="F354" s="3" t="str">
        <f>IFERROR(__xludf.DUMMYFUNCTION("""COMPUTED_VALUE"""),"Rafael")</f>
        <v>Rafael</v>
      </c>
      <c r="G354" s="3" t="str">
        <f>IFERROR(__xludf.DUMMYFUNCTION("""COMPUTED_VALUE"""),"Quebrou ao lavar")</f>
        <v>Quebrou ao lavar</v>
      </c>
    </row>
    <row r="355">
      <c r="A355" s="2">
        <f>IFERROR(__xludf.DUMMYFUNCTION("""COMPUTED_VALUE"""),45844.0)</f>
        <v>45844</v>
      </c>
      <c r="B355" s="3" t="str">
        <f>IFERROR(__xludf.DUMMYFUNCTION("""COMPUTED_VALUE"""),"500grama de chantilly ")</f>
        <v>500grama de chantilly </v>
      </c>
      <c r="C355" s="3" t="str">
        <f>IFERROR(__xludf.DUMMYFUNCTION("""COMPUTED_VALUE"""),"Produto final")</f>
        <v>Produto final</v>
      </c>
      <c r="D355" s="3" t="str">
        <f>IFERROR(__xludf.DUMMYFUNCTION("""COMPUTED_VALUE"""),"500grama")</f>
        <v>500grama</v>
      </c>
      <c r="E355" s="3" t="str">
        <f>IFERROR(__xludf.DUMMYFUNCTION("""COMPUTED_VALUE"""),"Outro")</f>
        <v>Outro</v>
      </c>
      <c r="F355" s="3" t="str">
        <f>IFERROR(__xludf.DUMMYFUNCTION("""COMPUTED_VALUE"""),"Marilene")</f>
        <v>Marilene</v>
      </c>
      <c r="G355" s="3" t="str">
        <f>IFERROR(__xludf.DUMMYFUNCTION("""COMPUTED_VALUE"""),"Estava muito duro não deu para fazer")</f>
        <v>Estava muito duro não deu para fazer</v>
      </c>
    </row>
    <row r="356">
      <c r="A356" s="2">
        <f>IFERROR(__xludf.DUMMYFUNCTION("""COMPUTED_VALUE"""),45846.0)</f>
        <v>45846</v>
      </c>
      <c r="B356" s="3" t="str">
        <f>IFERROR(__xludf.DUMMYFUNCTION("""COMPUTED_VALUE"""),"Croissant simples ")</f>
        <v>Croissant simples </v>
      </c>
      <c r="C356" s="3" t="str">
        <f>IFERROR(__xludf.DUMMYFUNCTION("""COMPUTED_VALUE"""),"Produto final")</f>
        <v>Produto final</v>
      </c>
      <c r="D356" s="3">
        <f>IFERROR(__xludf.DUMMYFUNCTION("""COMPUTED_VALUE"""),1.0)</f>
        <v>1</v>
      </c>
      <c r="E356" s="3" t="str">
        <f>IFERROR(__xludf.DUMMYFUNCTION("""COMPUTED_VALUE"""),"Erro de processo")</f>
        <v>Erro de processo</v>
      </c>
      <c r="F356" s="3" t="str">
        <f>IFERROR(__xludf.DUMMYFUNCTION("""COMPUTED_VALUE"""),"Marilene")</f>
        <v>Marilene</v>
      </c>
      <c r="G356" s="3" t="str">
        <f>IFERROR(__xludf.DUMMYFUNCTION("""COMPUTED_VALUE"""),"Deixe queimar ")</f>
        <v>Deixe queimar </v>
      </c>
    </row>
    <row r="357">
      <c r="A357" s="2">
        <f>IFERROR(__xludf.DUMMYFUNCTION("""COMPUTED_VALUE"""),45847.0)</f>
        <v>45847</v>
      </c>
      <c r="B357" s="3" t="str">
        <f>IFERROR(__xludf.DUMMYFUNCTION("""COMPUTED_VALUE"""),"Copo shot")</f>
        <v>Copo shot</v>
      </c>
      <c r="C357" s="3" t="str">
        <f>IFERROR(__xludf.DUMMYFUNCTION("""COMPUTED_VALUE"""),"Utensílio")</f>
        <v>Utensílio</v>
      </c>
      <c r="D357" s="3">
        <f>IFERROR(__xludf.DUMMYFUNCTION("""COMPUTED_VALUE"""),1.0)</f>
        <v>1</v>
      </c>
      <c r="E357" s="3" t="str">
        <f>IFERROR(__xludf.DUMMYFUNCTION("""COMPUTED_VALUE"""),"Quebra")</f>
        <v>Quebra</v>
      </c>
      <c r="F357" s="3" t="str">
        <f>IFERROR(__xludf.DUMMYFUNCTION("""COMPUTED_VALUE"""),"Melissa")</f>
        <v>Melissa</v>
      </c>
      <c r="G357" s="3" t="str">
        <f>IFERROR(__xludf.DUMMYFUNCTION("""COMPUTED_VALUE"""),"Quebrou ao repor após lavagem")</f>
        <v>Quebrou ao repor após lavagem</v>
      </c>
    </row>
    <row r="358">
      <c r="A358" s="2">
        <f>IFERROR(__xludf.DUMMYFUNCTION("""COMPUTED_VALUE"""),45847.0)</f>
        <v>45847</v>
      </c>
      <c r="B358" s="3" t="str">
        <f>IFERROR(__xludf.DUMMYFUNCTION("""COMPUTED_VALUE"""),"Copo pequeno")</f>
        <v>Copo pequeno</v>
      </c>
      <c r="C358" s="3" t="str">
        <f>IFERROR(__xludf.DUMMYFUNCTION("""COMPUTED_VALUE"""),"Utensílio")</f>
        <v>Utensílio</v>
      </c>
      <c r="D358" s="3">
        <f>IFERROR(__xludf.DUMMYFUNCTION("""COMPUTED_VALUE"""),1.0)</f>
        <v>1</v>
      </c>
      <c r="E358" s="3" t="str">
        <f>IFERROR(__xludf.DUMMYFUNCTION("""COMPUTED_VALUE"""),"Quebra")</f>
        <v>Quebra</v>
      </c>
      <c r="F358" s="3" t="str">
        <f>IFERROR(__xludf.DUMMYFUNCTION("""COMPUTED_VALUE"""),"Michele")</f>
        <v>Michele</v>
      </c>
      <c r="G358" s="3" t="str">
        <f>IFERROR(__xludf.DUMMYFUNCTION("""COMPUTED_VALUE"""),"Identificado pequena fissura na borda e retiramos de operação")</f>
        <v>Identificado pequena fissura na borda e retiramos de operação</v>
      </c>
    </row>
    <row r="359">
      <c r="A359" s="2">
        <f>IFERROR(__xludf.DUMMYFUNCTION("""COMPUTED_VALUE"""),45847.0)</f>
        <v>45847</v>
      </c>
      <c r="B359" s="3" t="str">
        <f>IFERROR(__xludf.DUMMYFUNCTION("""COMPUTED_VALUE"""),"Xícara grande")</f>
        <v>Xícara grande</v>
      </c>
      <c r="C359" s="3" t="str">
        <f>IFERROR(__xludf.DUMMYFUNCTION("""COMPUTED_VALUE"""),"Utensílio")</f>
        <v>Utensílio</v>
      </c>
      <c r="D359" s="3">
        <f>IFERROR(__xludf.DUMMYFUNCTION("""COMPUTED_VALUE"""),1.0)</f>
        <v>1</v>
      </c>
      <c r="E359" s="3" t="str">
        <f>IFERROR(__xludf.DUMMYFUNCTION("""COMPUTED_VALUE"""),"Quebra")</f>
        <v>Quebra</v>
      </c>
      <c r="F359" s="3" t="str">
        <f>IFERROR(__xludf.DUMMYFUNCTION("""COMPUTED_VALUE"""),"Alex")</f>
        <v>Alex</v>
      </c>
      <c r="G359" s="3" t="str">
        <f>IFERROR(__xludf.DUMMYFUNCTION("""COMPUTED_VALUE"""),"Identificado fissura na alça e retiramos de operação")</f>
        <v>Identificado fissura na alça e retiramos de operação</v>
      </c>
    </row>
    <row r="360">
      <c r="A360" s="2">
        <f>IFERROR(__xludf.DUMMYFUNCTION("""COMPUTED_VALUE"""),45848.0)</f>
        <v>45848</v>
      </c>
      <c r="B360" s="3" t="str">
        <f>IFERROR(__xludf.DUMMYFUNCTION("""COMPUTED_VALUE"""),"Xote ")</f>
        <v>Xote </v>
      </c>
      <c r="C360" s="3" t="str">
        <f>IFERROR(__xludf.DUMMYFUNCTION("""COMPUTED_VALUE"""),"Utensílio")</f>
        <v>Utensílio</v>
      </c>
      <c r="D360" s="3">
        <f>IFERROR(__xludf.DUMMYFUNCTION("""COMPUTED_VALUE"""),1.0)</f>
        <v>1</v>
      </c>
      <c r="E360" s="3" t="str">
        <f>IFERROR(__xludf.DUMMYFUNCTION("""COMPUTED_VALUE"""),"Cliente")</f>
        <v>Cliente</v>
      </c>
      <c r="F360" s="3" t="str">
        <f>IFERROR(__xludf.DUMMYFUNCTION("""COMPUTED_VALUE"""),"Marilene")</f>
        <v>Marilene</v>
      </c>
      <c r="G360" s="3" t="str">
        <f>IFERROR(__xludf.DUMMYFUNCTION("""COMPUTED_VALUE"""),"Cliente deixou caí da mesa ")</f>
        <v>Cliente deixou caí da mesa </v>
      </c>
    </row>
    <row r="361">
      <c r="A361" s="2">
        <f>IFERROR(__xludf.DUMMYFUNCTION("""COMPUTED_VALUE"""),45849.0)</f>
        <v>45849</v>
      </c>
      <c r="B361" s="3" t="str">
        <f>IFERROR(__xludf.DUMMYFUNCTION("""COMPUTED_VALUE"""),"Coxinha")</f>
        <v>Coxinha</v>
      </c>
      <c r="C361" s="3" t="str">
        <f>IFERROR(__xludf.DUMMYFUNCTION("""COMPUTED_VALUE"""),"Produto final")</f>
        <v>Produto final</v>
      </c>
      <c r="D361" s="3">
        <f>IFERROR(__xludf.DUMMYFUNCTION("""COMPUTED_VALUE"""),1.0)</f>
        <v>1</v>
      </c>
      <c r="E361" s="3" t="str">
        <f>IFERROR(__xludf.DUMMYFUNCTION("""COMPUTED_VALUE"""),"Outro")</f>
        <v>Outro</v>
      </c>
      <c r="F361" s="3" t="str">
        <f>IFERROR(__xludf.DUMMYFUNCTION("""COMPUTED_VALUE"""),"Michele")</f>
        <v>Michele</v>
      </c>
      <c r="G361" s="3" t="str">
        <f>IFERROR(__xludf.DUMMYFUNCTION("""COMPUTED_VALUE"""),"Cliente devolveu alegando que estava estragada.")</f>
        <v>Cliente devolveu alegando que estava estragada.</v>
      </c>
    </row>
    <row r="362">
      <c r="A362" s="2">
        <f>IFERROR(__xludf.DUMMYFUNCTION("""COMPUTED_VALUE"""),45849.0)</f>
        <v>45849</v>
      </c>
      <c r="B362" s="3" t="str">
        <f>IFERROR(__xludf.DUMMYFUNCTION("""COMPUTED_VALUE"""),"Copo shot")</f>
        <v>Copo shot</v>
      </c>
      <c r="C362" s="3" t="str">
        <f>IFERROR(__xludf.DUMMYFUNCTION("""COMPUTED_VALUE"""),"Utensílio")</f>
        <v>Utensílio</v>
      </c>
      <c r="D362" s="3">
        <f>IFERROR(__xludf.DUMMYFUNCTION("""COMPUTED_VALUE"""),1.0)</f>
        <v>1</v>
      </c>
      <c r="E362" s="3" t="str">
        <f>IFERROR(__xludf.DUMMYFUNCTION("""COMPUTED_VALUE"""),"Quebra")</f>
        <v>Quebra</v>
      </c>
      <c r="F362" s="3" t="str">
        <f>IFERROR(__xludf.DUMMYFUNCTION("""COMPUTED_VALUE"""),"Melissa")</f>
        <v>Melissa</v>
      </c>
      <c r="G362" s="3" t="str">
        <f>IFERROR(__xludf.DUMMYFUNCTION("""COMPUTED_VALUE"""),"Quebrado na bandeja de louça após lavagem")</f>
        <v>Quebrado na bandeja de louça após lavagem</v>
      </c>
    </row>
    <row r="363">
      <c r="A363" s="2">
        <f>IFERROR(__xludf.DUMMYFUNCTION("""COMPUTED_VALUE"""),45851.0)</f>
        <v>45851</v>
      </c>
      <c r="B363" s="3" t="str">
        <f>IFERROR(__xludf.DUMMYFUNCTION("""COMPUTED_VALUE"""),"Pão de queijo unidade")</f>
        <v>Pão de queijo unidade</v>
      </c>
      <c r="C363" s="3" t="str">
        <f>IFERROR(__xludf.DUMMYFUNCTION("""COMPUTED_VALUE"""),"Produto final")</f>
        <v>Produto final</v>
      </c>
      <c r="D363" s="3">
        <f>IFERROR(__xludf.DUMMYFUNCTION("""COMPUTED_VALUE"""),8.0)</f>
        <v>8</v>
      </c>
      <c r="E363" s="3" t="str">
        <f>IFERROR(__xludf.DUMMYFUNCTION("""COMPUTED_VALUE"""),"Venceu (Validade)")</f>
        <v>Venceu (Validade)</v>
      </c>
      <c r="F363" s="3" t="str">
        <f>IFERROR(__xludf.DUMMYFUNCTION("""COMPUTED_VALUE"""),"Melissa")</f>
        <v>Melissa</v>
      </c>
      <c r="G363" s="3" t="str">
        <f>IFERROR(__xludf.DUMMYFUNCTION("""COMPUTED_VALUE"""),"Vencido na geladeira.")</f>
        <v>Vencido na geladeira.</v>
      </c>
    </row>
    <row r="364">
      <c r="A364" s="2">
        <f>IFERROR(__xludf.DUMMYFUNCTION("""COMPUTED_VALUE"""),45851.0)</f>
        <v>45851</v>
      </c>
      <c r="B364" s="3" t="str">
        <f>IFERROR(__xludf.DUMMYFUNCTION("""COMPUTED_VALUE"""),"Permegiana de frango ")</f>
        <v>Permegiana de frango </v>
      </c>
      <c r="C364" s="3" t="str">
        <f>IFERROR(__xludf.DUMMYFUNCTION("""COMPUTED_VALUE"""),"Produto final")</f>
        <v>Produto final</v>
      </c>
      <c r="D364" s="3">
        <f>IFERROR(__xludf.DUMMYFUNCTION("""COMPUTED_VALUE"""),1.0)</f>
        <v>1</v>
      </c>
      <c r="E364" s="3" t="str">
        <f>IFERROR(__xludf.DUMMYFUNCTION("""COMPUTED_VALUE"""),"Lançamento errado")</f>
        <v>Lançamento errado</v>
      </c>
      <c r="F364" s="3" t="str">
        <f>IFERROR(__xludf.DUMMYFUNCTION("""COMPUTED_VALUE"""),"Paulo")</f>
        <v>Paulo</v>
      </c>
      <c r="G364" s="3" t="str">
        <f>IFERROR(__xludf.DUMMYFUNCTION("""COMPUTED_VALUE"""),"Lançou errado ")</f>
        <v>Lançou errado </v>
      </c>
    </row>
    <row r="365">
      <c r="A365" s="2">
        <f>IFERROR(__xludf.DUMMYFUNCTION("""COMPUTED_VALUE"""),45852.0)</f>
        <v>45852</v>
      </c>
      <c r="B365" s="3" t="str">
        <f>IFERROR(__xludf.DUMMYFUNCTION("""COMPUTED_VALUE"""),"rucula")</f>
        <v>rucula</v>
      </c>
      <c r="C365" s="3" t="str">
        <f>IFERROR(__xludf.DUMMYFUNCTION("""COMPUTED_VALUE"""),"Hortifruti")</f>
        <v>Hortifruti</v>
      </c>
      <c r="D365" s="3">
        <f>IFERROR(__xludf.DUMMYFUNCTION("""COMPUTED_VALUE"""),219.0)</f>
        <v>219</v>
      </c>
      <c r="E365" s="3" t="str">
        <f>IFERROR(__xludf.DUMMYFUNCTION("""COMPUTED_VALUE"""),"Venceu (Validade)")</f>
        <v>Venceu (Validade)</v>
      </c>
      <c r="F365" s="3" t="str">
        <f>IFERROR(__xludf.DUMMYFUNCTION("""COMPUTED_VALUE"""),"Edna")</f>
        <v>Edna</v>
      </c>
      <c r="G365" s="3" t="str">
        <f>IFERROR(__xludf.DUMMYFUNCTION("""COMPUTED_VALUE"""),"estava com as folhas estragadas")</f>
        <v>estava com as folhas estragadas</v>
      </c>
    </row>
    <row r="366">
      <c r="A366" s="2">
        <f>IFERROR(__xludf.DUMMYFUNCTION("""COMPUTED_VALUE"""),45852.0)</f>
        <v>45852</v>
      </c>
      <c r="B366" s="3" t="str">
        <f>IFERROR(__xludf.DUMMYFUNCTION("""COMPUTED_VALUE"""),"pao de queijo")</f>
        <v>pao de queijo</v>
      </c>
      <c r="C366" s="3" t="str">
        <f>IFERROR(__xludf.DUMMYFUNCTION("""COMPUTED_VALUE"""),"Insumo")</f>
        <v>Insumo</v>
      </c>
      <c r="D366" s="3">
        <f>IFERROR(__xludf.DUMMYFUNCTION("""COMPUTED_VALUE"""),5.0)</f>
        <v>5</v>
      </c>
      <c r="E366" s="3" t="str">
        <f>IFERROR(__xludf.DUMMYFUNCTION("""COMPUTED_VALUE"""),"Erro de processo")</f>
        <v>Erro de processo</v>
      </c>
      <c r="F366" s="3" t="str">
        <f>IFERROR(__xludf.DUMMYFUNCTION("""COMPUTED_VALUE"""),"Francisca")</f>
        <v>Francisca</v>
      </c>
      <c r="G366" s="3" t="str">
        <f>IFERROR(__xludf.DUMMYFUNCTION("""COMPUTED_VALUE"""),"deixou cair ao tirar do forno")</f>
        <v>deixou cair ao tirar do forno</v>
      </c>
    </row>
    <row r="367">
      <c r="A367" s="2">
        <f>IFERROR(__xludf.DUMMYFUNCTION("""COMPUTED_VALUE"""),45853.0)</f>
        <v>45853</v>
      </c>
      <c r="B367" s="3" t="str">
        <f>IFERROR(__xludf.DUMMYFUNCTION("""COMPUTED_VALUE"""),"Pão de batata")</f>
        <v>Pão de batata</v>
      </c>
      <c r="C367" s="3" t="str">
        <f>IFERROR(__xludf.DUMMYFUNCTION("""COMPUTED_VALUE"""),"Produto final")</f>
        <v>Produto final</v>
      </c>
      <c r="D367" s="3">
        <f>IFERROR(__xludf.DUMMYFUNCTION("""COMPUTED_VALUE"""),1.0)</f>
        <v>1</v>
      </c>
      <c r="E367" s="3" t="str">
        <f>IFERROR(__xludf.DUMMYFUNCTION("""COMPUTED_VALUE"""),"Erro de processo")</f>
        <v>Erro de processo</v>
      </c>
      <c r="F367" s="3" t="str">
        <f>IFERROR(__xludf.DUMMYFUNCTION("""COMPUTED_VALUE"""),"Michele")</f>
        <v>Michele</v>
      </c>
      <c r="G367" s="3" t="str">
        <f>IFERROR(__xludf.DUMMYFUNCTION("""COMPUTED_VALUE"""),"Colocou para assar sem descanso. Retirado para prova.")</f>
        <v>Colocou para assar sem descanso. Retirado para prova.</v>
      </c>
    </row>
    <row r="368">
      <c r="A368" s="2">
        <f>IFERROR(__xludf.DUMMYFUNCTION("""COMPUTED_VALUE"""),45853.0)</f>
        <v>45853</v>
      </c>
      <c r="B368" s="3" t="str">
        <f>IFERROR(__xludf.DUMMYFUNCTION("""COMPUTED_VALUE"""),"Pão de queijo recheado doce de leite")</f>
        <v>Pão de queijo recheado doce de leite</v>
      </c>
      <c r="C368" s="3" t="str">
        <f>IFERROR(__xludf.DUMMYFUNCTION("""COMPUTED_VALUE"""),"Produto final")</f>
        <v>Produto final</v>
      </c>
      <c r="D368" s="3">
        <f>IFERROR(__xludf.DUMMYFUNCTION("""COMPUTED_VALUE"""),1.0)</f>
        <v>1</v>
      </c>
      <c r="E368" s="3" t="str">
        <f>IFERROR(__xludf.DUMMYFUNCTION("""COMPUTED_VALUE"""),"Lançamento errado")</f>
        <v>Lançamento errado</v>
      </c>
      <c r="F368" s="3" t="str">
        <f>IFERROR(__xludf.DUMMYFUNCTION("""COMPUTED_VALUE"""),"Paulo")</f>
        <v>Paulo</v>
      </c>
      <c r="G368" s="3" t="str">
        <f>IFERROR(__xludf.DUMMYFUNCTION("""COMPUTED_VALUE"""),"Pedido correto era porção")</f>
        <v>Pedido correto era porção</v>
      </c>
    </row>
    <row r="369">
      <c r="A369" s="2">
        <f>IFERROR(__xludf.DUMMYFUNCTION("""COMPUTED_VALUE"""),45854.0)</f>
        <v>45854</v>
      </c>
      <c r="B369" s="3" t="str">
        <f>IFERROR(__xludf.DUMMYFUNCTION("""COMPUTED_VALUE"""),"pao de forma integral")</f>
        <v>pao de forma integral</v>
      </c>
      <c r="C369" s="3" t="str">
        <f>IFERROR(__xludf.DUMMYFUNCTION("""COMPUTED_VALUE"""),"Insumo")</f>
        <v>Insumo</v>
      </c>
      <c r="D369" s="3" t="str">
        <f>IFERROR(__xludf.DUMMYFUNCTION("""COMPUTED_VALUE"""),"2 pacotes")</f>
        <v>2 pacotes</v>
      </c>
      <c r="E369" s="3" t="str">
        <f>IFERROR(__xludf.DUMMYFUNCTION("""COMPUTED_VALUE"""),"Venceu (Validade)")</f>
        <v>Venceu (Validade)</v>
      </c>
      <c r="F369" s="3" t="str">
        <f>IFERROR(__xludf.DUMMYFUNCTION("""COMPUTED_VALUE"""),"Edna")</f>
        <v>Edna</v>
      </c>
      <c r="G369" s="3" t="str">
        <f>IFERROR(__xludf.DUMMYFUNCTION("""COMPUTED_VALUE"""),"estava vencido")</f>
        <v>estava vencido</v>
      </c>
    </row>
    <row r="370">
      <c r="A370" s="2">
        <f>IFERROR(__xludf.DUMMYFUNCTION("""COMPUTED_VALUE"""),45854.0)</f>
        <v>45854</v>
      </c>
      <c r="B370" s="3" t="str">
        <f>IFERROR(__xludf.DUMMYFUNCTION("""COMPUTED_VALUE"""),"mesa foi embora sem pagar")</f>
        <v>mesa foi embora sem pagar</v>
      </c>
      <c r="C370" s="3" t="str">
        <f>IFERROR(__xludf.DUMMYFUNCTION("""COMPUTED_VALUE"""),"Insumo")</f>
        <v>Insumo</v>
      </c>
      <c r="D370" s="3">
        <f>IFERROR(__xludf.DUMMYFUNCTION("""COMPUTED_VALUE"""),18.7)</f>
        <v>18.7</v>
      </c>
      <c r="E370" s="3" t="str">
        <f>IFERROR(__xludf.DUMMYFUNCTION("""COMPUTED_VALUE"""),"Saiu sem pagar")</f>
        <v>Saiu sem pagar</v>
      </c>
      <c r="F370" s="3" t="str">
        <f>IFERROR(__xludf.DUMMYFUNCTION("""COMPUTED_VALUE"""),"Ana Júlia")</f>
        <v>Ana Júlia</v>
      </c>
      <c r="G370" s="3" t="str">
        <f>IFERROR(__xludf.DUMMYFUNCTION("""COMPUTED_VALUE"""),"cliente foi embora sem pagar a mesa ana julia nao viu")</f>
        <v>cliente foi embora sem pagar a mesa ana julia nao viu</v>
      </c>
    </row>
    <row r="371">
      <c r="A371" s="2">
        <f>IFERROR(__xludf.DUMMYFUNCTION("""COMPUTED_VALUE"""),45854.0)</f>
        <v>45854</v>
      </c>
      <c r="B371" s="3" t="str">
        <f>IFERROR(__xludf.DUMMYFUNCTION("""COMPUTED_VALUE"""),"Pão Ciabatta")</f>
        <v>Pão Ciabatta</v>
      </c>
      <c r="C371" s="3" t="str">
        <f>IFERROR(__xludf.DUMMYFUNCTION("""COMPUTED_VALUE"""),"Insumo")</f>
        <v>Insumo</v>
      </c>
      <c r="D371" s="3">
        <f>IFERROR(__xludf.DUMMYFUNCTION("""COMPUTED_VALUE"""),1.0)</f>
        <v>1</v>
      </c>
      <c r="E371" s="3" t="str">
        <f>IFERROR(__xludf.DUMMYFUNCTION("""COMPUTED_VALUE"""),"Erro de processo")</f>
        <v>Erro de processo</v>
      </c>
      <c r="F371" s="3" t="str">
        <f>IFERROR(__xludf.DUMMYFUNCTION("""COMPUTED_VALUE"""),"Francisca")</f>
        <v>Francisca</v>
      </c>
      <c r="G371" s="3" t="str">
        <f>IFERROR(__xludf.DUMMYFUNCTION("""COMPUTED_VALUE"""),"fez errado")</f>
        <v>fez errado</v>
      </c>
    </row>
    <row r="372">
      <c r="A372" s="2">
        <f>IFERROR(__xludf.DUMMYFUNCTION("""COMPUTED_VALUE"""),45855.0)</f>
        <v>45855</v>
      </c>
      <c r="B372" s="3" t="str">
        <f>IFERROR(__xludf.DUMMYFUNCTION("""COMPUTED_VALUE"""),"Misto tradicional ")</f>
        <v>Misto tradicional </v>
      </c>
      <c r="C372" s="3" t="str">
        <f>IFERROR(__xludf.DUMMYFUNCTION("""COMPUTED_VALUE"""),"Produto final")</f>
        <v>Produto final</v>
      </c>
      <c r="D372" s="3">
        <f>IFERROR(__xludf.DUMMYFUNCTION("""COMPUTED_VALUE"""),1.0)</f>
        <v>1</v>
      </c>
      <c r="E372" s="3" t="str">
        <f>IFERROR(__xludf.DUMMYFUNCTION("""COMPUTED_VALUE"""),"Erro de processo")</f>
        <v>Erro de processo</v>
      </c>
      <c r="F372" s="3" t="str">
        <f>IFERROR(__xludf.DUMMYFUNCTION("""COMPUTED_VALUE"""),"Alex")</f>
        <v>Alex</v>
      </c>
      <c r="G372" s="3" t="str">
        <f>IFERROR(__xludf.DUMMYFUNCTION("""COMPUTED_VALUE"""),"Fez errado ")</f>
        <v>Fez errado </v>
      </c>
    </row>
    <row r="373">
      <c r="A373" s="2">
        <f>IFERROR(__xludf.DUMMYFUNCTION("""COMPUTED_VALUE"""),45856.0)</f>
        <v>45856</v>
      </c>
      <c r="B373" s="3" t="str">
        <f>IFERROR(__xludf.DUMMYFUNCTION("""COMPUTED_VALUE"""),"Copo xote ")</f>
        <v>Copo xote </v>
      </c>
      <c r="C373" s="3" t="str">
        <f>IFERROR(__xludf.DUMMYFUNCTION("""COMPUTED_VALUE"""),"Utensílio")</f>
        <v>Utensílio</v>
      </c>
      <c r="D373" s="3">
        <f>IFERROR(__xludf.DUMMYFUNCTION("""COMPUTED_VALUE"""),1.0)</f>
        <v>1</v>
      </c>
      <c r="E373" s="3" t="str">
        <f>IFERROR(__xludf.DUMMYFUNCTION("""COMPUTED_VALUE"""),"Quebra")</f>
        <v>Quebra</v>
      </c>
      <c r="F373" s="3" t="str">
        <f>IFERROR(__xludf.DUMMYFUNCTION("""COMPUTED_VALUE"""),"Rafael")</f>
        <v>Rafael</v>
      </c>
      <c r="G373" s="3" t="str">
        <f>IFERROR(__xludf.DUMMYFUNCTION("""COMPUTED_VALUE"""),"Sai da máquina de lavar já quebrado ")</f>
        <v>Sai da máquina de lavar já quebrado </v>
      </c>
    </row>
    <row r="374">
      <c r="A374" s="2">
        <f>IFERROR(__xludf.DUMMYFUNCTION("""COMPUTED_VALUE"""),45857.0)</f>
        <v>45857</v>
      </c>
      <c r="B374" s="3" t="str">
        <f>IFERROR(__xludf.DUMMYFUNCTION("""COMPUTED_VALUE"""),"Alface ")</f>
        <v>Alface </v>
      </c>
      <c r="C374" s="3" t="str">
        <f>IFERROR(__xludf.DUMMYFUNCTION("""COMPUTED_VALUE"""),"Produto final")</f>
        <v>Produto final</v>
      </c>
      <c r="D374" s="3" t="str">
        <f>IFERROR(__xludf.DUMMYFUNCTION("""COMPUTED_VALUE"""),"100g")</f>
        <v>100g</v>
      </c>
      <c r="E374" s="3" t="str">
        <f>IFERROR(__xludf.DUMMYFUNCTION("""COMPUTED_VALUE"""),"Venceu (Validade)")</f>
        <v>Venceu (Validade)</v>
      </c>
      <c r="F374" s="3" t="str">
        <f>IFERROR(__xludf.DUMMYFUNCTION("""COMPUTED_VALUE"""),"Jonathan")</f>
        <v>Jonathan</v>
      </c>
      <c r="G374" s="3" t="str">
        <f>IFERROR(__xludf.DUMMYFUNCTION("""COMPUTED_VALUE"""),"Estava amarelo ")</f>
        <v>Estava amarelo </v>
      </c>
    </row>
    <row r="375">
      <c r="A375" s="2">
        <f>IFERROR(__xludf.DUMMYFUNCTION("""COMPUTED_VALUE"""),45857.0)</f>
        <v>45857</v>
      </c>
      <c r="B375" s="3" t="str">
        <f>IFERROR(__xludf.DUMMYFUNCTION("""COMPUTED_VALUE"""),"Croissant")</f>
        <v>Croissant</v>
      </c>
      <c r="C375" s="3" t="str">
        <f>IFERROR(__xludf.DUMMYFUNCTION("""COMPUTED_VALUE"""),"Produto final")</f>
        <v>Produto final</v>
      </c>
      <c r="D375" s="3">
        <f>IFERROR(__xludf.DUMMYFUNCTION("""COMPUTED_VALUE"""),1.0)</f>
        <v>1</v>
      </c>
      <c r="E375" s="3" t="str">
        <f>IFERROR(__xludf.DUMMYFUNCTION("""COMPUTED_VALUE"""),"Erro de processo")</f>
        <v>Erro de processo</v>
      </c>
      <c r="F375" s="3" t="str">
        <f>IFERROR(__xludf.DUMMYFUNCTION("""COMPUTED_VALUE"""),"Brunna")</f>
        <v>Brunna</v>
      </c>
      <c r="G375" s="3" t="str">
        <f>IFERROR(__xludf.DUMMYFUNCTION("""COMPUTED_VALUE"""),"Deixou cair no chão ")</f>
        <v>Deixou cair no chão </v>
      </c>
    </row>
    <row r="376">
      <c r="A376" s="2">
        <f>IFERROR(__xludf.DUMMYFUNCTION("""COMPUTED_VALUE"""),45859.0)</f>
        <v>45859</v>
      </c>
      <c r="B376" s="3" t="str">
        <f>IFERROR(__xludf.DUMMYFUNCTION("""COMPUTED_VALUE"""),"Chantilly")</f>
        <v>Chantilly</v>
      </c>
      <c r="C376" s="3" t="str">
        <f>IFERROR(__xludf.DUMMYFUNCTION("""COMPUTED_VALUE"""),"Insumo")</f>
        <v>Insumo</v>
      </c>
      <c r="D376" s="3">
        <f>IFERROR(__xludf.DUMMYFUNCTION("""COMPUTED_VALUE"""),1.0)</f>
        <v>1</v>
      </c>
      <c r="E376" s="3" t="str">
        <f>IFERROR(__xludf.DUMMYFUNCTION("""COMPUTED_VALUE"""),"Venceu (Validade)")</f>
        <v>Venceu (Validade)</v>
      </c>
      <c r="F376" s="3" t="str">
        <f>IFERROR(__xludf.DUMMYFUNCTION("""COMPUTED_VALUE"""),"Alex")</f>
        <v>Alex</v>
      </c>
      <c r="G376" s="3" t="str">
        <f>IFERROR(__xludf.DUMMYFUNCTION("""COMPUTED_VALUE"""),"Problema de qualidade (empedrado)")</f>
        <v>Problema de qualidade (empedrado)</v>
      </c>
    </row>
    <row r="377">
      <c r="A377" s="2">
        <f>IFERROR(__xludf.DUMMYFUNCTION("""COMPUTED_VALUE"""),45859.0)</f>
        <v>45859</v>
      </c>
      <c r="B377" s="3" t="str">
        <f>IFERROR(__xludf.DUMMYFUNCTION("""COMPUTED_VALUE"""),"Suco Morango")</f>
        <v>Suco Morango</v>
      </c>
      <c r="C377" s="3" t="str">
        <f>IFERROR(__xludf.DUMMYFUNCTION("""COMPUTED_VALUE"""),"Produto final")</f>
        <v>Produto final</v>
      </c>
      <c r="D377" s="3">
        <f>IFERROR(__xludf.DUMMYFUNCTION("""COMPUTED_VALUE"""),1.0)</f>
        <v>1</v>
      </c>
      <c r="E377" s="3" t="str">
        <f>IFERROR(__xludf.DUMMYFUNCTION("""COMPUTED_VALUE"""),"Lançamento errado")</f>
        <v>Lançamento errado</v>
      </c>
      <c r="F377" s="3" t="str">
        <f>IFERROR(__xludf.DUMMYFUNCTION("""COMPUTED_VALUE"""),"Paulo")</f>
        <v>Paulo</v>
      </c>
      <c r="G377" s="3" t="str">
        <f>IFERROR(__xludf.DUMMYFUNCTION("""COMPUTED_VALUE"""),"Era de Maracujá e lançou Morango")</f>
        <v>Era de Maracujá e lançou Morango</v>
      </c>
    </row>
    <row r="378">
      <c r="A378" s="2">
        <f>IFERROR(__xludf.DUMMYFUNCTION("""COMPUTED_VALUE"""),45860.0)</f>
        <v>45860</v>
      </c>
      <c r="B378" s="3" t="str">
        <f>IFERROR(__xludf.DUMMYFUNCTION("""COMPUTED_VALUE"""),"Toxte ciabata")</f>
        <v>Toxte ciabata</v>
      </c>
      <c r="C378" s="3" t="str">
        <f>IFERROR(__xludf.DUMMYFUNCTION("""COMPUTED_VALUE"""),"Produto final")</f>
        <v>Produto final</v>
      </c>
      <c r="D378" s="3">
        <f>IFERROR(__xludf.DUMMYFUNCTION("""COMPUTED_VALUE"""),2.0)</f>
        <v>2</v>
      </c>
      <c r="E378" s="3" t="str">
        <f>IFERROR(__xludf.DUMMYFUNCTION("""COMPUTED_VALUE"""),"Erro de processo")</f>
        <v>Erro de processo</v>
      </c>
      <c r="F378" s="3" t="str">
        <f>IFERROR(__xludf.DUMMYFUNCTION("""COMPUTED_VALUE"""),"Marilene")</f>
        <v>Marilene</v>
      </c>
      <c r="G378" s="3" t="str">
        <f>IFERROR(__xludf.DUMMYFUNCTION("""COMPUTED_VALUE"""),"Deixou queimar")</f>
        <v>Deixou queimar</v>
      </c>
    </row>
    <row r="379">
      <c r="A379" s="2">
        <f>IFERROR(__xludf.DUMMYFUNCTION("""COMPUTED_VALUE"""),45861.0)</f>
        <v>45861</v>
      </c>
      <c r="B379" s="3" t="str">
        <f>IFERROR(__xludf.DUMMYFUNCTION("""COMPUTED_VALUE"""),"Copo shot")</f>
        <v>Copo shot</v>
      </c>
      <c r="C379" s="3" t="str">
        <f>IFERROR(__xludf.DUMMYFUNCTION("""COMPUTED_VALUE"""),"Utensílio")</f>
        <v>Utensílio</v>
      </c>
      <c r="D379" s="3">
        <f>IFERROR(__xludf.DUMMYFUNCTION("""COMPUTED_VALUE"""),1.0)</f>
        <v>1</v>
      </c>
      <c r="E379" s="3" t="str">
        <f>IFERROR(__xludf.DUMMYFUNCTION("""COMPUTED_VALUE"""),"Quebra")</f>
        <v>Quebra</v>
      </c>
      <c r="F379" s="3" t="str">
        <f>IFERROR(__xludf.DUMMYFUNCTION("""COMPUTED_VALUE"""),"Melissa")</f>
        <v>Melissa</v>
      </c>
      <c r="G379" s="3" t="str">
        <f>IFERROR(__xludf.DUMMYFUNCTION("""COMPUTED_VALUE"""),"Quebrou durante manuseio")</f>
        <v>Quebrou durante manuseio</v>
      </c>
    </row>
    <row r="380">
      <c r="A380" s="2">
        <f>IFERROR(__xludf.DUMMYFUNCTION("""COMPUTED_VALUE"""),45862.0)</f>
        <v>45862</v>
      </c>
      <c r="B380" s="3" t="str">
        <f>IFERROR(__xludf.DUMMYFUNCTION("""COMPUTED_VALUE"""),"Torta de limão ")</f>
        <v>Torta de limão </v>
      </c>
      <c r="C380" s="3" t="str">
        <f>IFERROR(__xludf.DUMMYFUNCTION("""COMPUTED_VALUE"""),"Produto final")</f>
        <v>Produto final</v>
      </c>
      <c r="D380" s="3">
        <f>IFERROR(__xludf.DUMMYFUNCTION("""COMPUTED_VALUE"""),1.0)</f>
        <v>1</v>
      </c>
      <c r="E380" s="3" t="str">
        <f>IFERROR(__xludf.DUMMYFUNCTION("""COMPUTED_VALUE"""),"Cliente")</f>
        <v>Cliente</v>
      </c>
      <c r="F380" s="3" t="str">
        <f>IFERROR(__xludf.DUMMYFUNCTION("""COMPUTED_VALUE"""),"Marilene")</f>
        <v>Marilene</v>
      </c>
      <c r="G380" s="3" t="str">
        <f>IFERROR(__xludf.DUMMYFUNCTION("""COMPUTED_VALUE"""),"Cliente provou falou era muito doce para sem de limão ")</f>
        <v>Cliente provou falou era muito doce para sem de limão </v>
      </c>
    </row>
    <row r="381">
      <c r="A381" s="2">
        <f>IFERROR(__xludf.DUMMYFUNCTION("""COMPUTED_VALUE"""),45864.0)</f>
        <v>45864</v>
      </c>
      <c r="B381" s="3" t="str">
        <f>IFERROR(__xludf.DUMMYFUNCTION("""COMPUTED_VALUE"""),"Coxinha ")</f>
        <v>Coxinha </v>
      </c>
      <c r="C381" s="3" t="str">
        <f>IFERROR(__xludf.DUMMYFUNCTION("""COMPUTED_VALUE"""),"Produto final")</f>
        <v>Produto final</v>
      </c>
      <c r="D381" s="3">
        <f>IFERROR(__xludf.DUMMYFUNCTION("""COMPUTED_VALUE"""),1.0)</f>
        <v>1</v>
      </c>
      <c r="E381" s="3" t="str">
        <f>IFERROR(__xludf.DUMMYFUNCTION("""COMPUTED_VALUE"""),"Cliente")</f>
        <v>Cliente</v>
      </c>
      <c r="F381" s="3" t="str">
        <f>IFERROR(__xludf.DUMMYFUNCTION("""COMPUTED_VALUE"""),"Patrícia")</f>
        <v>Patrícia</v>
      </c>
      <c r="G381" s="3" t="str">
        <f>IFERROR(__xludf.DUMMYFUNCTION("""COMPUTED_VALUE"""),"Cliente falou estava rui")</f>
        <v>Cliente falou estava rui</v>
      </c>
    </row>
    <row r="382">
      <c r="A382" s="2">
        <f>IFERROR(__xludf.DUMMYFUNCTION("""COMPUTED_VALUE"""),45865.0)</f>
        <v>45865</v>
      </c>
      <c r="B382" s="3" t="str">
        <f>IFERROR(__xludf.DUMMYFUNCTION("""COMPUTED_VALUE"""),"Chá Tostado Maçã Verde")</f>
        <v>Chá Tostado Maçã Verde</v>
      </c>
      <c r="C382" s="3" t="str">
        <f>IFERROR(__xludf.DUMMYFUNCTION("""COMPUTED_VALUE"""),"Produto final")</f>
        <v>Produto final</v>
      </c>
      <c r="D382" s="3">
        <f>IFERROR(__xludf.DUMMYFUNCTION("""COMPUTED_VALUE"""),1.0)</f>
        <v>1</v>
      </c>
      <c r="E382" s="3" t="str">
        <f>IFERROR(__xludf.DUMMYFUNCTION("""COMPUTED_VALUE"""),"Erro de processo")</f>
        <v>Erro de processo</v>
      </c>
      <c r="F382" s="3" t="str">
        <f>IFERROR(__xludf.DUMMYFUNCTION("""COMPUTED_VALUE"""),"Alex")</f>
        <v>Alex</v>
      </c>
      <c r="G382" s="3" t="str">
        <f>IFERROR(__xludf.DUMMYFUNCTION("""COMPUTED_VALUE"""),"Era Soda Italiana e fez Chá tostado")</f>
        <v>Era Soda Italiana e fez Chá tostado</v>
      </c>
    </row>
    <row r="383">
      <c r="A383" s="2">
        <f>IFERROR(__xludf.DUMMYFUNCTION("""COMPUTED_VALUE"""),45866.0)</f>
        <v>45866</v>
      </c>
      <c r="B383" s="3" t="str">
        <f>IFERROR(__xludf.DUMMYFUNCTION("""COMPUTED_VALUE"""),"palha italiana")</f>
        <v>palha italiana</v>
      </c>
      <c r="C383" s="3" t="str">
        <f>IFERROR(__xludf.DUMMYFUNCTION("""COMPUTED_VALUE"""),"Insumo")</f>
        <v>Insumo</v>
      </c>
      <c r="D383" s="3">
        <f>IFERROR(__xludf.DUMMYFUNCTION("""COMPUTED_VALUE"""),1.0)</f>
        <v>1</v>
      </c>
      <c r="E383" s="3" t="str">
        <f>IFERROR(__xludf.DUMMYFUNCTION("""COMPUTED_VALUE"""),"Erro de processo")</f>
        <v>Erro de processo</v>
      </c>
      <c r="F383" s="3" t="str">
        <f>IFERROR(__xludf.DUMMYFUNCTION("""COMPUTED_VALUE"""),"Francisca")</f>
        <v>Francisca</v>
      </c>
      <c r="G383" s="3" t="str">
        <f>IFERROR(__xludf.DUMMYFUNCTION("""COMPUTED_VALUE"""),"estava muito pequena nao dava pra passar")</f>
        <v>estava muito pequena nao dava pra passar</v>
      </c>
    </row>
    <row r="384">
      <c r="A384" s="2">
        <f>IFERROR(__xludf.DUMMYFUNCTION("""COMPUTED_VALUE"""),45866.0)</f>
        <v>45866</v>
      </c>
      <c r="B384" s="3" t="str">
        <f>IFERROR(__xludf.DUMMYFUNCTION("""COMPUTED_VALUE"""),"requeijao")</f>
        <v>requeijao</v>
      </c>
      <c r="C384" s="3" t="str">
        <f>IFERROR(__xludf.DUMMYFUNCTION("""COMPUTED_VALUE"""),"Insumo")</f>
        <v>Insumo</v>
      </c>
      <c r="D384" s="3" t="str">
        <f>IFERROR(__xludf.DUMMYFUNCTION("""COMPUTED_VALUE"""),"1,5kg")</f>
        <v>1,5kg</v>
      </c>
      <c r="E384" s="3" t="str">
        <f>IFERROR(__xludf.DUMMYFUNCTION("""COMPUTED_VALUE"""),"Venceu (Validade)")</f>
        <v>Venceu (Validade)</v>
      </c>
      <c r="F384" s="3" t="str">
        <f>IFERROR(__xludf.DUMMYFUNCTION("""COMPUTED_VALUE"""),"Melissa")</f>
        <v>Melissa</v>
      </c>
      <c r="G384" s="3" t="str">
        <f>IFERROR(__xludf.DUMMYFUNCTION("""COMPUTED_VALUE"""),"estava vencido dentro da geladeira")</f>
        <v>estava vencido dentro da geladeira</v>
      </c>
    </row>
    <row r="385">
      <c r="A385" s="2">
        <f>IFERROR(__xludf.DUMMYFUNCTION("""COMPUTED_VALUE"""),45866.0)</f>
        <v>45866</v>
      </c>
      <c r="B385" s="3" t="str">
        <f>IFERROR(__xludf.DUMMYFUNCTION("""COMPUTED_VALUE"""),"doce de leite")</f>
        <v>doce de leite</v>
      </c>
      <c r="C385" s="3" t="str">
        <f>IFERROR(__xludf.DUMMYFUNCTION("""COMPUTED_VALUE"""),"Insumo")</f>
        <v>Insumo</v>
      </c>
      <c r="D385" s="3">
        <f>IFERROR(__xludf.DUMMYFUNCTION("""COMPUTED_VALUE"""),2.0)</f>
        <v>2</v>
      </c>
      <c r="E385" s="3" t="str">
        <f>IFERROR(__xludf.DUMMYFUNCTION("""COMPUTED_VALUE"""),"Venceu (Validade)")</f>
        <v>Venceu (Validade)</v>
      </c>
      <c r="F385" s="3" t="str">
        <f>IFERROR(__xludf.DUMMYFUNCTION("""COMPUTED_VALUE"""),"Edna")</f>
        <v>Edna</v>
      </c>
      <c r="G385" s="3" t="str">
        <f>IFERROR(__xludf.DUMMYFUNCTION("""COMPUTED_VALUE"""),"estava vencido")</f>
        <v>estava vencido</v>
      </c>
    </row>
    <row r="386">
      <c r="A386" s="2">
        <f>IFERROR(__xludf.DUMMYFUNCTION("""COMPUTED_VALUE"""),45866.0)</f>
        <v>45866</v>
      </c>
      <c r="B386" s="3" t="str">
        <f>IFERROR(__xludf.DUMMYFUNCTION("""COMPUTED_VALUE"""),"mostarda")</f>
        <v>mostarda</v>
      </c>
      <c r="C386" s="3" t="str">
        <f>IFERROR(__xludf.DUMMYFUNCTION("""COMPUTED_VALUE"""),"Insumo")</f>
        <v>Insumo</v>
      </c>
      <c r="D386" s="3">
        <f>IFERROR(__xludf.DUMMYFUNCTION("""COMPUTED_VALUE"""),300.0)</f>
        <v>300</v>
      </c>
      <c r="E386" s="3" t="str">
        <f>IFERROR(__xludf.DUMMYFUNCTION("""COMPUTED_VALUE"""),"Venceu (Validade)")</f>
        <v>Venceu (Validade)</v>
      </c>
      <c r="F386" s="3" t="str">
        <f>IFERROR(__xludf.DUMMYFUNCTION("""COMPUTED_VALUE"""),"Patrícia")</f>
        <v>Patrícia</v>
      </c>
      <c r="G386" s="3" t="str">
        <f>IFERROR(__xludf.DUMMYFUNCTION("""COMPUTED_VALUE"""),"estavam todos vencidos")</f>
        <v>estavam todos vencidos</v>
      </c>
    </row>
    <row r="387">
      <c r="A387" s="2">
        <f>IFERROR(__xludf.DUMMYFUNCTION("""COMPUTED_VALUE"""),45866.0)</f>
        <v>45866</v>
      </c>
      <c r="B387" s="3" t="str">
        <f>IFERROR(__xludf.DUMMYFUNCTION("""COMPUTED_VALUE"""),"sweet pie")</f>
        <v>sweet pie</v>
      </c>
      <c r="C387" s="3" t="str">
        <f>IFERROR(__xludf.DUMMYFUNCTION("""COMPUTED_VALUE"""),"Insumo")</f>
        <v>Insumo</v>
      </c>
      <c r="D387" s="3">
        <f>IFERROR(__xludf.DUMMYFUNCTION("""COMPUTED_VALUE"""),2.0)</f>
        <v>2</v>
      </c>
      <c r="E387" s="3" t="str">
        <f>IFERROR(__xludf.DUMMYFUNCTION("""COMPUTED_VALUE"""),"Erro de processo")</f>
        <v>Erro de processo</v>
      </c>
      <c r="F387" s="3" t="str">
        <f>IFERROR(__xludf.DUMMYFUNCTION("""COMPUTED_VALUE"""),"Francisca")</f>
        <v>Francisca</v>
      </c>
      <c r="G387" s="3" t="str">
        <f>IFERROR(__xludf.DUMMYFUNCTION("""COMPUTED_VALUE"""),"estava muito pequeno o pedaco")</f>
        <v>estava muito pequeno o pedaco</v>
      </c>
    </row>
    <row r="388">
      <c r="A388" s="2">
        <f>IFERROR(__xludf.DUMMYFUNCTION("""COMPUTED_VALUE"""),45866.0)</f>
        <v>45866</v>
      </c>
      <c r="B388" s="3" t="str">
        <f>IFERROR(__xludf.DUMMYFUNCTION("""COMPUTED_VALUE"""),"copo xote")</f>
        <v>copo xote</v>
      </c>
      <c r="C388" s="3" t="str">
        <f>IFERROR(__xludf.DUMMYFUNCTION("""COMPUTED_VALUE"""),"Utensílio")</f>
        <v>Utensílio</v>
      </c>
      <c r="D388" s="3">
        <f>IFERROR(__xludf.DUMMYFUNCTION("""COMPUTED_VALUE"""),1.0)</f>
        <v>1</v>
      </c>
      <c r="E388" s="3" t="str">
        <f>IFERROR(__xludf.DUMMYFUNCTION("""COMPUTED_VALUE"""),"Quebra")</f>
        <v>Quebra</v>
      </c>
      <c r="F388" s="3" t="str">
        <f>IFERROR(__xludf.DUMMYFUNCTION("""COMPUTED_VALUE"""),"Edna")</f>
        <v>Edna</v>
      </c>
      <c r="G388" s="3" t="str">
        <f>IFERROR(__xludf.DUMMYFUNCTION("""COMPUTED_VALUE"""),"quebrou ao guarda")</f>
        <v>quebrou ao guarda</v>
      </c>
    </row>
    <row r="389">
      <c r="A389" s="2">
        <f>IFERROR(__xludf.DUMMYFUNCTION("""COMPUTED_VALUE"""),45867.0)</f>
        <v>45867</v>
      </c>
      <c r="B389" s="3" t="str">
        <f>IFERROR(__xludf.DUMMYFUNCTION("""COMPUTED_VALUE"""),"Manteiga ")</f>
        <v>Manteiga </v>
      </c>
      <c r="C389" s="3" t="str">
        <f>IFERROR(__xludf.DUMMYFUNCTION("""COMPUTED_VALUE"""),"Produto final")</f>
        <v>Produto final</v>
      </c>
      <c r="D389" s="3" t="str">
        <f>IFERROR(__xludf.DUMMYFUNCTION("""COMPUTED_VALUE"""),"20g")</f>
        <v>20g</v>
      </c>
      <c r="E389" s="3" t="str">
        <f>IFERROR(__xludf.DUMMYFUNCTION("""COMPUTED_VALUE"""),"Cliente")</f>
        <v>Cliente</v>
      </c>
      <c r="F389" s="3" t="str">
        <f>IFERROR(__xludf.DUMMYFUNCTION("""COMPUTED_VALUE"""),"Brunna")</f>
        <v>Brunna</v>
      </c>
      <c r="G389" s="3" t="str">
        <f>IFERROR(__xludf.DUMMYFUNCTION("""COMPUTED_VALUE"""),"Deu para cliente ")</f>
        <v>Deu para cliente </v>
      </c>
    </row>
    <row r="390">
      <c r="A390" s="2">
        <f>IFERROR(__xludf.DUMMYFUNCTION("""COMPUTED_VALUE"""),45867.0)</f>
        <v>45867</v>
      </c>
      <c r="B390" s="3" t="str">
        <f>IFERROR(__xludf.DUMMYFUNCTION("""COMPUTED_VALUE"""),"Espátula ")</f>
        <v>Espátula </v>
      </c>
      <c r="C390" s="3" t="str">
        <f>IFERROR(__xludf.DUMMYFUNCTION("""COMPUTED_VALUE"""),"Utensílio")</f>
        <v>Utensílio</v>
      </c>
      <c r="D390" s="3">
        <f>IFERROR(__xludf.DUMMYFUNCTION("""COMPUTED_VALUE"""),1.0)</f>
        <v>1</v>
      </c>
      <c r="E390" s="3" t="str">
        <f>IFERROR(__xludf.DUMMYFUNCTION("""COMPUTED_VALUE"""),"Quebra")</f>
        <v>Quebra</v>
      </c>
      <c r="F390" s="3" t="str">
        <f>IFERROR(__xludf.DUMMYFUNCTION("""COMPUTED_VALUE"""),"Brunna")</f>
        <v>Brunna</v>
      </c>
      <c r="G390" s="3" t="str">
        <f>IFERROR(__xludf.DUMMYFUNCTION("""COMPUTED_VALUE"""),"Jogo fora ")</f>
        <v>Jogo fora </v>
      </c>
    </row>
    <row r="391">
      <c r="A391" s="2">
        <f>IFERROR(__xludf.DUMMYFUNCTION("""COMPUTED_VALUE"""),45869.0)</f>
        <v>45869</v>
      </c>
      <c r="B391" s="3" t="str">
        <f>IFERROR(__xludf.DUMMYFUNCTION("""COMPUTED_VALUE"""),"Suco de acerola com laranja")</f>
        <v>Suco de acerola com laranja</v>
      </c>
      <c r="C391" s="3" t="str">
        <f>IFERROR(__xludf.DUMMYFUNCTION("""COMPUTED_VALUE"""),"Produto final")</f>
        <v>Produto final</v>
      </c>
      <c r="D391" s="3">
        <f>IFERROR(__xludf.DUMMYFUNCTION("""COMPUTED_VALUE"""),1.0)</f>
        <v>1</v>
      </c>
      <c r="E391" s="3" t="str">
        <f>IFERROR(__xludf.DUMMYFUNCTION("""COMPUTED_VALUE"""),"Lançamento errado")</f>
        <v>Lançamento errado</v>
      </c>
      <c r="F391" s="3" t="str">
        <f>IFERROR(__xludf.DUMMYFUNCTION("""COMPUTED_VALUE"""),"Michele")</f>
        <v>Michele</v>
      </c>
      <c r="G391" s="3" t="str">
        <f>IFERROR(__xludf.DUMMYFUNCTION("""COMPUTED_VALUE"""),"Lançou com leite incorretamente")</f>
        <v>Lançou com leite incorretamente</v>
      </c>
    </row>
    <row r="392">
      <c r="A392" s="2">
        <f>IFERROR(__xludf.DUMMYFUNCTION("""COMPUTED_VALUE"""),45871.0)</f>
        <v>45871</v>
      </c>
      <c r="B392" s="3" t="str">
        <f>IFERROR(__xludf.DUMMYFUNCTION("""COMPUTED_VALUE"""),"Copo grande")</f>
        <v>Copo grande</v>
      </c>
      <c r="C392" s="3" t="str">
        <f>IFERROR(__xludf.DUMMYFUNCTION("""COMPUTED_VALUE"""),"Utensílio")</f>
        <v>Utensílio</v>
      </c>
      <c r="D392" s="3">
        <f>IFERROR(__xludf.DUMMYFUNCTION("""COMPUTED_VALUE"""),1.0)</f>
        <v>1</v>
      </c>
      <c r="E392" s="3" t="str">
        <f>IFERROR(__xludf.DUMMYFUNCTION("""COMPUTED_VALUE"""),"Quebra")</f>
        <v>Quebra</v>
      </c>
      <c r="F392" s="3" t="str">
        <f>IFERROR(__xludf.DUMMYFUNCTION("""COMPUTED_VALUE"""),"Paulo")</f>
        <v>Paulo</v>
      </c>
      <c r="G392" s="3" t="str">
        <f>IFERROR(__xludf.DUMMYFUNCTION("""COMPUTED_VALUE"""),"Identificou copo trincado na prateleira")</f>
        <v>Identificou copo trincado na prateleira</v>
      </c>
    </row>
    <row r="393">
      <c r="A393" s="2">
        <f>IFERROR(__xludf.DUMMYFUNCTION("""COMPUTED_VALUE"""),45872.0)</f>
        <v>45872</v>
      </c>
      <c r="B393" s="3" t="str">
        <f>IFERROR(__xludf.DUMMYFUNCTION("""COMPUTED_VALUE"""),"Molho pesto ")</f>
        <v>Molho pesto </v>
      </c>
      <c r="C393" s="3" t="str">
        <f>IFERROR(__xludf.DUMMYFUNCTION("""COMPUTED_VALUE"""),"Produto final")</f>
        <v>Produto final</v>
      </c>
      <c r="D393" s="3">
        <f>IFERROR(__xludf.DUMMYFUNCTION("""COMPUTED_VALUE"""),4.0)</f>
        <v>4</v>
      </c>
      <c r="E393" s="3" t="str">
        <f>IFERROR(__xludf.DUMMYFUNCTION("""COMPUTED_VALUE"""),"Venceu (Validade)")</f>
        <v>Venceu (Validade)</v>
      </c>
      <c r="F393" s="3" t="str">
        <f>IFERROR(__xludf.DUMMYFUNCTION("""COMPUTED_VALUE"""),"Edna")</f>
        <v>Edna</v>
      </c>
      <c r="G393" s="3" t="str">
        <f>IFERROR(__xludf.DUMMYFUNCTION("""COMPUTED_VALUE"""),"Venceu validade ")</f>
        <v>Venceu validade </v>
      </c>
    </row>
    <row r="394">
      <c r="A394" s="2">
        <f>IFERROR(__xludf.DUMMYFUNCTION("""COMPUTED_VALUE"""),45876.0)</f>
        <v>45876</v>
      </c>
      <c r="B394" s="3" t="str">
        <f>IFERROR(__xludf.DUMMYFUNCTION("""COMPUTED_VALUE"""),"Água de coco")</f>
        <v>Água de coco</v>
      </c>
      <c r="C394" s="3" t="str">
        <f>IFERROR(__xludf.DUMMYFUNCTION("""COMPUTED_VALUE"""),"Produto final")</f>
        <v>Produto final</v>
      </c>
      <c r="D394" s="3">
        <f>IFERROR(__xludf.DUMMYFUNCTION("""COMPUTED_VALUE"""),2.0)</f>
        <v>2</v>
      </c>
      <c r="E394" s="3" t="str">
        <f>IFERROR(__xludf.DUMMYFUNCTION("""COMPUTED_VALUE"""),"Cliente")</f>
        <v>Cliente</v>
      </c>
      <c r="F394" s="3" t="str">
        <f>IFERROR(__xludf.DUMMYFUNCTION("""COMPUTED_VALUE"""),"Marilene")</f>
        <v>Marilene</v>
      </c>
      <c r="G394" s="3" t="str">
        <f>IFERROR(__xludf.DUMMYFUNCTION("""COMPUTED_VALUE"""),"Cliente reclamou estava Rui ")</f>
        <v>Cliente reclamou estava Rui </v>
      </c>
    </row>
    <row r="395">
      <c r="A395" s="2">
        <f>IFERROR(__xludf.DUMMYFUNCTION("""COMPUTED_VALUE"""),45878.0)</f>
        <v>45878</v>
      </c>
      <c r="B395" s="3" t="str">
        <f>IFERROR(__xludf.DUMMYFUNCTION("""COMPUTED_VALUE"""),"BRIGADERINHO")</f>
        <v>BRIGADERINHO</v>
      </c>
      <c r="C395" s="3" t="str">
        <f>IFERROR(__xludf.DUMMYFUNCTION("""COMPUTED_VALUE"""),"Produto final")</f>
        <v>Produto final</v>
      </c>
      <c r="D395" s="3">
        <f>IFERROR(__xludf.DUMMYFUNCTION("""COMPUTED_VALUE"""),1.0)</f>
        <v>1</v>
      </c>
      <c r="E395" s="3" t="str">
        <f>IFERROR(__xludf.DUMMYFUNCTION("""COMPUTED_VALUE"""),"Erro de processo")</f>
        <v>Erro de processo</v>
      </c>
      <c r="F395" s="3" t="str">
        <f>IFERROR(__xludf.DUMMYFUNCTION("""COMPUTED_VALUE"""),"Francisca")</f>
        <v>Francisca</v>
      </c>
      <c r="G395" s="3" t="str">
        <f>IFERROR(__xludf.DUMMYFUNCTION("""COMPUTED_VALUE"""),"DEIXOU CAIR")</f>
        <v>DEIXOU CAIR</v>
      </c>
    </row>
    <row r="396">
      <c r="A396" s="2">
        <f>IFERROR(__xludf.DUMMYFUNCTION("""COMPUTED_VALUE"""),45878.0)</f>
        <v>45878</v>
      </c>
      <c r="B396" s="3" t="str">
        <f>IFERROR(__xludf.DUMMYFUNCTION("""COMPUTED_VALUE"""),"TORTA BANOFE")</f>
        <v>TORTA BANOFE</v>
      </c>
      <c r="C396" s="3" t="str">
        <f>IFERROR(__xludf.DUMMYFUNCTION("""COMPUTED_VALUE"""),"Produto final")</f>
        <v>Produto final</v>
      </c>
      <c r="D396" s="3">
        <f>IFERROR(__xludf.DUMMYFUNCTION("""COMPUTED_VALUE"""),1.0)</f>
        <v>1</v>
      </c>
      <c r="E396" s="3" t="str">
        <f>IFERROR(__xludf.DUMMYFUNCTION("""COMPUTED_VALUE"""),"Cliente")</f>
        <v>Cliente</v>
      </c>
      <c r="F396" s="3" t="str">
        <f>IFERROR(__xludf.DUMMYFUNCTION("""COMPUTED_VALUE"""),"Marilene")</f>
        <v>Marilene</v>
      </c>
      <c r="G396" s="3" t="str">
        <f>IFERROR(__xludf.DUMMYFUNCTION("""COMPUTED_VALUE"""),"CLIENTE FALOU ESTAVA RUI")</f>
        <v>CLIENTE FALOU ESTAVA RUI</v>
      </c>
    </row>
    <row r="397">
      <c r="A397" s="2">
        <f>IFERROR(__xludf.DUMMYFUNCTION("""COMPUTED_VALUE"""),45878.0)</f>
        <v>45878</v>
      </c>
      <c r="B397" s="3" t="str">
        <f>IFERROR(__xludf.DUMMYFUNCTION("""COMPUTED_VALUE"""),"CROISANT PARMA")</f>
        <v>CROISANT PARMA</v>
      </c>
      <c r="C397" s="3" t="str">
        <f>IFERROR(__xludf.DUMMYFUNCTION("""COMPUTED_VALUE"""),"Produto final")</f>
        <v>Produto final</v>
      </c>
      <c r="D397" s="3">
        <f>IFERROR(__xludf.DUMMYFUNCTION("""COMPUTED_VALUE"""),1.0)</f>
        <v>1</v>
      </c>
      <c r="E397" s="3" t="str">
        <f>IFERROR(__xludf.DUMMYFUNCTION("""COMPUTED_VALUE"""),"Cliente")</f>
        <v>Cliente</v>
      </c>
      <c r="F397" s="3" t="str">
        <f>IFERROR(__xludf.DUMMYFUNCTION("""COMPUTED_VALUE"""),"Marilene")</f>
        <v>Marilene</v>
      </c>
      <c r="G397" s="3" t="str">
        <f>IFERROR(__xludf.DUMMYFUNCTION("""COMPUTED_VALUE"""),"CLIENTE FALOU TINHA POUCO PARMA")</f>
        <v>CLIENTE FALOU TINHA POUCO PARMA</v>
      </c>
    </row>
    <row r="398">
      <c r="A398" s="2">
        <f>IFERROR(__xludf.DUMMYFUNCTION("""COMPUTED_VALUE"""),45878.0)</f>
        <v>45878</v>
      </c>
      <c r="B398" s="3" t="str">
        <f>IFERROR(__xludf.DUMMYFUNCTION("""COMPUTED_VALUE"""),"ICE CAPUCINO")</f>
        <v>ICE CAPUCINO</v>
      </c>
      <c r="C398" s="3" t="str">
        <f>IFERROR(__xludf.DUMMYFUNCTION("""COMPUTED_VALUE"""),"Produto final")</f>
        <v>Produto final</v>
      </c>
      <c r="D398" s="3">
        <f>IFERROR(__xludf.DUMMYFUNCTION("""COMPUTED_VALUE"""),1.0)</f>
        <v>1</v>
      </c>
      <c r="E398" s="3" t="str">
        <f>IFERROR(__xludf.DUMMYFUNCTION("""COMPUTED_VALUE"""),"Erro de processo")</f>
        <v>Erro de processo</v>
      </c>
      <c r="F398" s="3" t="str">
        <f>IFERROR(__xludf.DUMMYFUNCTION("""COMPUTED_VALUE"""),"Ana Júlia")</f>
        <v>Ana Júlia</v>
      </c>
      <c r="G398" s="3" t="str">
        <f>IFERROR(__xludf.DUMMYFUNCTION("""COMPUTED_VALUE"""),"LANCAMENTO ERRADO FOI MENINA NOVA")</f>
        <v>LANCAMENTO ERRADO FOI MENINA NOVA</v>
      </c>
    </row>
    <row r="399">
      <c r="A399" s="2">
        <f>IFERROR(__xludf.DUMMYFUNCTION("""COMPUTED_VALUE"""),45878.0)</f>
        <v>45878</v>
      </c>
      <c r="B399" s="3" t="str">
        <f>IFERROR(__xludf.DUMMYFUNCTION("""COMPUTED_VALUE"""),"COADO DESCAFEINADO")</f>
        <v>COADO DESCAFEINADO</v>
      </c>
      <c r="C399" s="3" t="str">
        <f>IFERROR(__xludf.DUMMYFUNCTION("""COMPUTED_VALUE"""),"Produto final")</f>
        <v>Produto final</v>
      </c>
      <c r="D399" s="3" t="str">
        <f>IFERROR(__xludf.DUMMYFUNCTION("""COMPUTED_VALUE"""),"15G")</f>
        <v>15G</v>
      </c>
      <c r="E399" s="3" t="str">
        <f>IFERROR(__xludf.DUMMYFUNCTION("""COMPUTED_VALUE"""),"Lançamento errado")</f>
        <v>Lançamento errado</v>
      </c>
      <c r="F399" s="3" t="str">
        <f>IFERROR(__xludf.DUMMYFUNCTION("""COMPUTED_VALUE"""),"Ana Júlia")</f>
        <v>Ana Júlia</v>
      </c>
      <c r="G399" s="3" t="str">
        <f>IFERROR(__xludf.DUMMYFUNCTION("""COMPUTED_VALUE"""),"LANCOU ERRADO")</f>
        <v>LANCOU ERRADO</v>
      </c>
    </row>
    <row r="400">
      <c r="A400" s="2">
        <f>IFERROR(__xludf.DUMMYFUNCTION("""COMPUTED_VALUE"""),45879.0)</f>
        <v>45879</v>
      </c>
      <c r="B400" s="3" t="str">
        <f>IFERROR(__xludf.DUMMYFUNCTION("""COMPUTED_VALUE"""),"Torta paçoca ")</f>
        <v>Torta paçoca </v>
      </c>
      <c r="C400" s="3" t="str">
        <f>IFERROR(__xludf.DUMMYFUNCTION("""COMPUTED_VALUE"""),"Produto final")</f>
        <v>Produto final</v>
      </c>
      <c r="D400" s="3" t="str">
        <f>IFERROR(__xludf.DUMMYFUNCTION("""COMPUTED_VALUE"""),"5 fatia ")</f>
        <v>5 fatia </v>
      </c>
      <c r="E400" s="3" t="str">
        <f>IFERROR(__xludf.DUMMYFUNCTION("""COMPUTED_VALUE"""),"Venceu (Validade)")</f>
        <v>Venceu (Validade)</v>
      </c>
      <c r="F400" s="3" t="str">
        <f>IFERROR(__xludf.DUMMYFUNCTION("""COMPUTED_VALUE"""),"Marilene")</f>
        <v>Marilene</v>
      </c>
      <c r="G400" s="3" t="str">
        <f>IFERROR(__xludf.DUMMYFUNCTION("""COMPUTED_VALUE"""),"Veio  do cinema e venceu na vitrine não conseguiu vender ")</f>
        <v>Veio  do cinema e venceu na vitrine não conseguiu vender </v>
      </c>
    </row>
    <row r="401">
      <c r="A401" s="2">
        <f>IFERROR(__xludf.DUMMYFUNCTION("""COMPUTED_VALUE"""),45879.0)</f>
        <v>45879</v>
      </c>
      <c r="B401" s="3" t="str">
        <f>IFERROR(__xludf.DUMMYFUNCTION("""COMPUTED_VALUE"""),"Taça de vinho ")</f>
        <v>Taça de vinho </v>
      </c>
      <c r="C401" s="3" t="str">
        <f>IFERROR(__xludf.DUMMYFUNCTION("""COMPUTED_VALUE"""),"Utensílio")</f>
        <v>Utensílio</v>
      </c>
      <c r="D401" s="3">
        <f>IFERROR(__xludf.DUMMYFUNCTION("""COMPUTED_VALUE"""),1.0)</f>
        <v>1</v>
      </c>
      <c r="E401" s="3" t="str">
        <f>IFERROR(__xludf.DUMMYFUNCTION("""COMPUTED_VALUE"""),"Quebra")</f>
        <v>Quebra</v>
      </c>
      <c r="F401" s="3" t="str">
        <f>IFERROR(__xludf.DUMMYFUNCTION("""COMPUTED_VALUE"""),"Marilene")</f>
        <v>Marilene</v>
      </c>
      <c r="G401" s="3" t="str">
        <f>IFERROR(__xludf.DUMMYFUNCTION("""COMPUTED_VALUE"""),"Quebrou na hora de lava ")</f>
        <v>Quebrou na hora de lava </v>
      </c>
    </row>
    <row r="402">
      <c r="A402" s="2">
        <f>IFERROR(__xludf.DUMMYFUNCTION("""COMPUTED_VALUE"""),45883.0)</f>
        <v>45883</v>
      </c>
      <c r="B402" s="3" t="str">
        <f>IFERROR(__xludf.DUMMYFUNCTION("""COMPUTED_VALUE"""),"Pesto ")</f>
        <v>Pesto </v>
      </c>
      <c r="C402" s="3" t="str">
        <f>IFERROR(__xludf.DUMMYFUNCTION("""COMPUTED_VALUE"""),"Produto final")</f>
        <v>Produto final</v>
      </c>
      <c r="D402" s="3">
        <f>IFERROR(__xludf.DUMMYFUNCTION("""COMPUTED_VALUE"""),1.0)</f>
        <v>1</v>
      </c>
      <c r="E402" s="3" t="str">
        <f>IFERROR(__xludf.DUMMYFUNCTION("""COMPUTED_VALUE"""),"Venceu (Validade)")</f>
        <v>Venceu (Validade)</v>
      </c>
      <c r="F402" s="3" t="str">
        <f>IFERROR(__xludf.DUMMYFUNCTION("""COMPUTED_VALUE"""),"Edna")</f>
        <v>Edna</v>
      </c>
      <c r="G402" s="3" t="str">
        <f>IFERROR(__xludf.DUMMYFUNCTION("""COMPUTED_VALUE"""),"Venceu validade ")</f>
        <v>Venceu validade </v>
      </c>
    </row>
    <row r="403">
      <c r="A403" s="2">
        <f>IFERROR(__xludf.DUMMYFUNCTION("""COMPUTED_VALUE"""),45883.0)</f>
        <v>45883</v>
      </c>
      <c r="B403" s="3" t="str">
        <f>IFERROR(__xludf.DUMMYFUNCTION("""COMPUTED_VALUE"""),"Pesto para faz molho ")</f>
        <v>Pesto para faz molho </v>
      </c>
      <c r="C403" s="3" t="str">
        <f>IFERROR(__xludf.DUMMYFUNCTION("""COMPUTED_VALUE"""),"Produto final")</f>
        <v>Produto final</v>
      </c>
      <c r="D403" s="3">
        <f>IFERROR(__xludf.DUMMYFUNCTION("""COMPUTED_VALUE"""),1.0)</f>
        <v>1</v>
      </c>
      <c r="E403" s="3" t="str">
        <f>IFERROR(__xludf.DUMMYFUNCTION("""COMPUTED_VALUE"""),"Outro")</f>
        <v>Outro</v>
      </c>
      <c r="F403" s="3" t="str">
        <f>IFERROR(__xludf.DUMMYFUNCTION("""COMPUTED_VALUE"""),"Edna")</f>
        <v>Edna</v>
      </c>
      <c r="G403" s="3" t="str">
        <f>IFERROR(__xludf.DUMMYFUNCTION("""COMPUTED_VALUE"""),"Fez molho Pesto para usar no  chicken salad")</f>
        <v>Fez molho Pesto para usar no  chicken salad</v>
      </c>
    </row>
    <row r="404">
      <c r="A404" s="2">
        <f>IFERROR(__xludf.DUMMYFUNCTION("""COMPUTED_VALUE"""),45884.0)</f>
        <v>45884</v>
      </c>
      <c r="B404" s="3" t="str">
        <f>IFERROR(__xludf.DUMMYFUNCTION("""COMPUTED_VALUE"""),"Torta de ninho ")</f>
        <v>Torta de ninho </v>
      </c>
      <c r="C404" s="3" t="str">
        <f>IFERROR(__xludf.DUMMYFUNCTION("""COMPUTED_VALUE"""),"Produto final")</f>
        <v>Produto final</v>
      </c>
      <c r="D404" s="3">
        <f>IFERROR(__xludf.DUMMYFUNCTION("""COMPUTED_VALUE"""),1.0)</f>
        <v>1</v>
      </c>
      <c r="E404" s="3" t="str">
        <f>IFERROR(__xludf.DUMMYFUNCTION("""COMPUTED_VALUE"""),"Erro de processo")</f>
        <v>Erro de processo</v>
      </c>
      <c r="F404" s="3" t="str">
        <f>IFERROR(__xludf.DUMMYFUNCTION("""COMPUTED_VALUE"""),"Rafael")</f>
        <v>Rafael</v>
      </c>
      <c r="G404" s="3" t="str">
        <f>IFERROR(__xludf.DUMMYFUNCTION("""COMPUTED_VALUE"""),"Deixou cair ")</f>
        <v>Deixou cair </v>
      </c>
    </row>
    <row r="405">
      <c r="A405" s="2">
        <f>IFERROR(__xludf.DUMMYFUNCTION("""COMPUTED_VALUE"""),45884.0)</f>
        <v>45884</v>
      </c>
      <c r="B405" s="3" t="str">
        <f>IFERROR(__xludf.DUMMYFUNCTION("""COMPUTED_VALUE"""),"Tapioca de ovo  com mussarela ")</f>
        <v>Tapioca de ovo  com mussarela </v>
      </c>
      <c r="C405" s="3" t="str">
        <f>IFERROR(__xludf.DUMMYFUNCTION("""COMPUTED_VALUE"""),"Produto final")</f>
        <v>Produto final</v>
      </c>
      <c r="D405" s="3">
        <f>IFERROR(__xludf.DUMMYFUNCTION("""COMPUTED_VALUE"""),1.0)</f>
        <v>1</v>
      </c>
      <c r="E405" s="3" t="str">
        <f>IFERROR(__xludf.DUMMYFUNCTION("""COMPUTED_VALUE"""),"Cliente")</f>
        <v>Cliente</v>
      </c>
      <c r="F405" s="3" t="str">
        <f>IFERROR(__xludf.DUMMYFUNCTION("""COMPUTED_VALUE"""),"Ana Júlia")</f>
        <v>Ana Júlia</v>
      </c>
      <c r="G405" s="3" t="str">
        <f>IFERROR(__xludf.DUMMYFUNCTION("""COMPUTED_VALUE"""),"Cliente falou não perdi a dicionário mussarela ")</f>
        <v>Cliente falou não perdi a dicionário mussarela </v>
      </c>
    </row>
    <row r="406">
      <c r="A406" s="2">
        <f>IFERROR(__xludf.DUMMYFUNCTION("""COMPUTED_VALUE"""),45884.0)</f>
        <v>45884</v>
      </c>
      <c r="B406" s="3" t="str">
        <f>IFERROR(__xludf.DUMMYFUNCTION("""COMPUTED_VALUE"""),"32 unidades de pão de queijo porção ")</f>
        <v>32 unidades de pão de queijo porção </v>
      </c>
      <c r="C406" s="3" t="str">
        <f>IFERROR(__xludf.DUMMYFUNCTION("""COMPUTED_VALUE"""),"Produto final")</f>
        <v>Produto final</v>
      </c>
      <c r="D406" s="3" t="str">
        <f>IFERROR(__xludf.DUMMYFUNCTION("""COMPUTED_VALUE"""),"32 unidade de pão de queijo porção ")</f>
        <v>32 unidade de pão de queijo porção </v>
      </c>
      <c r="E406" s="3" t="str">
        <f>IFERROR(__xludf.DUMMYFUNCTION("""COMPUTED_VALUE"""),"Venceu (Validade)")</f>
        <v>Venceu (Validade)</v>
      </c>
      <c r="F406" s="3" t="str">
        <f>IFERROR(__xludf.DUMMYFUNCTION("""COMPUTED_VALUE"""),"Francisca")</f>
        <v>Francisca</v>
      </c>
      <c r="G406" s="3" t="str">
        <f>IFERROR(__xludf.DUMMYFUNCTION("""COMPUTED_VALUE"""),"Já está duro na geladeira ")</f>
        <v>Já está duro na geladeira </v>
      </c>
    </row>
    <row r="407">
      <c r="A407" s="2">
        <f>IFERROR(__xludf.DUMMYFUNCTION("""COMPUTED_VALUE"""),45885.0)</f>
        <v>45885</v>
      </c>
      <c r="B407" s="3" t="str">
        <f>IFERROR(__xludf.DUMMYFUNCTION("""COMPUTED_VALUE"""),"torta ninho")</f>
        <v>torta ninho</v>
      </c>
      <c r="C407" s="3" t="str">
        <f>IFERROR(__xludf.DUMMYFUNCTION("""COMPUTED_VALUE"""),"Insumo")</f>
        <v>Insumo</v>
      </c>
      <c r="D407" s="3">
        <f>IFERROR(__xludf.DUMMYFUNCTION("""COMPUTED_VALUE"""),1.0)</f>
        <v>1</v>
      </c>
      <c r="E407" s="3" t="str">
        <f>IFERROR(__xludf.DUMMYFUNCTION("""COMPUTED_VALUE"""),"Quebra")</f>
        <v>Quebra</v>
      </c>
      <c r="F407" s="3" t="str">
        <f>IFERROR(__xludf.DUMMYFUNCTION("""COMPUTED_VALUE"""),"Rafael")</f>
        <v>Rafael</v>
      </c>
      <c r="G407" s="3" t="str">
        <f>IFERROR(__xludf.DUMMYFUNCTION("""COMPUTED_VALUE"""),"quebrou ao cortar")</f>
        <v>quebrou ao cortar</v>
      </c>
    </row>
    <row r="408">
      <c r="A408" s="2">
        <f>IFERROR(__xludf.DUMMYFUNCTION("""COMPUTED_VALUE"""),45885.0)</f>
        <v>45885</v>
      </c>
      <c r="B408" s="3" t="str">
        <f>IFERROR(__xludf.DUMMYFUNCTION("""COMPUTED_VALUE"""),"copo americano grande")</f>
        <v>copo americano grande</v>
      </c>
      <c r="C408" s="3" t="str">
        <f>IFERROR(__xludf.DUMMYFUNCTION("""COMPUTED_VALUE"""),"Utensílio")</f>
        <v>Utensílio</v>
      </c>
      <c r="D408" s="3">
        <f>IFERROR(__xludf.DUMMYFUNCTION("""COMPUTED_VALUE"""),1.0)</f>
        <v>1</v>
      </c>
      <c r="E408" s="3" t="str">
        <f>IFERROR(__xludf.DUMMYFUNCTION("""COMPUTED_VALUE"""),"Quebra")</f>
        <v>Quebra</v>
      </c>
      <c r="F408" s="3" t="str">
        <f>IFERROR(__xludf.DUMMYFUNCTION("""COMPUTED_VALUE"""),"Rafael")</f>
        <v>Rafael</v>
      </c>
      <c r="G408" s="3" t="str">
        <f>IFERROR(__xludf.DUMMYFUNCTION("""COMPUTED_VALUE"""),"quebrou ao lavar")</f>
        <v>quebrou ao lavar</v>
      </c>
    </row>
    <row r="409">
      <c r="A409" s="2">
        <f>IFERROR(__xludf.DUMMYFUNCTION("""COMPUTED_VALUE"""),45885.0)</f>
        <v>45885</v>
      </c>
      <c r="B409" s="3" t="str">
        <f>IFERROR(__xludf.DUMMYFUNCTION("""COMPUTED_VALUE"""),"Late simples ")</f>
        <v>Late simples </v>
      </c>
      <c r="C409" s="3" t="str">
        <f>IFERROR(__xludf.DUMMYFUNCTION("""COMPUTED_VALUE"""),"Produto final")</f>
        <v>Produto final</v>
      </c>
      <c r="D409" s="3">
        <f>IFERROR(__xludf.DUMMYFUNCTION("""COMPUTED_VALUE"""),1.0)</f>
        <v>1</v>
      </c>
      <c r="E409" s="3" t="str">
        <f>IFERROR(__xludf.DUMMYFUNCTION("""COMPUTED_VALUE"""),"Erro de processo")</f>
        <v>Erro de processo</v>
      </c>
      <c r="F409" s="3" t="str">
        <f>IFERROR(__xludf.DUMMYFUNCTION("""COMPUTED_VALUE"""),"Edna")</f>
        <v>Edna</v>
      </c>
      <c r="G409" s="3" t="str">
        <f>IFERROR(__xludf.DUMMYFUNCTION("""COMPUTED_VALUE"""),"Fez errado ")</f>
        <v>Fez errado </v>
      </c>
    </row>
    <row r="410">
      <c r="A410" s="2">
        <f>IFERROR(__xludf.DUMMYFUNCTION("""COMPUTED_VALUE"""),45886.0)</f>
        <v>45886</v>
      </c>
      <c r="B410" s="3" t="str">
        <f>IFERROR(__xludf.DUMMYFUNCTION("""COMPUTED_VALUE"""),"Croissant simples ")</f>
        <v>Croissant simples </v>
      </c>
      <c r="C410" s="3" t="str">
        <f>IFERROR(__xludf.DUMMYFUNCTION("""COMPUTED_VALUE"""),"Produto final")</f>
        <v>Produto final</v>
      </c>
      <c r="D410" s="3">
        <f>IFERROR(__xludf.DUMMYFUNCTION("""COMPUTED_VALUE"""),4.0)</f>
        <v>4</v>
      </c>
      <c r="E410" s="3" t="str">
        <f>IFERROR(__xludf.DUMMYFUNCTION("""COMPUTED_VALUE"""),"Outro")</f>
        <v>Outro</v>
      </c>
      <c r="F410" s="3" t="str">
        <f>IFERROR(__xludf.DUMMYFUNCTION("""COMPUTED_VALUE"""),"Edna")</f>
        <v>Edna</v>
      </c>
      <c r="G410" s="3" t="str">
        <f>IFERROR(__xludf.DUMMYFUNCTION("""COMPUTED_VALUE"""),"Deixou caí ")</f>
        <v>Deixou caí </v>
      </c>
    </row>
    <row r="411">
      <c r="A411" s="2">
        <f>IFERROR(__xludf.DUMMYFUNCTION("""COMPUTED_VALUE"""),45886.0)</f>
        <v>45886</v>
      </c>
      <c r="B411" s="3" t="str">
        <f>IFERROR(__xludf.DUMMYFUNCTION("""COMPUTED_VALUE"""),"Alface americana")</f>
        <v>Alface americana</v>
      </c>
      <c r="C411" s="3" t="str">
        <f>IFERROR(__xludf.DUMMYFUNCTION("""COMPUTED_VALUE"""),"Produto final")</f>
        <v>Produto final</v>
      </c>
      <c r="D411" s="3" t="str">
        <f>IFERROR(__xludf.DUMMYFUNCTION("""COMPUTED_VALUE"""),"206grama ")</f>
        <v>206grama </v>
      </c>
      <c r="E411" s="3" t="str">
        <f>IFERROR(__xludf.DUMMYFUNCTION("""COMPUTED_VALUE"""),"Venceu (Validade)")</f>
        <v>Venceu (Validade)</v>
      </c>
      <c r="F411" s="3" t="str">
        <f>IFERROR(__xludf.DUMMYFUNCTION("""COMPUTED_VALUE"""),"Edna")</f>
        <v>Edna</v>
      </c>
      <c r="G411" s="3" t="str">
        <f>IFERROR(__xludf.DUMMYFUNCTION("""COMPUTED_VALUE"""),"Já está Rui as folha ")</f>
        <v>Já está Rui as folha </v>
      </c>
    </row>
    <row r="412">
      <c r="A412" s="2">
        <f>IFERROR(__xludf.DUMMYFUNCTION("""COMPUTED_VALUE"""),45886.0)</f>
        <v>45886</v>
      </c>
      <c r="B412" s="3" t="str">
        <f>IFERROR(__xludf.DUMMYFUNCTION("""COMPUTED_VALUE"""),"Marcador de bolo")</f>
        <v>Marcador de bolo</v>
      </c>
      <c r="C412" s="3" t="str">
        <f>IFERROR(__xludf.DUMMYFUNCTION("""COMPUTED_VALUE"""),"Utensílio")</f>
        <v>Utensílio</v>
      </c>
      <c r="D412" s="3">
        <f>IFERROR(__xludf.DUMMYFUNCTION("""COMPUTED_VALUE"""),2.0)</f>
        <v>2</v>
      </c>
      <c r="E412" s="3" t="str">
        <f>IFERROR(__xludf.DUMMYFUNCTION("""COMPUTED_VALUE"""),"Quebra")</f>
        <v>Quebra</v>
      </c>
      <c r="F412" s="3" t="str">
        <f>IFERROR(__xludf.DUMMYFUNCTION("""COMPUTED_VALUE"""),"Marilene")</f>
        <v>Marilene</v>
      </c>
      <c r="G412" s="3" t="str">
        <f>IFERROR(__xludf.DUMMYFUNCTION("""COMPUTED_VALUE"""),"Estava quebrado joge lixo ")</f>
        <v>Estava quebrado joge lixo </v>
      </c>
    </row>
    <row r="413">
      <c r="A413" s="2">
        <f>IFERROR(__xludf.DUMMYFUNCTION("""COMPUTED_VALUE"""),45886.0)</f>
        <v>45886</v>
      </c>
      <c r="B413" s="3" t="str">
        <f>IFERROR(__xludf.DUMMYFUNCTION("""COMPUTED_VALUE"""),"Copo xote ")</f>
        <v>Copo xote </v>
      </c>
      <c r="C413" s="3" t="str">
        <f>IFERROR(__xludf.DUMMYFUNCTION("""COMPUTED_VALUE"""),"Utensílio")</f>
        <v>Utensílio</v>
      </c>
      <c r="D413" s="3">
        <f>IFERROR(__xludf.DUMMYFUNCTION("""COMPUTED_VALUE"""),1.0)</f>
        <v>1</v>
      </c>
      <c r="E413" s="3" t="str">
        <f>IFERROR(__xludf.DUMMYFUNCTION("""COMPUTED_VALUE"""),"Quebra")</f>
        <v>Quebra</v>
      </c>
      <c r="F413" s="3" t="str">
        <f>IFERROR(__xludf.DUMMYFUNCTION("""COMPUTED_VALUE"""),"Rafael")</f>
        <v>Rafael</v>
      </c>
      <c r="G413" s="3" t="str">
        <f>IFERROR(__xludf.DUMMYFUNCTION("""COMPUTED_VALUE"""),"Deixou cair ")</f>
        <v>Deixou cair </v>
      </c>
    </row>
    <row r="414">
      <c r="A414" s="2">
        <f>IFERROR(__xludf.DUMMYFUNCTION("""COMPUTED_VALUE"""),45888.0)</f>
        <v>45888</v>
      </c>
      <c r="B414" s="3" t="str">
        <f>IFERROR(__xludf.DUMMYFUNCTION("""COMPUTED_VALUE"""),"2 balança digital ")</f>
        <v>2 balança digital </v>
      </c>
      <c r="C414" s="3" t="str">
        <f>IFERROR(__xludf.DUMMYFUNCTION("""COMPUTED_VALUE"""),"Utensílio")</f>
        <v>Utensílio</v>
      </c>
      <c r="D414" s="3">
        <f>IFERROR(__xludf.DUMMYFUNCTION("""COMPUTED_VALUE"""),2.0)</f>
        <v>2</v>
      </c>
      <c r="E414" s="3" t="str">
        <f>IFERROR(__xludf.DUMMYFUNCTION("""COMPUTED_VALUE"""),"Quebra")</f>
        <v>Quebra</v>
      </c>
      <c r="F414" s="3" t="str">
        <f>IFERROR(__xludf.DUMMYFUNCTION("""COMPUTED_VALUE"""),"Marilene")</f>
        <v>Marilene</v>
      </c>
      <c r="G414" s="3" t="str">
        <f>IFERROR(__xludf.DUMMYFUNCTION("""COMPUTED_VALUE"""),"Não estavas funcionando ")</f>
        <v>Não estavas funcionando </v>
      </c>
    </row>
    <row r="415">
      <c r="A415" s="2">
        <f>IFERROR(__xludf.DUMMYFUNCTION("""COMPUTED_VALUE"""),45888.0)</f>
        <v>45888</v>
      </c>
      <c r="B415" s="3" t="str">
        <f>IFERROR(__xludf.DUMMYFUNCTION("""COMPUTED_VALUE"""),"Pote ")</f>
        <v>Pote </v>
      </c>
      <c r="C415" s="3" t="str">
        <f>IFERROR(__xludf.DUMMYFUNCTION("""COMPUTED_VALUE"""),"Utensílio")</f>
        <v>Utensílio</v>
      </c>
      <c r="D415" s="3">
        <f>IFERROR(__xludf.DUMMYFUNCTION("""COMPUTED_VALUE"""),2.0)</f>
        <v>2</v>
      </c>
      <c r="E415" s="3" t="str">
        <f>IFERROR(__xludf.DUMMYFUNCTION("""COMPUTED_VALUE"""),"Quebra")</f>
        <v>Quebra</v>
      </c>
      <c r="F415" s="3" t="str">
        <f>IFERROR(__xludf.DUMMYFUNCTION("""COMPUTED_VALUE"""),"Marilene")</f>
        <v>Marilene</v>
      </c>
      <c r="G415" s="3" t="str">
        <f>IFERROR(__xludf.DUMMYFUNCTION("""COMPUTED_VALUE"""),"Estava quebrado ")</f>
        <v>Estava quebrado </v>
      </c>
    </row>
    <row r="416">
      <c r="A416" s="2">
        <f>IFERROR(__xludf.DUMMYFUNCTION("""COMPUTED_VALUE"""),45888.0)</f>
        <v>45888</v>
      </c>
      <c r="B416" s="3" t="str">
        <f>IFERROR(__xludf.DUMMYFUNCTION("""COMPUTED_VALUE"""),"Bol ")</f>
        <v>Bol </v>
      </c>
      <c r="C416" s="3" t="str">
        <f>IFERROR(__xludf.DUMMYFUNCTION("""COMPUTED_VALUE"""),"Utensílio")</f>
        <v>Utensílio</v>
      </c>
      <c r="D416" s="3">
        <f>IFERROR(__xludf.DUMMYFUNCTION("""COMPUTED_VALUE"""),2.0)</f>
        <v>2</v>
      </c>
      <c r="E416" s="3" t="str">
        <f>IFERROR(__xludf.DUMMYFUNCTION("""COMPUTED_VALUE"""),"Quebra")</f>
        <v>Quebra</v>
      </c>
      <c r="F416" s="3" t="str">
        <f>IFERROR(__xludf.DUMMYFUNCTION("""COMPUTED_VALUE"""),"Marilene")</f>
        <v>Marilene</v>
      </c>
      <c r="G416" s="3" t="str">
        <f>IFERROR(__xludf.DUMMYFUNCTION("""COMPUTED_VALUE"""),"Estava quebrado ")</f>
        <v>Estava quebrado </v>
      </c>
    </row>
    <row r="417">
      <c r="A417" s="2">
        <f>IFERROR(__xludf.DUMMYFUNCTION("""COMPUTED_VALUE"""),45888.0)</f>
        <v>45888</v>
      </c>
      <c r="B417" s="3" t="str">
        <f>IFERROR(__xludf.DUMMYFUNCTION("""COMPUTED_VALUE"""),"Pote ")</f>
        <v>Pote </v>
      </c>
      <c r="C417" s="3" t="str">
        <f>IFERROR(__xludf.DUMMYFUNCTION("""COMPUTED_VALUE"""),"Utensílio")</f>
        <v>Utensílio</v>
      </c>
      <c r="D417" s="3">
        <f>IFERROR(__xludf.DUMMYFUNCTION("""COMPUTED_VALUE"""),2.0)</f>
        <v>2</v>
      </c>
      <c r="E417" s="3" t="str">
        <f>IFERROR(__xludf.DUMMYFUNCTION("""COMPUTED_VALUE"""),"Quebra")</f>
        <v>Quebra</v>
      </c>
      <c r="F417" s="3" t="str">
        <f>IFERROR(__xludf.DUMMYFUNCTION("""COMPUTED_VALUE"""),"Marilene")</f>
        <v>Marilene</v>
      </c>
      <c r="G417" s="3" t="str">
        <f>IFERROR(__xludf.DUMMYFUNCTION("""COMPUTED_VALUE"""),"Estava quebrado ")</f>
        <v>Estava quebrado </v>
      </c>
    </row>
    <row r="418">
      <c r="A418" s="2">
        <f>IFERROR(__xludf.DUMMYFUNCTION("""COMPUTED_VALUE"""),45888.0)</f>
        <v>45888</v>
      </c>
      <c r="B418" s="3" t="str">
        <f>IFERROR(__xludf.DUMMYFUNCTION("""COMPUTED_VALUE"""),"Torta banofe ")</f>
        <v>Torta banofe </v>
      </c>
      <c r="C418" s="3" t="str">
        <f>IFERROR(__xludf.DUMMYFUNCTION("""COMPUTED_VALUE"""),"Produto final")</f>
        <v>Produto final</v>
      </c>
      <c r="D418" s="3" t="str">
        <f>IFERROR(__xludf.DUMMYFUNCTION("""COMPUTED_VALUE"""),"1 fatia ")</f>
        <v>1 fatia </v>
      </c>
      <c r="E418" s="3" t="str">
        <f>IFERROR(__xludf.DUMMYFUNCTION("""COMPUTED_VALUE"""),"Erro de processo")</f>
        <v>Erro de processo</v>
      </c>
      <c r="F418" s="3" t="str">
        <f>IFERROR(__xludf.DUMMYFUNCTION("""COMPUTED_VALUE"""),"Marilene")</f>
        <v>Marilene</v>
      </c>
      <c r="G418" s="3" t="str">
        <f>IFERROR(__xludf.DUMMYFUNCTION("""COMPUTED_VALUE"""),"Deixe cair no chão ")</f>
        <v>Deixe cair no chão </v>
      </c>
    </row>
    <row r="419">
      <c r="A419" s="2">
        <f>IFERROR(__xludf.DUMMYFUNCTION("""COMPUTED_VALUE"""),45889.0)</f>
        <v>45889</v>
      </c>
      <c r="B419" s="3" t="str">
        <f>IFERROR(__xludf.DUMMYFUNCTION("""COMPUTED_VALUE"""),"Queijo brie ")</f>
        <v>Queijo brie </v>
      </c>
      <c r="C419" s="3" t="str">
        <f>IFERROR(__xludf.DUMMYFUNCTION("""COMPUTED_VALUE"""),"Produto final")</f>
        <v>Produto final</v>
      </c>
      <c r="D419" s="3" t="str">
        <f>IFERROR(__xludf.DUMMYFUNCTION("""COMPUTED_VALUE"""),"35grama ")</f>
        <v>35grama </v>
      </c>
      <c r="E419" s="3" t="str">
        <f>IFERROR(__xludf.DUMMYFUNCTION("""COMPUTED_VALUE"""),"Venceu (Validade)")</f>
        <v>Venceu (Validade)</v>
      </c>
      <c r="F419" s="3" t="str">
        <f>IFERROR(__xludf.DUMMYFUNCTION("""COMPUTED_VALUE"""),"Jonathan")</f>
        <v>Jonathan</v>
      </c>
      <c r="G419" s="3" t="str">
        <f>IFERROR(__xludf.DUMMYFUNCTION("""COMPUTED_VALUE"""),"Estava com cor mais escura ")</f>
        <v>Estava com cor mais escura </v>
      </c>
    </row>
    <row r="420">
      <c r="A420" s="2">
        <f>IFERROR(__xludf.DUMMYFUNCTION("""COMPUTED_VALUE"""),45891.0)</f>
        <v>45891</v>
      </c>
      <c r="B420" s="3" t="str">
        <f>IFERROR(__xludf.DUMMYFUNCTION("""COMPUTED_VALUE"""),"espresso duplo")</f>
        <v>espresso duplo</v>
      </c>
      <c r="C420" s="3" t="str">
        <f>IFERROR(__xludf.DUMMYFUNCTION("""COMPUTED_VALUE"""),"Produto final")</f>
        <v>Produto final</v>
      </c>
      <c r="D420" s="3">
        <f>IFERROR(__xludf.DUMMYFUNCTION("""COMPUTED_VALUE"""),1.0)</f>
        <v>1</v>
      </c>
      <c r="E420" s="3" t="str">
        <f>IFERROR(__xludf.DUMMYFUNCTION("""COMPUTED_VALUE"""),"Cliente")</f>
        <v>Cliente</v>
      </c>
      <c r="F420" s="3" t="str">
        <f>IFERROR(__xludf.DUMMYFUNCTION("""COMPUTED_VALUE"""),"Michele ")</f>
        <v>Michele </v>
      </c>
      <c r="G420" s="3" t="str">
        <f>IFERROR(__xludf.DUMMYFUNCTION("""COMPUTED_VALUE"""),"cliente maluco gritando na loja ( Brunna liberou para ele sair da loja )")</f>
        <v>cliente maluco gritando na loja ( Brunna liberou para ele sair da loja )</v>
      </c>
    </row>
    <row r="421">
      <c r="A421" s="2">
        <f>IFERROR(__xludf.DUMMYFUNCTION("""COMPUTED_VALUE"""),45891.0)</f>
        <v>45891</v>
      </c>
      <c r="B421" s="3" t="str">
        <f>IFERROR(__xludf.DUMMYFUNCTION("""COMPUTED_VALUE"""),"agua com gas")</f>
        <v>agua com gas</v>
      </c>
      <c r="C421" s="3" t="str">
        <f>IFERROR(__xludf.DUMMYFUNCTION("""COMPUTED_VALUE"""),"Utensílio")</f>
        <v>Utensílio</v>
      </c>
      <c r="D421" s="3">
        <f>IFERROR(__xludf.DUMMYFUNCTION("""COMPUTED_VALUE"""),1.0)</f>
        <v>1</v>
      </c>
      <c r="E421" s="3" t="str">
        <f>IFERROR(__xludf.DUMMYFUNCTION("""COMPUTED_VALUE"""),"Cliente")</f>
        <v>Cliente</v>
      </c>
      <c r="F421" s="3" t="str">
        <f>IFERROR(__xludf.DUMMYFUNCTION("""COMPUTED_VALUE"""),"Michele ")</f>
        <v>Michele </v>
      </c>
      <c r="G421" s="3" t="str">
        <f>IFERROR(__xludf.DUMMYFUNCTION("""COMPUTED_VALUE"""),"cliente maluco gritando na loja ( Brunna")</f>
        <v>cliente maluco gritando na loja ( Brunna</v>
      </c>
    </row>
    <row r="422">
      <c r="A422" s="2">
        <f>IFERROR(__xludf.DUMMYFUNCTION("""COMPUTED_VALUE"""),45892.0)</f>
        <v>45892</v>
      </c>
      <c r="B422" s="3" t="str">
        <f>IFERROR(__xludf.DUMMYFUNCTION("""COMPUTED_VALUE"""),"tapioca marguerita")</f>
        <v>tapioca marguerita</v>
      </c>
      <c r="C422" s="3" t="str">
        <f>IFERROR(__xludf.DUMMYFUNCTION("""COMPUTED_VALUE"""),"Produto final")</f>
        <v>Produto final</v>
      </c>
      <c r="D422" s="3">
        <f>IFERROR(__xludf.DUMMYFUNCTION("""COMPUTED_VALUE"""),1.0)</f>
        <v>1</v>
      </c>
      <c r="E422" s="3" t="str">
        <f>IFERROR(__xludf.DUMMYFUNCTION("""COMPUTED_VALUE"""),"Cliente")</f>
        <v>Cliente</v>
      </c>
      <c r="F422" s="3" t="str">
        <f>IFERROR(__xludf.DUMMYFUNCTION("""COMPUTED_VALUE"""),"Patrícia")</f>
        <v>Patrícia</v>
      </c>
      <c r="G422" s="3" t="str">
        <f>IFERROR(__xludf.DUMMYFUNCTION("""COMPUTED_VALUE"""),"cliente falou nao gostou do sabor da tapioca")</f>
        <v>cliente falou nao gostou do sabor da tapioca</v>
      </c>
    </row>
    <row r="423">
      <c r="A423" s="2">
        <f>IFERROR(__xludf.DUMMYFUNCTION("""COMPUTED_VALUE"""),45893.0)</f>
        <v>45893</v>
      </c>
      <c r="B423" s="3" t="str">
        <f>IFERROR(__xludf.DUMMYFUNCTION("""COMPUTED_VALUE"""),"Bolo tapioca ")</f>
        <v>Bolo tapioca </v>
      </c>
      <c r="C423" s="3" t="str">
        <f>IFERROR(__xludf.DUMMYFUNCTION("""COMPUTED_VALUE"""),"Produto final")</f>
        <v>Produto final</v>
      </c>
      <c r="D423" s="3">
        <f>IFERROR(__xludf.DUMMYFUNCTION("""COMPUTED_VALUE"""),1.0)</f>
        <v>1</v>
      </c>
      <c r="E423" s="3" t="str">
        <f>IFERROR(__xludf.DUMMYFUNCTION("""COMPUTED_VALUE"""),"Cliente")</f>
        <v>Cliente</v>
      </c>
      <c r="F423" s="3" t="str">
        <f>IFERROR(__xludf.DUMMYFUNCTION("""COMPUTED_VALUE"""),"Marilene")</f>
        <v>Marilene</v>
      </c>
      <c r="G423" s="3" t="str">
        <f>IFERROR(__xludf.DUMMYFUNCTION("""COMPUTED_VALUE"""),"Cliente falou coco estava ruim devolve ")</f>
        <v>Cliente falou coco estava ruim devolve </v>
      </c>
    </row>
    <row r="424">
      <c r="A424" s="2">
        <f>IFERROR(__xludf.DUMMYFUNCTION("""COMPUTED_VALUE"""),45894.0)</f>
        <v>45894</v>
      </c>
      <c r="B424" s="3" t="str">
        <f>IFERROR(__xludf.DUMMYFUNCTION("""COMPUTED_VALUE"""),"pao batata")</f>
        <v>pao batata</v>
      </c>
      <c r="C424" s="3" t="str">
        <f>IFERROR(__xludf.DUMMYFUNCTION("""COMPUTED_VALUE"""),"Insumo")</f>
        <v>Insumo</v>
      </c>
      <c r="D424" s="3">
        <f>IFERROR(__xludf.DUMMYFUNCTION("""COMPUTED_VALUE"""),4.0)</f>
        <v>4</v>
      </c>
      <c r="E424" s="3" t="str">
        <f>IFERROR(__xludf.DUMMYFUNCTION("""COMPUTED_VALUE"""),"Erro de processo")</f>
        <v>Erro de processo</v>
      </c>
      <c r="F424" s="3" t="str">
        <f>IFERROR(__xludf.DUMMYFUNCTION("""COMPUTED_VALUE"""),"Francisca")</f>
        <v>Francisca</v>
      </c>
      <c r="G424" s="3" t="str">
        <f>IFERROR(__xludf.DUMMYFUNCTION("""COMPUTED_VALUE"""),"aparencia duvidosa")</f>
        <v>aparencia duvidosa</v>
      </c>
    </row>
    <row r="425">
      <c r="A425" s="2">
        <f>IFERROR(__xludf.DUMMYFUNCTION("""COMPUTED_VALUE"""),45896.0)</f>
        <v>45896</v>
      </c>
      <c r="B425" s="3" t="str">
        <f>IFERROR(__xludf.DUMMYFUNCTION("""COMPUTED_VALUE"""),"Pesto")</f>
        <v>Pesto</v>
      </c>
      <c r="C425" s="3" t="str">
        <f>IFERROR(__xludf.DUMMYFUNCTION("""COMPUTED_VALUE"""),"Produto final")</f>
        <v>Produto final</v>
      </c>
      <c r="D425" s="3">
        <f>IFERROR(__xludf.DUMMYFUNCTION("""COMPUTED_VALUE"""),2.0)</f>
        <v>2</v>
      </c>
      <c r="E425" s="3" t="str">
        <f>IFERROR(__xludf.DUMMYFUNCTION("""COMPUTED_VALUE"""),"Outro")</f>
        <v>Outro</v>
      </c>
      <c r="F425" s="3" t="str">
        <f>IFERROR(__xludf.DUMMYFUNCTION("""COMPUTED_VALUE"""),"Edna")</f>
        <v>Edna</v>
      </c>
      <c r="G425" s="3" t="str">
        <f>IFERROR(__xludf.DUMMYFUNCTION("""COMPUTED_VALUE"""),"Para faz molho pesto do chicken salad")</f>
        <v>Para faz molho pesto do chicken salad</v>
      </c>
    </row>
    <row r="426">
      <c r="A426" s="2">
        <f>IFERROR(__xludf.DUMMYFUNCTION("""COMPUTED_VALUE"""),45897.0)</f>
        <v>45897</v>
      </c>
      <c r="B426" s="3" t="str">
        <f>IFERROR(__xludf.DUMMYFUNCTION("""COMPUTED_VALUE"""),"Pires grande ")</f>
        <v>Pires grande </v>
      </c>
      <c r="C426" s="3" t="str">
        <f>IFERROR(__xludf.DUMMYFUNCTION("""COMPUTED_VALUE"""),"Produto final")</f>
        <v>Produto final</v>
      </c>
      <c r="D426" s="3">
        <f>IFERROR(__xludf.DUMMYFUNCTION("""COMPUTED_VALUE"""),1.0)</f>
        <v>1</v>
      </c>
      <c r="E426" s="3" t="str">
        <f>IFERROR(__xludf.DUMMYFUNCTION("""COMPUTED_VALUE"""),"Quebra")</f>
        <v>Quebra</v>
      </c>
      <c r="F426" s="3" t="str">
        <f>IFERROR(__xludf.DUMMYFUNCTION("""COMPUTED_VALUE"""),"Marilene")</f>
        <v>Marilene</v>
      </c>
      <c r="G426" s="3" t="str">
        <f>IFERROR(__xludf.DUMMYFUNCTION("""COMPUTED_VALUE"""),"Foi Beatriz deixou cair ")</f>
        <v>Foi Beatriz deixou cair </v>
      </c>
    </row>
    <row r="427">
      <c r="A427" s="2">
        <f>IFERROR(__xludf.DUMMYFUNCTION("""COMPUTED_VALUE"""),45897.0)</f>
        <v>45897</v>
      </c>
      <c r="B427" s="3" t="str">
        <f>IFERROR(__xludf.DUMMYFUNCTION("""COMPUTED_VALUE"""),"Pão de batata ")</f>
        <v>Pão de batata </v>
      </c>
      <c r="C427" s="3" t="str">
        <f>IFERROR(__xludf.DUMMYFUNCTION("""COMPUTED_VALUE"""),"Produto final")</f>
        <v>Produto final</v>
      </c>
      <c r="D427" s="3">
        <f>IFERROR(__xludf.DUMMYFUNCTION("""COMPUTED_VALUE"""),2.0)</f>
        <v>2</v>
      </c>
      <c r="E427" s="3" t="str">
        <f>IFERROR(__xludf.DUMMYFUNCTION("""COMPUTED_VALUE"""),"Outro")</f>
        <v>Outro</v>
      </c>
      <c r="F427" s="3" t="str">
        <f>IFERROR(__xludf.DUMMYFUNCTION("""COMPUTED_VALUE"""),"Melissa")</f>
        <v>Melissa</v>
      </c>
      <c r="G427" s="3" t="str">
        <f>IFERROR(__xludf.DUMMYFUNCTION("""COMPUTED_VALUE"""),"Estava todos misturados na horas de separar não serve porque recreio sai para fora do pão ")</f>
        <v>Estava todos misturados na horas de separar não serve porque recreio sai para fora do pão </v>
      </c>
    </row>
    <row r="428">
      <c r="A428" s="2">
        <f>IFERROR(__xludf.DUMMYFUNCTION("""COMPUTED_VALUE"""),45898.0)</f>
        <v>45898</v>
      </c>
      <c r="B428" s="3" t="str">
        <f>IFERROR(__xludf.DUMMYFUNCTION("""COMPUTED_VALUE"""),"Pire grande ")</f>
        <v>Pire grande </v>
      </c>
      <c r="C428" s="3" t="str">
        <f>IFERROR(__xludf.DUMMYFUNCTION("""COMPUTED_VALUE"""),"Utensílio")</f>
        <v>Utensílio</v>
      </c>
      <c r="D428" s="3">
        <f>IFERROR(__xludf.DUMMYFUNCTION("""COMPUTED_VALUE"""),1.0)</f>
        <v>1</v>
      </c>
      <c r="E428" s="3" t="str">
        <f>IFERROR(__xludf.DUMMYFUNCTION("""COMPUTED_VALUE"""),"Quebra")</f>
        <v>Quebra</v>
      </c>
      <c r="F428" s="3" t="str">
        <f>IFERROR(__xludf.DUMMYFUNCTION("""COMPUTED_VALUE"""),"Rafael")</f>
        <v>Rafael</v>
      </c>
      <c r="G428" s="3" t="str">
        <f>IFERROR(__xludf.DUMMYFUNCTION("""COMPUTED_VALUE"""),"Deixou cair ")</f>
        <v>Deixou cair </v>
      </c>
    </row>
    <row r="429">
      <c r="A429" s="2">
        <f>IFERROR(__xludf.DUMMYFUNCTION("""COMPUTED_VALUE"""),45898.0)</f>
        <v>45898</v>
      </c>
      <c r="B429" s="3" t="str">
        <f>IFERROR(__xludf.DUMMYFUNCTION("""COMPUTED_VALUE"""),"Pão de queijo porca 16 unidades ")</f>
        <v>Pão de queijo porca 16 unidades </v>
      </c>
      <c r="C429" s="3" t="str">
        <f>IFERROR(__xludf.DUMMYFUNCTION("""COMPUTED_VALUE"""),"Produto final")</f>
        <v>Produto final</v>
      </c>
      <c r="D429" s="3" t="str">
        <f>IFERROR(__xludf.DUMMYFUNCTION("""COMPUTED_VALUE"""),"18 unidades ")</f>
        <v>18 unidades </v>
      </c>
      <c r="E429" s="3" t="str">
        <f>IFERROR(__xludf.DUMMYFUNCTION("""COMPUTED_VALUE"""),"Venceu (Validade)")</f>
        <v>Venceu (Validade)</v>
      </c>
      <c r="F429" s="3" t="str">
        <f>IFERROR(__xludf.DUMMYFUNCTION("""COMPUTED_VALUE"""),"Francisca")</f>
        <v>Francisca</v>
      </c>
      <c r="G429" s="3" t="str">
        <f>IFERROR(__xludf.DUMMYFUNCTION("""COMPUTED_VALUE"""),"Já estava vencido ")</f>
        <v>Já estava vencido </v>
      </c>
    </row>
    <row r="430">
      <c r="A430" s="2">
        <f>IFERROR(__xludf.DUMMYFUNCTION("""COMPUTED_VALUE"""),45898.0)</f>
        <v>45898</v>
      </c>
      <c r="B430" s="3" t="str">
        <f>IFERROR(__xludf.DUMMYFUNCTION("""COMPUTED_VALUE"""),"3 ovo mexido ")</f>
        <v>3 ovo mexido </v>
      </c>
      <c r="C430" s="3" t="str">
        <f>IFERROR(__xludf.DUMMYFUNCTION("""COMPUTED_VALUE"""),"Produto final")</f>
        <v>Produto final</v>
      </c>
      <c r="D430" s="3" t="str">
        <f>IFERROR(__xludf.DUMMYFUNCTION("""COMPUTED_VALUE"""),"3 ovo mexido ")</f>
        <v>3 ovo mexido </v>
      </c>
      <c r="E430" s="3" t="str">
        <f>IFERROR(__xludf.DUMMYFUNCTION("""COMPUTED_VALUE"""),"Cliente")</f>
        <v>Cliente</v>
      </c>
      <c r="F430" s="3" t="str">
        <f>IFERROR(__xludf.DUMMYFUNCTION("""COMPUTED_VALUE"""),"Patrícia")</f>
        <v>Patrícia</v>
      </c>
      <c r="G430" s="3" t="str">
        <f>IFERROR(__xludf.DUMMYFUNCTION("""COMPUTED_VALUE"""),"Cliente não quise mais ")</f>
        <v>Cliente não quise mais </v>
      </c>
    </row>
    <row r="431">
      <c r="A431" s="2">
        <f>IFERROR(__xludf.DUMMYFUNCTION("""COMPUTED_VALUE"""),45899.0)</f>
        <v>45899</v>
      </c>
      <c r="B431" s="3" t="str">
        <f>IFERROR(__xludf.DUMMYFUNCTION("""COMPUTED_VALUE"""),"Xícara grande")</f>
        <v>Xícara grande</v>
      </c>
      <c r="C431" s="3" t="str">
        <f>IFERROR(__xludf.DUMMYFUNCTION("""COMPUTED_VALUE"""),"Utensílio")</f>
        <v>Utensílio</v>
      </c>
      <c r="D431" s="3">
        <f>IFERROR(__xludf.DUMMYFUNCTION("""COMPUTED_VALUE"""),1.0)</f>
        <v>1</v>
      </c>
      <c r="E431" s="3" t="str">
        <f>IFERROR(__xludf.DUMMYFUNCTION("""COMPUTED_VALUE"""),"Quebra")</f>
        <v>Quebra</v>
      </c>
      <c r="F431" s="3" t="str">
        <f>IFERROR(__xludf.DUMMYFUNCTION("""COMPUTED_VALUE"""),"Alex")</f>
        <v>Alex</v>
      </c>
      <c r="G431" s="3" t="str">
        <f>IFERROR(__xludf.DUMMYFUNCTION("""COMPUTED_VALUE"""),"Quebrou a alça durante o manuseio")</f>
        <v>Quebrou a alça durante o manuseio</v>
      </c>
    </row>
    <row r="432">
      <c r="A432" s="2">
        <f>IFERROR(__xludf.DUMMYFUNCTION("""COMPUTED_VALUE"""),45899.0)</f>
        <v>45899</v>
      </c>
      <c r="B432" s="3" t="str">
        <f>IFERROR(__xludf.DUMMYFUNCTION("""COMPUTED_VALUE"""),"Misto tradicional (Só queijo)")</f>
        <v>Misto tradicional (Só queijo)</v>
      </c>
      <c r="C432" s="3" t="str">
        <f>IFERROR(__xludf.DUMMYFUNCTION("""COMPUTED_VALUE"""),"Produto final")</f>
        <v>Produto final</v>
      </c>
      <c r="D432" s="3">
        <f>IFERROR(__xludf.DUMMYFUNCTION("""COMPUTED_VALUE"""),2.0)</f>
        <v>2</v>
      </c>
      <c r="E432" s="3" t="str">
        <f>IFERROR(__xludf.DUMMYFUNCTION("""COMPUTED_VALUE"""),"Erro de processo")</f>
        <v>Erro de processo</v>
      </c>
      <c r="F432" s="3" t="str">
        <f>IFERROR(__xludf.DUMMYFUNCTION("""COMPUTED_VALUE"""),"Paulo")</f>
        <v>Paulo</v>
      </c>
      <c r="G432" s="3" t="str">
        <f>IFERROR(__xludf.DUMMYFUNCTION("""COMPUTED_VALUE"""),"Deixou queimar")</f>
        <v>Deixou queimar</v>
      </c>
    </row>
    <row r="433">
      <c r="A433" s="2">
        <f>IFERROR(__xludf.DUMMYFUNCTION("""COMPUTED_VALUE"""),45901.0)</f>
        <v>45901</v>
      </c>
      <c r="B433" s="3" t="str">
        <f>IFERROR(__xludf.DUMMYFUNCTION("""COMPUTED_VALUE"""),"Palha Italiana")</f>
        <v>Palha Italiana</v>
      </c>
      <c r="C433" s="3" t="str">
        <f>IFERROR(__xludf.DUMMYFUNCTION("""COMPUTED_VALUE"""),"Produto final")</f>
        <v>Produto final</v>
      </c>
      <c r="D433" s="3">
        <f>IFERROR(__xludf.DUMMYFUNCTION("""COMPUTED_VALUE"""),1.0)</f>
        <v>1</v>
      </c>
      <c r="E433" s="3" t="str">
        <f>IFERROR(__xludf.DUMMYFUNCTION("""COMPUTED_VALUE"""),"Cliente")</f>
        <v>Cliente</v>
      </c>
      <c r="F433" s="3" t="str">
        <f>IFERROR(__xludf.DUMMYFUNCTION("""COMPUTED_VALUE"""),"Alex")</f>
        <v>Alex</v>
      </c>
      <c r="G433" s="3" t="str">
        <f>IFERROR(__xludf.DUMMYFUNCTION("""COMPUTED_VALUE"""),"Cliente alegou que torta estava com pelo de cachorro. A mesma foi trocada.")</f>
        <v>Cliente alegou que torta estava com pelo de cachorro. A mesma foi trocada.</v>
      </c>
    </row>
    <row r="434">
      <c r="A434" s="2">
        <f>IFERROR(__xludf.DUMMYFUNCTION("""COMPUTED_VALUE"""),45902.0)</f>
        <v>45902</v>
      </c>
      <c r="B434" s="3" t="str">
        <f>IFERROR(__xludf.DUMMYFUNCTION("""COMPUTED_VALUE"""),"Strogonoff de frango ")</f>
        <v>Strogonoff de frango </v>
      </c>
      <c r="C434" s="3" t="str">
        <f>IFERROR(__xludf.DUMMYFUNCTION("""COMPUTED_VALUE"""),"Produto final")</f>
        <v>Produto final</v>
      </c>
      <c r="D434" s="3">
        <f>IFERROR(__xludf.DUMMYFUNCTION("""COMPUTED_VALUE"""),1.0)</f>
        <v>1</v>
      </c>
      <c r="E434" s="3" t="str">
        <f>IFERROR(__xludf.DUMMYFUNCTION("""COMPUTED_VALUE"""),"Quebra")</f>
        <v>Quebra</v>
      </c>
      <c r="F434" s="3" t="str">
        <f>IFERROR(__xludf.DUMMYFUNCTION("""COMPUTED_VALUE"""),"Francisca")</f>
        <v>Francisca</v>
      </c>
      <c r="G434" s="3" t="str">
        <f>IFERROR(__xludf.DUMMYFUNCTION("""COMPUTED_VALUE"""),"Deixou cair do microondas ")</f>
        <v>Deixou cair do microondas </v>
      </c>
    </row>
    <row r="435">
      <c r="A435" s="2">
        <f>IFERROR(__xludf.DUMMYFUNCTION("""COMPUTED_VALUE"""),45902.0)</f>
        <v>45902</v>
      </c>
      <c r="B435" s="3" t="str">
        <f>IFERROR(__xludf.DUMMYFUNCTION("""COMPUTED_VALUE"""),"Chá mate ")</f>
        <v>Chá mate </v>
      </c>
      <c r="C435" s="3" t="str">
        <f>IFERROR(__xludf.DUMMYFUNCTION("""COMPUTED_VALUE"""),"Produto final")</f>
        <v>Produto final</v>
      </c>
      <c r="D435" s="3" t="str">
        <f>IFERROR(__xludf.DUMMYFUNCTION("""COMPUTED_VALUE"""),"60g")</f>
        <v>60g</v>
      </c>
      <c r="E435" s="3" t="str">
        <f>IFERROR(__xludf.DUMMYFUNCTION("""COMPUTED_VALUE"""),"Quebra")</f>
        <v>Quebra</v>
      </c>
      <c r="F435" s="3" t="str">
        <f>IFERROR(__xludf.DUMMYFUNCTION("""COMPUTED_VALUE"""),"Ana Júlia")</f>
        <v>Ana Júlia</v>
      </c>
      <c r="G435" s="3" t="str">
        <f>IFERROR(__xludf.DUMMYFUNCTION("""COMPUTED_VALUE"""),"Deixou cair ")</f>
        <v>Deixou cair </v>
      </c>
    </row>
    <row r="436">
      <c r="A436" s="2">
        <f>IFERROR(__xludf.DUMMYFUNCTION("""COMPUTED_VALUE"""),45902.0)</f>
        <v>45902</v>
      </c>
      <c r="B436" s="3" t="str">
        <f>IFERROR(__xludf.DUMMYFUNCTION("""COMPUTED_VALUE"""),"Café frutados ")</f>
        <v>Café frutados </v>
      </c>
      <c r="C436" s="3" t="str">
        <f>IFERROR(__xludf.DUMMYFUNCTION("""COMPUTED_VALUE"""),"Produto final")</f>
        <v>Produto final</v>
      </c>
      <c r="D436" s="3" t="str">
        <f>IFERROR(__xludf.DUMMYFUNCTION("""COMPUTED_VALUE"""),"15 grama ")</f>
        <v>15 grama </v>
      </c>
      <c r="E436" s="3" t="str">
        <f>IFERROR(__xludf.DUMMYFUNCTION("""COMPUTED_VALUE"""),"Erro de processo")</f>
        <v>Erro de processo</v>
      </c>
      <c r="F436" s="3" t="str">
        <f>IFERROR(__xludf.DUMMYFUNCTION("""COMPUTED_VALUE"""),"Ana Júlia")</f>
        <v>Ana Júlia</v>
      </c>
      <c r="G436" s="3" t="str">
        <f>IFERROR(__xludf.DUMMYFUNCTION("""COMPUTED_VALUE"""),"Deixou cair ")</f>
        <v>Deixou cair </v>
      </c>
    </row>
    <row r="437">
      <c r="A437" s="2">
        <f>IFERROR(__xludf.DUMMYFUNCTION("""COMPUTED_VALUE"""),45903.0)</f>
        <v>45903</v>
      </c>
      <c r="B437" s="3" t="str">
        <f>IFERROR(__xludf.DUMMYFUNCTION("""COMPUTED_VALUE"""),"Croissant")</f>
        <v>Croissant</v>
      </c>
      <c r="C437" s="3" t="str">
        <f>IFERROR(__xludf.DUMMYFUNCTION("""COMPUTED_VALUE"""),"Produto final")</f>
        <v>Produto final</v>
      </c>
      <c r="D437" s="3">
        <f>IFERROR(__xludf.DUMMYFUNCTION("""COMPUTED_VALUE"""),1.0)</f>
        <v>1</v>
      </c>
      <c r="E437" s="3" t="str">
        <f>IFERROR(__xludf.DUMMYFUNCTION("""COMPUTED_VALUE"""),"Outro")</f>
        <v>Outro</v>
      </c>
      <c r="F437" s="3" t="str">
        <f>IFERROR(__xludf.DUMMYFUNCTION("""COMPUTED_VALUE"""),"Melissa ")</f>
        <v>Melissa </v>
      </c>
      <c r="G437" s="3" t="str">
        <f>IFERROR(__xludf.DUMMYFUNCTION("""COMPUTED_VALUE"""),"cliente pediu e desistiu  ( Brunna liberou para Paulo comer no final do dia )")</f>
        <v>cliente pediu e desistiu  ( Brunna liberou para Paulo comer no final do dia )</v>
      </c>
    </row>
    <row r="438">
      <c r="A438" s="2">
        <f>IFERROR(__xludf.DUMMYFUNCTION("""COMPUTED_VALUE"""),45905.0)</f>
        <v>45905</v>
      </c>
      <c r="B438" s="3" t="str">
        <f>IFERROR(__xludf.DUMMYFUNCTION("""COMPUTED_VALUE"""),"Marcador de bolo")</f>
        <v>Marcador de bolo</v>
      </c>
      <c r="C438" s="3" t="str">
        <f>IFERROR(__xludf.DUMMYFUNCTION("""COMPUTED_VALUE"""),"Utensílio")</f>
        <v>Utensílio</v>
      </c>
      <c r="D438" s="3">
        <f>IFERROR(__xludf.DUMMYFUNCTION("""COMPUTED_VALUE"""),1.0)</f>
        <v>1</v>
      </c>
      <c r="E438" s="3" t="str">
        <f>IFERROR(__xludf.DUMMYFUNCTION("""COMPUTED_VALUE"""),"Quebra")</f>
        <v>Quebra</v>
      </c>
      <c r="F438" s="3" t="str">
        <f>IFERROR(__xludf.DUMMYFUNCTION("""COMPUTED_VALUE"""),"Brunna")</f>
        <v>Brunna</v>
      </c>
      <c r="G438" s="3" t="str">
        <f>IFERROR(__xludf.DUMMYFUNCTION("""COMPUTED_VALUE"""),"Uma aba quebrada")</f>
        <v>Uma aba quebrada</v>
      </c>
    </row>
    <row r="439">
      <c r="A439" s="2">
        <f>IFERROR(__xludf.DUMMYFUNCTION("""COMPUTED_VALUE"""),45905.0)</f>
        <v>45905</v>
      </c>
      <c r="B439" s="3" t="str">
        <f>IFERROR(__xludf.DUMMYFUNCTION("""COMPUTED_VALUE"""),"Balança digital cozinha")</f>
        <v>Balança digital cozinha</v>
      </c>
      <c r="C439" s="3" t="str">
        <f>IFERROR(__xludf.DUMMYFUNCTION("""COMPUTED_VALUE"""),"Utensílio")</f>
        <v>Utensílio</v>
      </c>
      <c r="D439" s="3">
        <f>IFERROR(__xludf.DUMMYFUNCTION("""COMPUTED_VALUE"""),1.0)</f>
        <v>1</v>
      </c>
      <c r="E439" s="3" t="str">
        <f>IFERROR(__xludf.DUMMYFUNCTION("""COMPUTED_VALUE"""),"Quebra")</f>
        <v>Quebra</v>
      </c>
      <c r="F439" s="3" t="str">
        <f>IFERROR(__xludf.DUMMYFUNCTION("""COMPUTED_VALUE"""),"Brunna")</f>
        <v>Brunna</v>
      </c>
      <c r="G439" s="3" t="str">
        <f>IFERROR(__xludf.DUMMYFUNCTION("""COMPUTED_VALUE"""),"Quebrou parte superior ")</f>
        <v>Quebrou parte superior </v>
      </c>
    </row>
    <row r="440">
      <c r="A440" s="2">
        <f>IFERROR(__xludf.DUMMYFUNCTION("""COMPUTED_VALUE"""),45905.0)</f>
        <v>45905</v>
      </c>
      <c r="B440" s="3" t="str">
        <f>IFERROR(__xludf.DUMMYFUNCTION("""COMPUTED_VALUE"""),"Torta de palmito")</f>
        <v>Torta de palmito</v>
      </c>
      <c r="C440" s="3" t="str">
        <f>IFERROR(__xludf.DUMMYFUNCTION("""COMPUTED_VALUE"""),"Produto final")</f>
        <v>Produto final</v>
      </c>
      <c r="D440" s="3">
        <f>IFERROR(__xludf.DUMMYFUNCTION("""COMPUTED_VALUE"""),1.0)</f>
        <v>1</v>
      </c>
      <c r="E440" s="3" t="str">
        <f>IFERROR(__xludf.DUMMYFUNCTION("""COMPUTED_VALUE"""),"Erro de processo")</f>
        <v>Erro de processo</v>
      </c>
      <c r="F440" s="3" t="str">
        <f>IFERROR(__xludf.DUMMYFUNCTION("""COMPUTED_VALUE"""),"Melissa")</f>
        <v>Melissa</v>
      </c>
      <c r="G440" s="3" t="str">
        <f>IFERROR(__xludf.DUMMYFUNCTION("""COMPUTED_VALUE"""),"Deixou cair ")</f>
        <v>Deixou cair </v>
      </c>
    </row>
    <row r="441">
      <c r="A441" s="2">
        <f>IFERROR(__xludf.DUMMYFUNCTION("""COMPUTED_VALUE"""),45907.0)</f>
        <v>45907</v>
      </c>
      <c r="B441" s="3" t="str">
        <f>IFERROR(__xludf.DUMMYFUNCTION("""COMPUTED_VALUE"""),"Nutella Gateau")</f>
        <v>Nutella Gateau</v>
      </c>
      <c r="C441" s="3" t="str">
        <f>IFERROR(__xludf.DUMMYFUNCTION("""COMPUTED_VALUE"""),"Produto final")</f>
        <v>Produto final</v>
      </c>
      <c r="D441" s="3">
        <f>IFERROR(__xludf.DUMMYFUNCTION("""COMPUTED_VALUE"""),1.0)</f>
        <v>1</v>
      </c>
      <c r="E441" s="3" t="str">
        <f>IFERROR(__xludf.DUMMYFUNCTION("""COMPUTED_VALUE"""),"Cliente")</f>
        <v>Cliente</v>
      </c>
      <c r="F441" s="3" t="str">
        <f>IFERROR(__xludf.DUMMYFUNCTION("""COMPUTED_VALUE"""),"Michele")</f>
        <v>Michele</v>
      </c>
      <c r="G441" s="3" t="str">
        <f>IFERROR(__xludf.DUMMYFUNCTION("""COMPUTED_VALUE"""),"Cliente pediu e disse que não gostou, então devolveu.")</f>
        <v>Cliente pediu e disse que não gostou, então devolveu.</v>
      </c>
    </row>
    <row r="442">
      <c r="A442" s="2">
        <f>IFERROR(__xludf.DUMMYFUNCTION("""COMPUTED_VALUE"""),45907.0)</f>
        <v>45907</v>
      </c>
      <c r="B442" s="3" t="str">
        <f>IFERROR(__xludf.DUMMYFUNCTION("""COMPUTED_VALUE"""),"Café Blend")</f>
        <v>Café Blend</v>
      </c>
      <c r="C442" s="3" t="str">
        <f>IFERROR(__xludf.DUMMYFUNCTION("""COMPUTED_VALUE"""),"Produto final")</f>
        <v>Produto final</v>
      </c>
      <c r="D442" s="3" t="str">
        <f>IFERROR(__xludf.DUMMYFUNCTION("""COMPUTED_VALUE"""),"15g")</f>
        <v>15g</v>
      </c>
      <c r="E442" s="3" t="str">
        <f>IFERROR(__xludf.DUMMYFUNCTION("""COMPUTED_VALUE"""),"Erro de processo")</f>
        <v>Erro de processo</v>
      </c>
      <c r="F442" s="3" t="str">
        <f>IFERROR(__xludf.DUMMYFUNCTION("""COMPUTED_VALUE"""),"Beatriz")</f>
        <v>Beatriz</v>
      </c>
      <c r="G442" s="3" t="str">
        <f>IFERROR(__xludf.DUMMYFUNCTION("""COMPUTED_VALUE"""),"Deixou cair no balcão")</f>
        <v>Deixou cair no balcão</v>
      </c>
    </row>
    <row r="443">
      <c r="A443" s="2">
        <f>IFERROR(__xludf.DUMMYFUNCTION("""COMPUTED_VALUE"""),45907.0)</f>
        <v>45907</v>
      </c>
      <c r="B443" s="3" t="str">
        <f>IFERROR(__xludf.DUMMYFUNCTION("""COMPUTED_VALUE"""),"Xícara grande")</f>
        <v>Xícara grande</v>
      </c>
      <c r="C443" s="3" t="str">
        <f>IFERROR(__xludf.DUMMYFUNCTION("""COMPUTED_VALUE"""),"Utensílio")</f>
        <v>Utensílio</v>
      </c>
      <c r="D443" s="3">
        <f>IFERROR(__xludf.DUMMYFUNCTION("""COMPUTED_VALUE"""),1.0)</f>
        <v>1</v>
      </c>
      <c r="E443" s="3" t="str">
        <f>IFERROR(__xludf.DUMMYFUNCTION("""COMPUTED_VALUE"""),"Quebra")</f>
        <v>Quebra</v>
      </c>
      <c r="F443" s="3" t="str">
        <f>IFERROR(__xludf.DUMMYFUNCTION("""COMPUTED_VALUE"""),"Paulo")</f>
        <v>Paulo</v>
      </c>
      <c r="G443" s="3" t="str">
        <f>IFERROR(__xludf.DUMMYFUNCTION("""COMPUTED_VALUE"""),"Quebrou durante manuseio")</f>
        <v>Quebrou durante manuseio</v>
      </c>
    </row>
    <row r="444">
      <c r="A444" s="2">
        <f>IFERROR(__xludf.DUMMYFUNCTION("""COMPUTED_VALUE"""),45909.0)</f>
        <v>45909</v>
      </c>
      <c r="B444" s="3" t="str">
        <f>IFERROR(__xludf.DUMMYFUNCTION("""COMPUTED_VALUE"""),"Ovo")</f>
        <v>Ovo</v>
      </c>
      <c r="C444" s="3" t="str">
        <f>IFERROR(__xludf.DUMMYFUNCTION("""COMPUTED_VALUE"""),"Insumo")</f>
        <v>Insumo</v>
      </c>
      <c r="D444" s="3">
        <f>IFERROR(__xludf.DUMMYFUNCTION("""COMPUTED_VALUE"""),1.0)</f>
        <v>1</v>
      </c>
      <c r="E444" s="3" t="str">
        <f>IFERROR(__xludf.DUMMYFUNCTION("""COMPUTED_VALUE"""),"Erro de processo")</f>
        <v>Erro de processo</v>
      </c>
      <c r="F444" s="3" t="str">
        <f>IFERROR(__xludf.DUMMYFUNCTION("""COMPUTED_VALUE"""),"Jonathan")</f>
        <v>Jonathan</v>
      </c>
      <c r="G444" s="3" t="str">
        <f>IFERROR(__xludf.DUMMYFUNCTION("""COMPUTED_VALUE"""),"Deixou cair.")</f>
        <v>Deixou cair.</v>
      </c>
    </row>
    <row r="445">
      <c r="A445" s="2">
        <f>IFERROR(__xludf.DUMMYFUNCTION("""COMPUTED_VALUE"""),45909.0)</f>
        <v>45909</v>
      </c>
      <c r="B445" s="3" t="str">
        <f>IFERROR(__xludf.DUMMYFUNCTION("""COMPUTED_VALUE"""),"Copo Shot")</f>
        <v>Copo Shot</v>
      </c>
      <c r="C445" s="3" t="str">
        <f>IFERROR(__xludf.DUMMYFUNCTION("""COMPUTED_VALUE"""),"Utensílio")</f>
        <v>Utensílio</v>
      </c>
      <c r="D445" s="3">
        <f>IFERROR(__xludf.DUMMYFUNCTION("""COMPUTED_VALUE"""),1.0)</f>
        <v>1</v>
      </c>
      <c r="E445" s="3" t="str">
        <f>IFERROR(__xludf.DUMMYFUNCTION("""COMPUTED_VALUE"""),"Quebra")</f>
        <v>Quebra</v>
      </c>
      <c r="F445" s="3" t="str">
        <f>IFERROR(__xludf.DUMMYFUNCTION("""COMPUTED_VALUE"""),"Alex")</f>
        <v>Alex</v>
      </c>
      <c r="G445" s="3" t="str">
        <f>IFERROR(__xludf.DUMMYFUNCTION("""COMPUTED_VALUE"""),"Encontrado trincado na bandeja de shots")</f>
        <v>Encontrado trincado na bandeja de shots</v>
      </c>
    </row>
    <row r="446">
      <c r="A446" s="2">
        <f>IFERROR(__xludf.DUMMYFUNCTION("""COMPUTED_VALUE"""),45909.0)</f>
        <v>45909</v>
      </c>
      <c r="B446" s="3" t="str">
        <f>IFERROR(__xludf.DUMMYFUNCTION("""COMPUTED_VALUE"""),"Pão de batata ")</f>
        <v>Pão de batata </v>
      </c>
      <c r="C446" s="3" t="str">
        <f>IFERROR(__xludf.DUMMYFUNCTION("""COMPUTED_VALUE"""),"Produto final")</f>
        <v>Produto final</v>
      </c>
      <c r="D446" s="3">
        <f>IFERROR(__xludf.DUMMYFUNCTION("""COMPUTED_VALUE"""),2.0)</f>
        <v>2</v>
      </c>
      <c r="E446" s="3" t="str">
        <f>IFERROR(__xludf.DUMMYFUNCTION("""COMPUTED_VALUE"""),"Erro de processo")</f>
        <v>Erro de processo</v>
      </c>
      <c r="F446" s="3" t="str">
        <f>IFERROR(__xludf.DUMMYFUNCTION("""COMPUTED_VALUE"""),"Melissa")</f>
        <v>Melissa</v>
      </c>
      <c r="G446" s="3" t="str">
        <f>IFERROR(__xludf.DUMMYFUNCTION("""COMPUTED_VALUE"""),"Passou do ponto ")</f>
        <v>Passou do ponto </v>
      </c>
    </row>
    <row r="447">
      <c r="A447" s="2">
        <f>IFERROR(__xludf.DUMMYFUNCTION("""COMPUTED_VALUE"""),45909.0)</f>
        <v>45909</v>
      </c>
      <c r="B447" s="3" t="str">
        <f>IFERROR(__xludf.DUMMYFUNCTION("""COMPUTED_VALUE"""),"Massa de tapioca ")</f>
        <v>Massa de tapioca </v>
      </c>
      <c r="C447" s="3" t="str">
        <f>IFERROR(__xludf.DUMMYFUNCTION("""COMPUTED_VALUE"""),"Produto final")</f>
        <v>Produto final</v>
      </c>
      <c r="D447" s="3" t="str">
        <f>IFERROR(__xludf.DUMMYFUNCTION("""COMPUTED_VALUE"""),"70g")</f>
        <v>70g</v>
      </c>
      <c r="E447" s="3" t="str">
        <f>IFERROR(__xludf.DUMMYFUNCTION("""COMPUTED_VALUE"""),"Erro de processo")</f>
        <v>Erro de processo</v>
      </c>
      <c r="F447" s="3" t="str">
        <f>IFERROR(__xludf.DUMMYFUNCTION("""COMPUTED_VALUE"""),"Jonathan")</f>
        <v>Jonathan</v>
      </c>
      <c r="G447" s="3" t="str">
        <f>IFERROR(__xludf.DUMMYFUNCTION("""COMPUTED_VALUE"""),"Massa desmanchou todos")</f>
        <v>Massa desmanchou todos</v>
      </c>
    </row>
    <row r="448">
      <c r="A448" s="2">
        <f>IFERROR(__xludf.DUMMYFUNCTION("""COMPUTED_VALUE"""),45910.0)</f>
        <v>45910</v>
      </c>
      <c r="B448" s="3" t="str">
        <f>IFERROR(__xludf.DUMMYFUNCTION("""COMPUTED_VALUE"""),"Água com gás ")</f>
        <v>Água com gás </v>
      </c>
      <c r="C448" s="3" t="str">
        <f>IFERROR(__xludf.DUMMYFUNCTION("""COMPUTED_VALUE"""),"Produto final")</f>
        <v>Produto final</v>
      </c>
      <c r="D448" s="3">
        <f>IFERROR(__xludf.DUMMYFUNCTION("""COMPUTED_VALUE"""),1.0)</f>
        <v>1</v>
      </c>
      <c r="E448" s="3" t="str">
        <f>IFERROR(__xludf.DUMMYFUNCTION("""COMPUTED_VALUE"""),"Lançamento errado")</f>
        <v>Lançamento errado</v>
      </c>
      <c r="F448" s="3" t="str">
        <f>IFERROR(__xludf.DUMMYFUNCTION("""COMPUTED_VALUE"""),"Marilene")</f>
        <v>Marilene</v>
      </c>
      <c r="G448" s="3" t="str">
        <f>IFERROR(__xludf.DUMMYFUNCTION("""COMPUTED_VALUE"""),"Pamela lançou com gás cliente falou era sem gás ")</f>
        <v>Pamela lançou com gás cliente falou era sem gás </v>
      </c>
    </row>
    <row r="449">
      <c r="A449" s="2">
        <f>IFERROR(__xludf.DUMMYFUNCTION("""COMPUTED_VALUE"""),45910.0)</f>
        <v>45910</v>
      </c>
      <c r="B449" s="3" t="str">
        <f>IFERROR(__xludf.DUMMYFUNCTION("""COMPUTED_VALUE"""),"coxinha")</f>
        <v>coxinha</v>
      </c>
      <c r="C449" s="3" t="str">
        <f>IFERROR(__xludf.DUMMYFUNCTION("""COMPUTED_VALUE"""),"Insumo")</f>
        <v>Insumo</v>
      </c>
      <c r="D449" s="3">
        <f>IFERROR(__xludf.DUMMYFUNCTION("""COMPUTED_VALUE"""),1.0)</f>
        <v>1</v>
      </c>
      <c r="E449" s="3" t="str">
        <f>IFERROR(__xludf.DUMMYFUNCTION("""COMPUTED_VALUE"""),"Cliente")</f>
        <v>Cliente</v>
      </c>
      <c r="F449" s="3" t="str">
        <f>IFERROR(__xludf.DUMMYFUNCTION("""COMPUTED_VALUE"""),"Ana Júlia")</f>
        <v>Ana Júlia</v>
      </c>
      <c r="G449" s="3" t="str">
        <f>IFERROR(__xludf.DUMMYFUNCTION("""COMPUTED_VALUE"""),"cliente disse que o gosto estava estranho e nao quis")</f>
        <v>cliente disse que o gosto estava estranho e nao quis</v>
      </c>
    </row>
    <row r="450">
      <c r="A450" s="2">
        <f>IFERROR(__xludf.DUMMYFUNCTION("""COMPUTED_VALUE"""),45911.0)</f>
        <v>45911</v>
      </c>
      <c r="B450" s="3" t="str">
        <f>IFERROR(__xludf.DUMMYFUNCTION("""COMPUTED_VALUE"""),"Tapioca marguerita")</f>
        <v>Tapioca marguerita</v>
      </c>
      <c r="C450" s="3" t="str">
        <f>IFERROR(__xludf.DUMMYFUNCTION("""COMPUTED_VALUE"""),"Produto final")</f>
        <v>Produto final</v>
      </c>
      <c r="D450" s="3">
        <f>IFERROR(__xludf.DUMMYFUNCTION("""COMPUTED_VALUE"""),1.0)</f>
        <v>1</v>
      </c>
      <c r="E450" s="3" t="str">
        <f>IFERROR(__xludf.DUMMYFUNCTION("""COMPUTED_VALUE"""),"Cliente")</f>
        <v>Cliente</v>
      </c>
      <c r="F450" s="3" t="str">
        <f>IFERROR(__xludf.DUMMYFUNCTION("""COMPUTED_VALUE"""),"Beatriz")</f>
        <v>Beatriz</v>
      </c>
      <c r="G450" s="3" t="str">
        <f>IFERROR(__xludf.DUMMYFUNCTION("""COMPUTED_VALUE"""),"Cliente falou é massa estava muito dura ")</f>
        <v>Cliente falou é massa estava muito dura </v>
      </c>
    </row>
    <row r="451">
      <c r="A451" s="2">
        <f>IFERROR(__xludf.DUMMYFUNCTION("""COMPUTED_VALUE"""),45912.0)</f>
        <v>45912</v>
      </c>
      <c r="B451" s="3" t="str">
        <f>IFERROR(__xludf.DUMMYFUNCTION("""COMPUTED_VALUE"""),"Peito de peru")</f>
        <v>Peito de peru</v>
      </c>
      <c r="C451" s="3" t="str">
        <f>IFERROR(__xludf.DUMMYFUNCTION("""COMPUTED_VALUE"""),"Produto final")</f>
        <v>Produto final</v>
      </c>
      <c r="D451" s="3" t="str">
        <f>IFERROR(__xludf.DUMMYFUNCTION("""COMPUTED_VALUE"""),"120g")</f>
        <v>120g</v>
      </c>
      <c r="E451" s="3" t="str">
        <f>IFERROR(__xludf.DUMMYFUNCTION("""COMPUTED_VALUE"""),"Venceu (Validade)")</f>
        <v>Venceu (Validade)</v>
      </c>
      <c r="F451" s="3" t="str">
        <f>IFERROR(__xludf.DUMMYFUNCTION("""COMPUTED_VALUE"""),"Francisca")</f>
        <v>Francisca</v>
      </c>
      <c r="G451" s="3" t="str">
        <f>IFERROR(__xludf.DUMMYFUNCTION("""COMPUTED_VALUE"""),"Estava com cheiro Rui ")</f>
        <v>Estava com cheiro Rui </v>
      </c>
    </row>
    <row r="452">
      <c r="A452" s="2">
        <f>IFERROR(__xludf.DUMMYFUNCTION("""COMPUTED_VALUE"""),45912.0)</f>
        <v>45912</v>
      </c>
      <c r="B452" s="3" t="str">
        <f>IFERROR(__xludf.DUMMYFUNCTION("""COMPUTED_VALUE"""),"Torta Sweet pai ")</f>
        <v>Torta Sweet pai </v>
      </c>
      <c r="C452" s="3" t="str">
        <f>IFERROR(__xludf.DUMMYFUNCTION("""COMPUTED_VALUE"""),"Produto final")</f>
        <v>Produto final</v>
      </c>
      <c r="D452" s="3">
        <f>IFERROR(__xludf.DUMMYFUNCTION("""COMPUTED_VALUE"""),1.0)</f>
        <v>1</v>
      </c>
      <c r="E452" s="3" t="str">
        <f>IFERROR(__xludf.DUMMYFUNCTION("""COMPUTED_VALUE"""),"Cliente")</f>
        <v>Cliente</v>
      </c>
      <c r="F452" s="3" t="str">
        <f>IFERROR(__xludf.DUMMYFUNCTION("""COMPUTED_VALUE"""),"Marilene")</f>
        <v>Marilene</v>
      </c>
      <c r="G452" s="3" t="str">
        <f>IFERROR(__xludf.DUMMYFUNCTION("""COMPUTED_VALUE"""),"Falou fatia estava muito pequeno ")</f>
        <v>Falou fatia estava muito pequeno </v>
      </c>
    </row>
    <row r="453">
      <c r="A453" s="2">
        <f>IFERROR(__xludf.DUMMYFUNCTION("""COMPUTED_VALUE"""),45912.0)</f>
        <v>45912</v>
      </c>
      <c r="B453" s="3" t="str">
        <f>IFERROR(__xludf.DUMMYFUNCTION("""COMPUTED_VALUE"""),"Torta de limão ")</f>
        <v>Torta de limão </v>
      </c>
      <c r="C453" s="3" t="str">
        <f>IFERROR(__xludf.DUMMYFUNCTION("""COMPUTED_VALUE"""),"Produto final")</f>
        <v>Produto final</v>
      </c>
      <c r="D453" s="3">
        <f>IFERROR(__xludf.DUMMYFUNCTION("""COMPUTED_VALUE"""),1.0)</f>
        <v>1</v>
      </c>
      <c r="E453" s="3" t="str">
        <f>IFERROR(__xludf.DUMMYFUNCTION("""COMPUTED_VALUE"""),"Cliente")</f>
        <v>Cliente</v>
      </c>
      <c r="F453" s="3" t="str">
        <f>IFERROR(__xludf.DUMMYFUNCTION("""COMPUTED_VALUE"""),"Marilene")</f>
        <v>Marilene</v>
      </c>
      <c r="G453" s="3" t="str">
        <f>IFERROR(__xludf.DUMMYFUNCTION("""COMPUTED_VALUE"""),"Cliente falou chantilly estava duro devolver ")</f>
        <v>Cliente falou chantilly estava duro devolver </v>
      </c>
    </row>
    <row r="454">
      <c r="A454" s="2">
        <f>IFERROR(__xludf.DUMMYFUNCTION("""COMPUTED_VALUE"""),45912.0)</f>
        <v>45912</v>
      </c>
      <c r="B454" s="3" t="str">
        <f>IFERROR(__xludf.DUMMYFUNCTION("""COMPUTED_VALUE"""),"Torta brigadeiro ")</f>
        <v>Torta brigadeiro </v>
      </c>
      <c r="C454" s="3" t="str">
        <f>IFERROR(__xludf.DUMMYFUNCTION("""COMPUTED_VALUE"""),"Produto final")</f>
        <v>Produto final</v>
      </c>
      <c r="D454" s="3">
        <f>IFERROR(__xludf.DUMMYFUNCTION("""COMPUTED_VALUE"""),1.0)</f>
        <v>1</v>
      </c>
      <c r="E454" s="3" t="str">
        <f>IFERROR(__xludf.DUMMYFUNCTION("""COMPUTED_VALUE"""),"Cliente")</f>
        <v>Cliente</v>
      </c>
      <c r="F454" s="3" t="str">
        <f>IFERROR(__xludf.DUMMYFUNCTION("""COMPUTED_VALUE"""),"Marilene")</f>
        <v>Marilene</v>
      </c>
      <c r="G454" s="3" t="str">
        <f>IFERROR(__xludf.DUMMYFUNCTION("""COMPUTED_VALUE"""),"Cliente falou a massa estava muito rescada e devolveu ")</f>
        <v>Cliente falou a massa estava muito rescada e devolveu </v>
      </c>
    </row>
    <row r="455">
      <c r="A455" s="2">
        <f>IFERROR(__xludf.DUMMYFUNCTION("""COMPUTED_VALUE"""),45913.0)</f>
        <v>45913</v>
      </c>
      <c r="B455" s="3" t="str">
        <f>IFERROR(__xludf.DUMMYFUNCTION("""COMPUTED_VALUE"""),"Prensa ")</f>
        <v>Prensa </v>
      </c>
      <c r="C455" s="3" t="str">
        <f>IFERROR(__xludf.DUMMYFUNCTION("""COMPUTED_VALUE"""),"Utensílio")</f>
        <v>Utensílio</v>
      </c>
      <c r="D455" s="3">
        <f>IFERROR(__xludf.DUMMYFUNCTION("""COMPUTED_VALUE"""),1.0)</f>
        <v>1</v>
      </c>
      <c r="E455" s="3" t="str">
        <f>IFERROR(__xludf.DUMMYFUNCTION("""COMPUTED_VALUE"""),"Quebra")</f>
        <v>Quebra</v>
      </c>
      <c r="F455" s="3" t="str">
        <f>IFERROR(__xludf.DUMMYFUNCTION("""COMPUTED_VALUE"""),"Paulo")</f>
        <v>Paulo</v>
      </c>
      <c r="G455" s="3" t="str">
        <f>IFERROR(__xludf.DUMMYFUNCTION("""COMPUTED_VALUE"""),"Quebra ao manusear ")</f>
        <v>Quebra ao manusear </v>
      </c>
    </row>
    <row r="456">
      <c r="A456" s="2">
        <f>IFERROR(__xludf.DUMMYFUNCTION("""COMPUTED_VALUE"""),45915.0)</f>
        <v>45915</v>
      </c>
      <c r="B456" s="3" t="str">
        <f>IFERROR(__xludf.DUMMYFUNCTION("""COMPUTED_VALUE"""),"Garfo grande")</f>
        <v>Garfo grande</v>
      </c>
      <c r="C456" s="3" t="str">
        <f>IFERROR(__xludf.DUMMYFUNCTION("""COMPUTED_VALUE"""),"Utensílio")</f>
        <v>Utensílio</v>
      </c>
      <c r="D456" s="3">
        <f>IFERROR(__xludf.DUMMYFUNCTION("""COMPUTED_VALUE"""),1.0)</f>
        <v>1</v>
      </c>
      <c r="E456" s="3" t="str">
        <f>IFERROR(__xludf.DUMMYFUNCTION("""COMPUTED_VALUE"""),"Outro")</f>
        <v>Outro</v>
      </c>
      <c r="F456" s="3" t="str">
        <f>IFERROR(__xludf.DUMMYFUNCTION("""COMPUTED_VALUE"""),"Alex")</f>
        <v>Alex</v>
      </c>
      <c r="G456" s="3" t="str">
        <f>IFERROR(__xludf.DUMMYFUNCTION("""COMPUTED_VALUE"""),"Rebarba metálica cortante")</f>
        <v>Rebarba metálica cortante</v>
      </c>
    </row>
    <row r="457">
      <c r="A457" s="2">
        <f>IFERROR(__xludf.DUMMYFUNCTION("""COMPUTED_VALUE"""),45915.0)</f>
        <v>45915</v>
      </c>
      <c r="B457" s="3" t="str">
        <f>IFERROR(__xludf.DUMMYFUNCTION("""COMPUTED_VALUE"""),"Ovo")</f>
        <v>Ovo</v>
      </c>
      <c r="C457" s="3" t="str">
        <f>IFERROR(__xludf.DUMMYFUNCTION("""COMPUTED_VALUE"""),"Insumo")</f>
        <v>Insumo</v>
      </c>
      <c r="D457" s="3">
        <f>IFERROR(__xludf.DUMMYFUNCTION("""COMPUTED_VALUE"""),1.0)</f>
        <v>1</v>
      </c>
      <c r="E457" s="3" t="str">
        <f>IFERROR(__xludf.DUMMYFUNCTION("""COMPUTED_VALUE"""),"Quebra")</f>
        <v>Quebra</v>
      </c>
      <c r="F457" s="3" t="str">
        <f>IFERROR(__xludf.DUMMYFUNCTION("""COMPUTED_VALUE"""),"Jonathan")</f>
        <v>Jonathan</v>
      </c>
      <c r="G457" s="3" t="str">
        <f>IFERROR(__xludf.DUMMYFUNCTION("""COMPUTED_VALUE"""),"Veio quebrado na bandeja (compras)")</f>
        <v>Veio quebrado na bandeja (compras)</v>
      </c>
    </row>
    <row r="458">
      <c r="A458" s="2">
        <f>IFERROR(__xludf.DUMMYFUNCTION("""COMPUTED_VALUE"""),45916.0)</f>
        <v>45916</v>
      </c>
      <c r="B458" s="3" t="str">
        <f>IFERROR(__xludf.DUMMYFUNCTION("""COMPUTED_VALUE"""),"Suco de morango ao leite")</f>
        <v>Suco de morango ao leite</v>
      </c>
      <c r="C458" s="3" t="str">
        <f>IFERROR(__xludf.DUMMYFUNCTION("""COMPUTED_VALUE"""),"Produto final")</f>
        <v>Produto final</v>
      </c>
      <c r="D458" s="3">
        <f>IFERROR(__xludf.DUMMYFUNCTION("""COMPUTED_VALUE"""),1.0)</f>
        <v>1</v>
      </c>
      <c r="E458" s="3" t="str">
        <f>IFERROR(__xludf.DUMMYFUNCTION("""COMPUTED_VALUE"""),"Cliente")</f>
        <v>Cliente</v>
      </c>
      <c r="F458" s="3" t="str">
        <f>IFERROR(__xludf.DUMMYFUNCTION("""COMPUTED_VALUE"""),"Marilene")</f>
        <v>Marilene</v>
      </c>
      <c r="G458" s="3" t="str">
        <f>IFERROR(__xludf.DUMMYFUNCTION("""COMPUTED_VALUE"""),"Cliente falou para pamala só tinha gosto de gelo")</f>
        <v>Cliente falou para pamala só tinha gosto de gelo</v>
      </c>
    </row>
    <row r="459">
      <c r="A459" s="2">
        <f>IFERROR(__xludf.DUMMYFUNCTION("""COMPUTED_VALUE"""),45916.0)</f>
        <v>45916</v>
      </c>
      <c r="B459" s="3" t="str">
        <f>IFERROR(__xludf.DUMMYFUNCTION("""COMPUTED_VALUE"""),"Coado blende")</f>
        <v>Coado blende</v>
      </c>
      <c r="C459" s="3" t="str">
        <f>IFERROR(__xludf.DUMMYFUNCTION("""COMPUTED_VALUE"""),"Produto final")</f>
        <v>Produto final</v>
      </c>
      <c r="D459" s="3">
        <f>IFERROR(__xludf.DUMMYFUNCTION("""COMPUTED_VALUE"""),1.0)</f>
        <v>1</v>
      </c>
      <c r="E459" s="3" t="str">
        <f>IFERROR(__xludf.DUMMYFUNCTION("""COMPUTED_VALUE"""),"Cliente")</f>
        <v>Cliente</v>
      </c>
      <c r="F459" s="3" t="str">
        <f>IFERROR(__xludf.DUMMYFUNCTION("""COMPUTED_VALUE"""),"Rafael")</f>
        <v>Rafael</v>
      </c>
      <c r="G459" s="3" t="str">
        <f>IFERROR(__xludf.DUMMYFUNCTION("""COMPUTED_VALUE"""),"Cliente falou estava muito fraco ")</f>
        <v>Cliente falou estava muito fraco </v>
      </c>
    </row>
    <row r="460">
      <c r="A460" s="2">
        <f>IFERROR(__xludf.DUMMYFUNCTION("""COMPUTED_VALUE"""),45917.0)</f>
        <v>45917</v>
      </c>
      <c r="B460" s="3" t="str">
        <f>IFERROR(__xludf.DUMMYFUNCTION("""COMPUTED_VALUE"""),"Prato sobremesa")</f>
        <v>Prato sobremesa</v>
      </c>
      <c r="C460" s="3" t="str">
        <f>IFERROR(__xludf.DUMMYFUNCTION("""COMPUTED_VALUE"""),"Utensílio")</f>
        <v>Utensílio</v>
      </c>
      <c r="D460" s="3">
        <f>IFERROR(__xludf.DUMMYFUNCTION("""COMPUTED_VALUE"""),1.0)</f>
        <v>1</v>
      </c>
      <c r="E460" s="3" t="str">
        <f>IFERROR(__xludf.DUMMYFUNCTION("""COMPUTED_VALUE"""),"Quebra")</f>
        <v>Quebra</v>
      </c>
      <c r="F460" s="3" t="str">
        <f>IFERROR(__xludf.DUMMYFUNCTION("""COMPUTED_VALUE"""),"Alex")</f>
        <v>Alex</v>
      </c>
      <c r="G460" s="3" t="str">
        <f>IFERROR(__xludf.DUMMYFUNCTION("""COMPUTED_VALUE"""),"Quebrou durante manuseio")</f>
        <v>Quebrou durante manuseio</v>
      </c>
    </row>
    <row r="461">
      <c r="A461" s="2">
        <f>IFERROR(__xludf.DUMMYFUNCTION("""COMPUTED_VALUE"""),45917.0)</f>
        <v>45917</v>
      </c>
      <c r="B461" s="3" t="str">
        <f>IFERROR(__xludf.DUMMYFUNCTION("""COMPUTED_VALUE"""),"VEG Espresso Latte Duplo")</f>
        <v>VEG Espresso Latte Duplo</v>
      </c>
      <c r="C461" s="3" t="str">
        <f>IFERROR(__xludf.DUMMYFUNCTION("""COMPUTED_VALUE"""),"Produto final")</f>
        <v>Produto final</v>
      </c>
      <c r="D461" s="3">
        <f>IFERROR(__xludf.DUMMYFUNCTION("""COMPUTED_VALUE"""),1.0)</f>
        <v>1</v>
      </c>
      <c r="E461" s="3" t="str">
        <f>IFERROR(__xludf.DUMMYFUNCTION("""COMPUTED_VALUE"""),"Cliente")</f>
        <v>Cliente</v>
      </c>
      <c r="F461" s="3" t="str">
        <f>IFERROR(__xludf.DUMMYFUNCTION("""COMPUTED_VALUE"""),"Melissa")</f>
        <v>Melissa</v>
      </c>
      <c r="G461" s="3" t="str">
        <f>IFERROR(__xludf.DUMMYFUNCTION("""COMPUTED_VALUE"""),"Cliente solicitou troca por Coado Descafeinado")</f>
        <v>Cliente solicitou troca por Coado Descafeinado</v>
      </c>
    </row>
    <row r="462">
      <c r="A462" s="2">
        <f>IFERROR(__xludf.DUMMYFUNCTION("""COMPUTED_VALUE"""),45918.0)</f>
        <v>45918</v>
      </c>
      <c r="B462" s="3" t="str">
        <f>IFERROR(__xludf.DUMMYFUNCTION("""COMPUTED_VALUE"""),"Café avelã duplo ")</f>
        <v>Café avelã duplo </v>
      </c>
      <c r="C462" s="3" t="str">
        <f>IFERROR(__xludf.DUMMYFUNCTION("""COMPUTED_VALUE"""),"Produto final")</f>
        <v>Produto final</v>
      </c>
      <c r="D462" s="3">
        <f>IFERROR(__xludf.DUMMYFUNCTION("""COMPUTED_VALUE"""),1.0)</f>
        <v>1</v>
      </c>
      <c r="E462" s="3" t="str">
        <f>IFERROR(__xludf.DUMMYFUNCTION("""COMPUTED_VALUE"""),"Cliente")</f>
        <v>Cliente</v>
      </c>
      <c r="F462" s="3" t="str">
        <f>IFERROR(__xludf.DUMMYFUNCTION("""COMPUTED_VALUE"""),"Marilene")</f>
        <v>Marilene</v>
      </c>
      <c r="G462" s="3" t="str">
        <f>IFERROR(__xludf.DUMMYFUNCTION("""COMPUTED_VALUE"""),"Clientes devolvem falou pediu errado para pamala ")</f>
        <v>Clientes devolvem falou pediu errado para pamala </v>
      </c>
    </row>
    <row r="463">
      <c r="A463" s="2">
        <f>IFERROR(__xludf.DUMMYFUNCTION("""COMPUTED_VALUE"""),45921.0)</f>
        <v>45921</v>
      </c>
      <c r="B463" s="3" t="str">
        <f>IFERROR(__xludf.DUMMYFUNCTION("""COMPUTED_VALUE"""),"Copo grande ")</f>
        <v>Copo grande </v>
      </c>
      <c r="C463" s="3" t="str">
        <f>IFERROR(__xludf.DUMMYFUNCTION("""COMPUTED_VALUE"""),"Utensílio")</f>
        <v>Utensílio</v>
      </c>
      <c r="D463" s="3">
        <f>IFERROR(__xludf.DUMMYFUNCTION("""COMPUTED_VALUE"""),1.0)</f>
        <v>1</v>
      </c>
      <c r="E463" s="3" t="str">
        <f>IFERROR(__xludf.DUMMYFUNCTION("""COMPUTED_VALUE"""),"Quebra")</f>
        <v>Quebra</v>
      </c>
      <c r="F463" s="3" t="str">
        <f>IFERROR(__xludf.DUMMYFUNCTION("""COMPUTED_VALUE"""),"Jonathan")</f>
        <v>Jonathan</v>
      </c>
      <c r="G463" s="3" t="str">
        <f>IFERROR(__xludf.DUMMYFUNCTION("""COMPUTED_VALUE"""),"Quebrou a lava ")</f>
        <v>Quebrou a lava </v>
      </c>
    </row>
    <row r="464">
      <c r="A464" s="2">
        <f>IFERROR(__xludf.DUMMYFUNCTION("""COMPUTED_VALUE"""),45922.0)</f>
        <v>45922</v>
      </c>
      <c r="B464" s="3" t="str">
        <f>IFERROR(__xludf.DUMMYFUNCTION("""COMPUTED_VALUE"""),"estava quebrado")</f>
        <v>estava quebrado</v>
      </c>
      <c r="C464" s="3" t="str">
        <f>IFERROR(__xludf.DUMMYFUNCTION("""COMPUTED_VALUE"""),"Utensílio")</f>
        <v>Utensílio</v>
      </c>
      <c r="D464" s="3">
        <f>IFERROR(__xludf.DUMMYFUNCTION("""COMPUTED_VALUE"""),4.0)</f>
        <v>4</v>
      </c>
      <c r="E464" s="3" t="str">
        <f>IFERROR(__xludf.DUMMYFUNCTION("""COMPUTED_VALUE"""),"Quebra")</f>
        <v>Quebra</v>
      </c>
      <c r="F464" s="3" t="str">
        <f>IFERROR(__xludf.DUMMYFUNCTION("""COMPUTED_VALUE"""),"Edna")</f>
        <v>Edna</v>
      </c>
      <c r="G464" s="3" t="str">
        <f>IFERROR(__xludf.DUMMYFUNCTION("""COMPUTED_VALUE"""),"estavam todos quebrados")</f>
        <v>estavam todos quebrados</v>
      </c>
    </row>
    <row r="465">
      <c r="A465" s="2">
        <f>IFERROR(__xludf.DUMMYFUNCTION("""COMPUTED_VALUE"""),45922.0)</f>
        <v>45922</v>
      </c>
      <c r="B465" s="3" t="str">
        <f>IFERROR(__xludf.DUMMYFUNCTION("""COMPUTED_VALUE"""),"alface")</f>
        <v>alface</v>
      </c>
      <c r="C465" s="3" t="str">
        <f>IFERROR(__xludf.DUMMYFUNCTION("""COMPUTED_VALUE"""),"Hortifruti")</f>
        <v>Hortifruti</v>
      </c>
      <c r="D465" s="3" t="str">
        <f>IFERROR(__xludf.DUMMYFUNCTION("""COMPUTED_VALUE"""),"380g")</f>
        <v>380g</v>
      </c>
      <c r="E465" s="3" t="str">
        <f>IFERROR(__xludf.DUMMYFUNCTION("""COMPUTED_VALUE"""),"Venceu (Validade)")</f>
        <v>Venceu (Validade)</v>
      </c>
      <c r="F465" s="3" t="str">
        <f>IFERROR(__xludf.DUMMYFUNCTION("""COMPUTED_VALUE"""),"Edna")</f>
        <v>Edna</v>
      </c>
      <c r="G465" s="3" t="str">
        <f>IFERROR(__xludf.DUMMYFUNCTION("""COMPUTED_VALUE"""),"estava todo ruim")</f>
        <v>estava todo ruim</v>
      </c>
    </row>
    <row r="466">
      <c r="A466" s="2">
        <f>IFERROR(__xludf.DUMMYFUNCTION("""COMPUTED_VALUE"""),45922.0)</f>
        <v>45922</v>
      </c>
      <c r="B466" s="3" t="str">
        <f>IFERROR(__xludf.DUMMYFUNCTION("""COMPUTED_VALUE"""),"pote")</f>
        <v>pote</v>
      </c>
      <c r="C466" s="3" t="str">
        <f>IFERROR(__xludf.DUMMYFUNCTION("""COMPUTED_VALUE"""),"Utensílio")</f>
        <v>Utensílio</v>
      </c>
      <c r="D466" s="3">
        <f>IFERROR(__xludf.DUMMYFUNCTION("""COMPUTED_VALUE"""),1.0)</f>
        <v>1</v>
      </c>
      <c r="E466" s="3" t="str">
        <f>IFERROR(__xludf.DUMMYFUNCTION("""COMPUTED_VALUE"""),"Quebra")</f>
        <v>Quebra</v>
      </c>
      <c r="F466" s="3" t="str">
        <f>IFERROR(__xludf.DUMMYFUNCTION("""COMPUTED_VALUE"""),"Edna")</f>
        <v>Edna</v>
      </c>
      <c r="G466" s="3" t="str">
        <f>IFERROR(__xludf.DUMMYFUNCTION("""COMPUTED_VALUE"""),"quebrou ao retirar do freezer")</f>
        <v>quebrou ao retirar do freezer</v>
      </c>
    </row>
    <row r="467">
      <c r="A467" s="2">
        <f>IFERROR(__xludf.DUMMYFUNCTION("""COMPUTED_VALUE"""),45924.0)</f>
        <v>45924</v>
      </c>
      <c r="B467" s="3" t="str">
        <f>IFERROR(__xludf.DUMMYFUNCTION("""COMPUTED_VALUE"""),"xicara grande")</f>
        <v>xicara grande</v>
      </c>
      <c r="C467" s="3" t="str">
        <f>IFERROR(__xludf.DUMMYFUNCTION("""COMPUTED_VALUE"""),"Utensílio")</f>
        <v>Utensílio</v>
      </c>
      <c r="D467" s="3">
        <f>IFERROR(__xludf.DUMMYFUNCTION("""COMPUTED_VALUE"""),1.0)</f>
        <v>1</v>
      </c>
      <c r="E467" s="3" t="str">
        <f>IFERROR(__xludf.DUMMYFUNCTION("""COMPUTED_VALUE"""),"Quebra")</f>
        <v>Quebra</v>
      </c>
      <c r="F467" s="3" t="str">
        <f>IFERROR(__xludf.DUMMYFUNCTION("""COMPUTED_VALUE"""),"Francisca")</f>
        <v>Francisca</v>
      </c>
      <c r="G467" s="3" t="str">
        <f>IFERROR(__xludf.DUMMYFUNCTION("""COMPUTED_VALUE"""),"deixou cair ao guarda")</f>
        <v>deixou cair ao guarda</v>
      </c>
    </row>
    <row r="468">
      <c r="A468" s="2">
        <f>IFERROR(__xludf.DUMMYFUNCTION("""COMPUTED_VALUE"""),45924.0)</f>
        <v>45924</v>
      </c>
      <c r="B468" s="3" t="str">
        <f>IFERROR(__xludf.DUMMYFUNCTION("""COMPUTED_VALUE"""),"2 unidade de pao de quijo da porcao")</f>
        <v>2 unidade de pao de quijo da porcao</v>
      </c>
      <c r="C468" s="3" t="str">
        <f>IFERROR(__xludf.DUMMYFUNCTION("""COMPUTED_VALUE"""),"Produto final")</f>
        <v>Produto final</v>
      </c>
      <c r="D468" s="3" t="str">
        <f>IFERROR(__xludf.DUMMYFUNCTION("""COMPUTED_VALUE"""),"2 unidade de pao de quijo da porcao")</f>
        <v>2 unidade de pao de quijo da porcao</v>
      </c>
      <c r="E468" s="3" t="str">
        <f>IFERROR(__xludf.DUMMYFUNCTION("""COMPUTED_VALUE"""),"Cliente")</f>
        <v>Cliente</v>
      </c>
      <c r="F468" s="3" t="str">
        <f>IFERROR(__xludf.DUMMYFUNCTION("""COMPUTED_VALUE"""),"Marilene")</f>
        <v>Marilene</v>
      </c>
      <c r="G468" s="3" t="str">
        <f>IFERROR(__xludf.DUMMYFUNCTION("""COMPUTED_VALUE"""),"cliente come so 2 unidade e devolve restante da porcao falou estava  com muito sal")</f>
        <v>cliente come so 2 unidade e devolve restante da porcao falou estava  com muito sal</v>
      </c>
    </row>
    <row r="469">
      <c r="A469" s="2">
        <f>IFERROR(__xludf.DUMMYFUNCTION("""COMPUTED_VALUE"""),45924.0)</f>
        <v>45924</v>
      </c>
      <c r="B469" s="3" t="str">
        <f>IFERROR(__xludf.DUMMYFUNCTION("""COMPUTED_VALUE"""),"toxte de pao de quijo pizza")</f>
        <v>toxte de pao de quijo pizza</v>
      </c>
      <c r="C469" s="3" t="str">
        <f>IFERROR(__xludf.DUMMYFUNCTION("""COMPUTED_VALUE"""),"Produto final")</f>
        <v>Produto final</v>
      </c>
      <c r="D469" s="3">
        <f>IFERROR(__xludf.DUMMYFUNCTION("""COMPUTED_VALUE"""),1.0)</f>
        <v>1</v>
      </c>
      <c r="E469" s="3" t="str">
        <f>IFERROR(__xludf.DUMMYFUNCTION("""COMPUTED_VALUE"""),"Erro de processo")</f>
        <v>Erro de processo</v>
      </c>
      <c r="F469" s="3" t="str">
        <f>IFERROR(__xludf.DUMMYFUNCTION("""COMPUTED_VALUE"""),"Francisca")</f>
        <v>Francisca</v>
      </c>
      <c r="G469" s="3" t="str">
        <f>IFERROR(__xludf.DUMMYFUNCTION("""COMPUTED_VALUE"""),"fez errado era misto")</f>
        <v>fez errado era misto</v>
      </c>
    </row>
    <row r="470">
      <c r="A470" s="2">
        <f>IFERROR(__xludf.DUMMYFUNCTION("""COMPUTED_VALUE"""),45926.0)</f>
        <v>45926</v>
      </c>
      <c r="B470" s="3" t="str">
        <f>IFERROR(__xludf.DUMMYFUNCTION("""COMPUTED_VALUE"""),"Pão de queijo da porção ")</f>
        <v>Pão de queijo da porção </v>
      </c>
      <c r="C470" s="3" t="str">
        <f>IFERROR(__xludf.DUMMYFUNCTION("""COMPUTED_VALUE"""),"Produto final")</f>
        <v>Produto final</v>
      </c>
      <c r="D470" s="3" t="str">
        <f>IFERROR(__xludf.DUMMYFUNCTION("""COMPUTED_VALUE"""),"16 unidades ")</f>
        <v>16 unidades </v>
      </c>
      <c r="E470" s="3" t="str">
        <f>IFERROR(__xludf.DUMMYFUNCTION("""COMPUTED_VALUE"""),"Erro de processo")</f>
        <v>Erro de processo</v>
      </c>
      <c r="F470" s="3" t="str">
        <f>IFERROR(__xludf.DUMMYFUNCTION("""COMPUTED_VALUE"""),"Edna")</f>
        <v>Edna</v>
      </c>
      <c r="G470" s="3" t="str">
        <f>IFERROR(__xludf.DUMMYFUNCTION("""COMPUTED_VALUE"""),"Deixou passa do ponto quimou ")</f>
        <v>Deixou passa do ponto quimou </v>
      </c>
    </row>
    <row r="471">
      <c r="A471" s="2">
        <f>IFERROR(__xludf.DUMMYFUNCTION("""COMPUTED_VALUE"""),45927.0)</f>
        <v>45927</v>
      </c>
      <c r="B471" s="3" t="str">
        <f>IFERROR(__xludf.DUMMYFUNCTION("""COMPUTED_VALUE"""),"Suco Laranja com acerola")</f>
        <v>Suco Laranja com acerola</v>
      </c>
      <c r="C471" s="3" t="str">
        <f>IFERROR(__xludf.DUMMYFUNCTION("""COMPUTED_VALUE"""),"Produto final")</f>
        <v>Produto final</v>
      </c>
      <c r="D471" s="3">
        <f>IFERROR(__xludf.DUMMYFUNCTION("""COMPUTED_VALUE"""),1.0)</f>
        <v>1</v>
      </c>
      <c r="E471" s="3" t="str">
        <f>IFERROR(__xludf.DUMMYFUNCTION("""COMPUTED_VALUE"""),"Lançamento errado")</f>
        <v>Lançamento errado</v>
      </c>
      <c r="F471" s="3" t="str">
        <f>IFERROR(__xludf.DUMMYFUNCTION("""COMPUTED_VALUE"""),"Melissa")</f>
        <v>Melissa</v>
      </c>
      <c r="G471" s="3" t="str">
        <f>IFERROR(__xludf.DUMMYFUNCTION("""COMPUTED_VALUE"""),"Digitou a mais no pedido")</f>
        <v>Digitou a mais no pedido</v>
      </c>
    </row>
    <row r="472">
      <c r="A472" s="2">
        <f>IFERROR(__xludf.DUMMYFUNCTION("""COMPUTED_VALUE"""),45929.0)</f>
        <v>45929</v>
      </c>
      <c r="B472" s="3" t="str">
        <f>IFERROR(__xludf.DUMMYFUNCTION("""COMPUTED_VALUE"""),"Ice Cappuccino")</f>
        <v>Ice Cappuccino</v>
      </c>
      <c r="C472" s="3" t="str">
        <f>IFERROR(__xludf.DUMMYFUNCTION("""COMPUTED_VALUE"""),"Produto final")</f>
        <v>Produto final</v>
      </c>
      <c r="D472" s="3">
        <f>IFERROR(__xludf.DUMMYFUNCTION("""COMPUTED_VALUE"""),1.0)</f>
        <v>1</v>
      </c>
      <c r="E472" s="3" t="str">
        <f>IFERROR(__xludf.DUMMYFUNCTION("""COMPUTED_VALUE"""),"Cliente")</f>
        <v>Cliente</v>
      </c>
      <c r="F472" s="3" t="str">
        <f>IFERROR(__xludf.DUMMYFUNCTION("""COMPUTED_VALUE"""),"Beatriz")</f>
        <v>Beatriz</v>
      </c>
      <c r="G472" s="3" t="str">
        <f>IFERROR(__xludf.DUMMYFUNCTION("""COMPUTED_VALUE"""),"Cliente pediu e para viagem não conseguiu efetuar o pagamento.")</f>
        <v>Cliente pediu e para viagem não conseguiu efetuar o pagamento.</v>
      </c>
    </row>
    <row r="473">
      <c r="A473" s="2">
        <f>IFERROR(__xludf.DUMMYFUNCTION("""COMPUTED_VALUE"""),45930.0)</f>
        <v>45930</v>
      </c>
      <c r="B473" s="3" t="str">
        <f>IFERROR(__xludf.DUMMYFUNCTION("""COMPUTED_VALUE"""),"Alface ")</f>
        <v>Alface </v>
      </c>
      <c r="C473" s="3" t="str">
        <f>IFERROR(__xludf.DUMMYFUNCTION("""COMPUTED_VALUE"""),"Produto final")</f>
        <v>Produto final</v>
      </c>
      <c r="D473" s="3" t="str">
        <f>IFERROR(__xludf.DUMMYFUNCTION("""COMPUTED_VALUE"""),"597g")</f>
        <v>597g</v>
      </c>
      <c r="E473" s="3" t="str">
        <f>IFERROR(__xludf.DUMMYFUNCTION("""COMPUTED_VALUE"""),"Venceu (Validade)")</f>
        <v>Venceu (Validade)</v>
      </c>
      <c r="F473" s="3" t="str">
        <f>IFERROR(__xludf.DUMMYFUNCTION("""COMPUTED_VALUE"""),"Ana Júlia")</f>
        <v>Ana Júlia</v>
      </c>
      <c r="G473" s="3" t="str">
        <f>IFERROR(__xludf.DUMMYFUNCTION("""COMPUTED_VALUE"""),"Já estava rui")</f>
        <v>Já estava rui</v>
      </c>
    </row>
    <row r="474">
      <c r="A474" s="2">
        <f>IFERROR(__xludf.DUMMYFUNCTION("""COMPUTED_VALUE"""),45930.0)</f>
        <v>45930</v>
      </c>
      <c r="B474" s="3" t="str">
        <f>IFERROR(__xludf.DUMMYFUNCTION("""COMPUTED_VALUE"""),"Latte duplo ")</f>
        <v>Latte duplo </v>
      </c>
      <c r="C474" s="3" t="str">
        <f>IFERROR(__xludf.DUMMYFUNCTION("""COMPUTED_VALUE"""),"Produto final")</f>
        <v>Produto final</v>
      </c>
      <c r="D474" s="3">
        <f>IFERROR(__xludf.DUMMYFUNCTION("""COMPUTED_VALUE"""),1.0)</f>
        <v>1</v>
      </c>
      <c r="E474" s="3" t="str">
        <f>IFERROR(__xludf.DUMMYFUNCTION("""COMPUTED_VALUE"""),"Cliente")</f>
        <v>Cliente</v>
      </c>
      <c r="F474" s="3" t="str">
        <f>IFERROR(__xludf.DUMMYFUNCTION("""COMPUTED_VALUE"""),"Marilene")</f>
        <v>Marilene</v>
      </c>
      <c r="G474" s="3" t="str">
        <f>IFERROR(__xludf.DUMMYFUNCTION("""COMPUTED_VALUE"""),"Cliente fala estava Rui não quise outra ")</f>
        <v>Cliente fala estava Rui não quise outra </v>
      </c>
    </row>
    <row r="475">
      <c r="A475" s="2">
        <f>IFERROR(__xludf.DUMMYFUNCTION("""COMPUTED_VALUE"""),45931.0)</f>
        <v>45931</v>
      </c>
      <c r="B475" s="3" t="str">
        <f>IFERROR(__xludf.DUMMYFUNCTION("""COMPUTED_VALUE"""),"Torta Cheescake")</f>
        <v>Torta Cheescake</v>
      </c>
      <c r="C475" s="3" t="str">
        <f>IFERROR(__xludf.DUMMYFUNCTION("""COMPUTED_VALUE"""),"Produto final")</f>
        <v>Produto final</v>
      </c>
      <c r="D475" s="3">
        <f>IFERROR(__xludf.DUMMYFUNCTION("""COMPUTED_VALUE"""),4.0)</f>
        <v>4</v>
      </c>
      <c r="E475" s="3" t="str">
        <f>IFERROR(__xludf.DUMMYFUNCTION("""COMPUTED_VALUE"""),"Venceu (Validade)")</f>
        <v>Venceu (Validade)</v>
      </c>
      <c r="F475" s="3" t="str">
        <f>IFERROR(__xludf.DUMMYFUNCTION("""COMPUTED_VALUE"""),"Marilene")</f>
        <v>Marilene</v>
      </c>
      <c r="G475" s="3" t="str">
        <f>IFERROR(__xludf.DUMMYFUNCTION("""COMPUTED_VALUE"""),"Vencida na vitrine")</f>
        <v>Vencida na vitrine</v>
      </c>
    </row>
    <row r="476">
      <c r="A476" s="2">
        <f>IFERROR(__xludf.DUMMYFUNCTION("""COMPUTED_VALUE"""),45933.0)</f>
        <v>45933</v>
      </c>
      <c r="B476" s="3" t="str">
        <f>IFERROR(__xludf.DUMMYFUNCTION("""COMPUTED_VALUE"""),"Bacon")</f>
        <v>Bacon</v>
      </c>
      <c r="C476" s="3" t="str">
        <f>IFERROR(__xludf.DUMMYFUNCTION("""COMPUTED_VALUE"""),"Insumo")</f>
        <v>Insumo</v>
      </c>
      <c r="D476" s="3" t="str">
        <f>IFERROR(__xludf.DUMMYFUNCTION("""COMPUTED_VALUE"""),"380g")</f>
        <v>380g</v>
      </c>
      <c r="E476" s="3" t="str">
        <f>IFERROR(__xludf.DUMMYFUNCTION("""COMPUTED_VALUE"""),"Venceu (Validade)")</f>
        <v>Venceu (Validade)</v>
      </c>
      <c r="F476" s="3" t="str">
        <f>IFERROR(__xludf.DUMMYFUNCTION("""COMPUTED_VALUE"""),"Melissa")</f>
        <v>Melissa</v>
      </c>
      <c r="G476" s="3" t="str">
        <f>IFERROR(__xludf.DUMMYFUNCTION("""COMPUTED_VALUE"""),"Cheiro ruim. Vencido")</f>
        <v>Cheiro ruim. Vencido</v>
      </c>
    </row>
    <row r="477">
      <c r="A477" s="2">
        <f>IFERROR(__xludf.DUMMYFUNCTION("""COMPUTED_VALUE"""),45934.0)</f>
        <v>45934</v>
      </c>
      <c r="B477" s="3" t="str">
        <f>IFERROR(__xludf.DUMMYFUNCTION("""COMPUTED_VALUE"""),"Copo grande ")</f>
        <v>Copo grande </v>
      </c>
      <c r="C477" s="3" t="str">
        <f>IFERROR(__xludf.DUMMYFUNCTION("""COMPUTED_VALUE"""),"Utensílio")</f>
        <v>Utensílio</v>
      </c>
      <c r="D477" s="3">
        <f>IFERROR(__xludf.DUMMYFUNCTION("""COMPUTED_VALUE"""),1.0)</f>
        <v>1</v>
      </c>
      <c r="E477" s="3" t="str">
        <f>IFERROR(__xludf.DUMMYFUNCTION("""COMPUTED_VALUE"""),"Quebra")</f>
        <v>Quebra</v>
      </c>
      <c r="F477" s="3" t="str">
        <f>IFERROR(__xludf.DUMMYFUNCTION("""COMPUTED_VALUE"""),"Ana Júlia")</f>
        <v>Ana Júlia</v>
      </c>
      <c r="G477" s="3" t="str">
        <f>IFERROR(__xludf.DUMMYFUNCTION("""COMPUTED_VALUE"""),"Achou quebrado ")</f>
        <v>Achou quebrado </v>
      </c>
    </row>
    <row r="478">
      <c r="A478" s="2">
        <f>IFERROR(__xludf.DUMMYFUNCTION("""COMPUTED_VALUE"""),45934.0)</f>
        <v>45934</v>
      </c>
      <c r="B478" s="3" t="str">
        <f>IFERROR(__xludf.DUMMYFUNCTION("""COMPUTED_VALUE"""),"Pão de queijo ")</f>
        <v>Pão de queijo </v>
      </c>
      <c r="C478" s="3" t="str">
        <f>IFERROR(__xludf.DUMMYFUNCTION("""COMPUTED_VALUE"""),"Produto final")</f>
        <v>Produto final</v>
      </c>
      <c r="D478" s="3">
        <f>IFERROR(__xludf.DUMMYFUNCTION("""COMPUTED_VALUE"""),1.0)</f>
        <v>1</v>
      </c>
      <c r="E478" s="3" t="str">
        <f>IFERROR(__xludf.DUMMYFUNCTION("""COMPUTED_VALUE"""),"Erro de processo")</f>
        <v>Erro de processo</v>
      </c>
      <c r="F478" s="3" t="str">
        <f>IFERROR(__xludf.DUMMYFUNCTION("""COMPUTED_VALUE"""),"Brunna")</f>
        <v>Brunna</v>
      </c>
      <c r="G478" s="3" t="str">
        <f>IFERROR(__xludf.DUMMYFUNCTION("""COMPUTED_VALUE"""),"Deixou cair ")</f>
        <v>Deixou cair </v>
      </c>
    </row>
    <row r="479">
      <c r="A479" s="2">
        <f>IFERROR(__xludf.DUMMYFUNCTION("""COMPUTED_VALUE"""),45934.0)</f>
        <v>45934</v>
      </c>
      <c r="B479" s="3" t="str">
        <f>IFERROR(__xludf.DUMMYFUNCTION("""COMPUTED_VALUE"""),"Alface ")</f>
        <v>Alface </v>
      </c>
      <c r="C479" s="3" t="str">
        <f>IFERROR(__xludf.DUMMYFUNCTION("""COMPUTED_VALUE"""),"Produto final")</f>
        <v>Produto final</v>
      </c>
      <c r="D479" s="3" t="str">
        <f>IFERROR(__xludf.DUMMYFUNCTION("""COMPUTED_VALUE"""),"703 grama ")</f>
        <v>703 grama </v>
      </c>
      <c r="E479" s="3" t="str">
        <f>IFERROR(__xludf.DUMMYFUNCTION("""COMPUTED_VALUE"""),"Venceu (Validade)")</f>
        <v>Venceu (Validade)</v>
      </c>
      <c r="F479" s="3" t="str">
        <f>IFERROR(__xludf.DUMMYFUNCTION("""COMPUTED_VALUE"""),"Edna")</f>
        <v>Edna</v>
      </c>
      <c r="G479" s="3" t="str">
        <f>IFERROR(__xludf.DUMMYFUNCTION("""COMPUTED_VALUE"""),"Já estava escura ")</f>
        <v>Já estava escura </v>
      </c>
    </row>
    <row r="480">
      <c r="A480" s="2">
        <f>IFERROR(__xludf.DUMMYFUNCTION("""COMPUTED_VALUE"""),45935.0)</f>
        <v>45935</v>
      </c>
      <c r="B480" s="3" t="str">
        <f>IFERROR(__xludf.DUMMYFUNCTION("""COMPUTED_VALUE"""),"Pão de queijo unidade")</f>
        <v>Pão de queijo unidade</v>
      </c>
      <c r="C480" s="3" t="str">
        <f>IFERROR(__xludf.DUMMYFUNCTION("""COMPUTED_VALUE"""),"Produto final")</f>
        <v>Produto final</v>
      </c>
      <c r="D480" s="3">
        <f>IFERROR(__xludf.DUMMYFUNCTION("""COMPUTED_VALUE"""),6.0)</f>
        <v>6</v>
      </c>
      <c r="E480" s="3" t="str">
        <f>IFERROR(__xludf.DUMMYFUNCTION("""COMPUTED_VALUE"""),"Venceu (Validade)")</f>
        <v>Venceu (Validade)</v>
      </c>
      <c r="F480" s="3" t="str">
        <f>IFERROR(__xludf.DUMMYFUNCTION("""COMPUTED_VALUE"""),"Melissa")</f>
        <v>Melissa</v>
      </c>
      <c r="G480" s="3" t="str">
        <f>IFERROR(__xludf.DUMMYFUNCTION("""COMPUTED_VALUE"""),"Vencido na geladeira")</f>
        <v>Vencido na geladeira</v>
      </c>
    </row>
    <row r="481">
      <c r="A481" s="2">
        <f>IFERROR(__xludf.DUMMYFUNCTION("""COMPUTED_VALUE"""),45936.0)</f>
        <v>45936</v>
      </c>
      <c r="B481" s="3" t="str">
        <f>IFERROR(__xludf.DUMMYFUNCTION("""COMPUTED_VALUE"""),"chocolate gelado")</f>
        <v>chocolate gelado</v>
      </c>
      <c r="C481" s="3" t="str">
        <f>IFERROR(__xludf.DUMMYFUNCTION("""COMPUTED_VALUE"""),"Insumo")</f>
        <v>Insumo</v>
      </c>
      <c r="D481" s="3">
        <f>IFERROR(__xludf.DUMMYFUNCTION("""COMPUTED_VALUE"""),1.0)</f>
        <v>1</v>
      </c>
      <c r="E481" s="3" t="str">
        <f>IFERROR(__xludf.DUMMYFUNCTION("""COMPUTED_VALUE"""),"Lançamento errado")</f>
        <v>Lançamento errado</v>
      </c>
      <c r="F481" s="3" t="str">
        <f>IFERROR(__xludf.DUMMYFUNCTION("""COMPUTED_VALUE"""),"Patrícia")</f>
        <v>Patrícia</v>
      </c>
      <c r="G481" s="3" t="str">
        <f>IFERROR(__xludf.DUMMYFUNCTION("""COMPUTED_VALUE"""),"se confudiu")</f>
        <v>se confudiu</v>
      </c>
    </row>
    <row r="482">
      <c r="A482" s="2">
        <f>IFERROR(__xludf.DUMMYFUNCTION("""COMPUTED_VALUE"""),45936.0)</f>
        <v>45936</v>
      </c>
      <c r="B482" s="3" t="str">
        <f>IFERROR(__xludf.DUMMYFUNCTION("""COMPUTED_VALUE"""),"cafe mocca")</f>
        <v>cafe mocca</v>
      </c>
      <c r="C482" s="3" t="str">
        <f>IFERROR(__xludf.DUMMYFUNCTION("""COMPUTED_VALUE"""),"Insumo")</f>
        <v>Insumo</v>
      </c>
      <c r="D482" s="3">
        <f>IFERROR(__xludf.DUMMYFUNCTION("""COMPUTED_VALUE"""),1.0)</f>
        <v>1</v>
      </c>
      <c r="E482" s="3" t="str">
        <f>IFERROR(__xludf.DUMMYFUNCTION("""COMPUTED_VALUE"""),"Erro de processo")</f>
        <v>Erro de processo</v>
      </c>
      <c r="F482" s="3" t="str">
        <f>IFERROR(__xludf.DUMMYFUNCTION("""COMPUTED_VALUE"""),"Francisca")</f>
        <v>Francisca</v>
      </c>
      <c r="G482" s="3" t="str">
        <f>IFERROR(__xludf.DUMMYFUNCTION("""COMPUTED_VALUE"""),"era veganno e ela fez normal")</f>
        <v>era veganno e ela fez normal</v>
      </c>
    </row>
    <row r="483">
      <c r="A483" s="2">
        <f>IFERROR(__xludf.DUMMYFUNCTION("""COMPUTED_VALUE"""),45936.0)</f>
        <v>45936</v>
      </c>
      <c r="B483" s="3" t="str">
        <f>IFERROR(__xludf.DUMMYFUNCTION("""COMPUTED_VALUE"""),"copo xote")</f>
        <v>copo xote</v>
      </c>
      <c r="C483" s="3" t="str">
        <f>IFERROR(__xludf.DUMMYFUNCTION("""COMPUTED_VALUE"""),"Utensílio")</f>
        <v>Utensílio</v>
      </c>
      <c r="D483" s="3">
        <f>IFERROR(__xludf.DUMMYFUNCTION("""COMPUTED_VALUE"""),1.0)</f>
        <v>1</v>
      </c>
      <c r="E483" s="3" t="str">
        <f>IFERROR(__xludf.DUMMYFUNCTION("""COMPUTED_VALUE"""),"Quebra")</f>
        <v>Quebra</v>
      </c>
      <c r="F483" s="3" t="str">
        <f>IFERROR(__xludf.DUMMYFUNCTION("""COMPUTED_VALUE"""),"Rafael")</f>
        <v>Rafael</v>
      </c>
      <c r="G483" s="3" t="str">
        <f>IFERROR(__xludf.DUMMYFUNCTION("""COMPUTED_VALUE"""),"quebrou ao lavar")</f>
        <v>quebrou ao lavar</v>
      </c>
    </row>
    <row r="484">
      <c r="A484" s="2">
        <f>IFERROR(__xludf.DUMMYFUNCTION("""COMPUTED_VALUE"""),45938.0)</f>
        <v>45938</v>
      </c>
      <c r="B484" s="3" t="str">
        <f>IFERROR(__xludf.DUMMYFUNCTION("""COMPUTED_VALUE"""),"alface ")</f>
        <v>alface </v>
      </c>
      <c r="C484" s="3" t="str">
        <f>IFERROR(__xludf.DUMMYFUNCTION("""COMPUTED_VALUE"""),"Hortifruti")</f>
        <v>Hortifruti</v>
      </c>
      <c r="D484" s="3">
        <f>IFERROR(__xludf.DUMMYFUNCTION("""COMPUTED_VALUE"""),277.0)</f>
        <v>277</v>
      </c>
      <c r="E484" s="3" t="str">
        <f>IFERROR(__xludf.DUMMYFUNCTION("""COMPUTED_VALUE"""),"Venceu (Validade)")</f>
        <v>Venceu (Validade)</v>
      </c>
      <c r="F484" s="3" t="str">
        <f>IFERROR(__xludf.DUMMYFUNCTION("""COMPUTED_VALUE"""),"Edna")</f>
        <v>Edna</v>
      </c>
      <c r="G484" s="3" t="str">
        <f>IFERROR(__xludf.DUMMYFUNCTION("""COMPUTED_VALUE"""),"ja estava rui")</f>
        <v>ja estava rui</v>
      </c>
    </row>
    <row r="485">
      <c r="A485" s="2">
        <f>IFERROR(__xludf.DUMMYFUNCTION("""COMPUTED_VALUE"""),45939.0)</f>
        <v>45939</v>
      </c>
      <c r="B485" s="3" t="str">
        <f>IFERROR(__xludf.DUMMYFUNCTION("""COMPUTED_VALUE"""),"Tapioca Marguerita")</f>
        <v>Tapioca Marguerita</v>
      </c>
      <c r="C485" s="3" t="str">
        <f>IFERROR(__xludf.DUMMYFUNCTION("""COMPUTED_VALUE"""),"Produto final")</f>
        <v>Produto final</v>
      </c>
      <c r="D485" s="3">
        <f>IFERROR(__xludf.DUMMYFUNCTION("""COMPUTED_VALUE"""),1.0)</f>
        <v>1</v>
      </c>
      <c r="E485" s="3" t="str">
        <f>IFERROR(__xludf.DUMMYFUNCTION("""COMPUTED_VALUE"""),"Erro de processo")</f>
        <v>Erro de processo</v>
      </c>
      <c r="F485" s="3" t="str">
        <f>IFERROR(__xludf.DUMMYFUNCTION("""COMPUTED_VALUE"""),"Marilene")</f>
        <v>Marilene</v>
      </c>
      <c r="G485" s="3" t="str">
        <f>IFERROR(__xludf.DUMMYFUNCTION("""COMPUTED_VALUE"""),"Massa ficou crua")</f>
        <v>Massa ficou crua</v>
      </c>
    </row>
    <row r="486">
      <c r="A486" s="2">
        <f>IFERROR(__xludf.DUMMYFUNCTION("""COMPUTED_VALUE"""),45939.0)</f>
        <v>45939</v>
      </c>
      <c r="B486" s="3" t="str">
        <f>IFERROR(__xludf.DUMMYFUNCTION("""COMPUTED_VALUE"""),"Prato sobremesa")</f>
        <v>Prato sobremesa</v>
      </c>
      <c r="C486" s="3" t="str">
        <f>IFERROR(__xludf.DUMMYFUNCTION("""COMPUTED_VALUE"""),"Utensílio")</f>
        <v>Utensílio</v>
      </c>
      <c r="D486" s="3">
        <f>IFERROR(__xludf.DUMMYFUNCTION("""COMPUTED_VALUE"""),1.0)</f>
        <v>1</v>
      </c>
      <c r="E486" s="3" t="str">
        <f>IFERROR(__xludf.DUMMYFUNCTION("""COMPUTED_VALUE"""),"Quebra")</f>
        <v>Quebra</v>
      </c>
      <c r="F486" s="3" t="str">
        <f>IFERROR(__xludf.DUMMYFUNCTION("""COMPUTED_VALUE"""),"Alex")</f>
        <v>Alex</v>
      </c>
      <c r="G486" s="3" t="str">
        <f>IFERROR(__xludf.DUMMYFUNCTION("""COMPUTED_VALUE"""),"Deixou cair")</f>
        <v>Deixou cair</v>
      </c>
    </row>
    <row r="487">
      <c r="A487" s="2">
        <f>IFERROR(__xludf.DUMMYFUNCTION("""COMPUTED_VALUE"""),45940.0)</f>
        <v>45940</v>
      </c>
      <c r="B487" s="3" t="str">
        <f>IFERROR(__xludf.DUMMYFUNCTION("""COMPUTED_VALUE"""),"Misto quente ")</f>
        <v>Misto quente </v>
      </c>
      <c r="C487" s="3" t="str">
        <f>IFERROR(__xludf.DUMMYFUNCTION("""COMPUTED_VALUE"""),"Produto final")</f>
        <v>Produto final</v>
      </c>
      <c r="D487" s="3">
        <f>IFERROR(__xludf.DUMMYFUNCTION("""COMPUTED_VALUE"""),1.0)</f>
        <v>1</v>
      </c>
      <c r="E487" s="3" t="str">
        <f>IFERROR(__xludf.DUMMYFUNCTION("""COMPUTED_VALUE"""),"Erro de processo")</f>
        <v>Erro de processo</v>
      </c>
      <c r="F487" s="3" t="str">
        <f>IFERROR(__xludf.DUMMYFUNCTION("""COMPUTED_VALUE"""),"Ana Júlia")</f>
        <v>Ana Júlia</v>
      </c>
      <c r="G487" s="3" t="str">
        <f>IFERROR(__xludf.DUMMYFUNCTION("""COMPUTED_VALUE"""),"Deixou cair chao")</f>
        <v>Deixou cair chao</v>
      </c>
    </row>
    <row r="488">
      <c r="A488" s="2">
        <f>IFERROR(__xludf.DUMMYFUNCTION("""COMPUTED_VALUE"""),45940.0)</f>
        <v>45940</v>
      </c>
      <c r="B488" s="3" t="str">
        <f>IFERROR(__xludf.DUMMYFUNCTION("""COMPUTED_VALUE"""),"Pires grande ")</f>
        <v>Pires grande </v>
      </c>
      <c r="C488" s="3" t="str">
        <f>IFERROR(__xludf.DUMMYFUNCTION("""COMPUTED_VALUE"""),"Utensílio")</f>
        <v>Utensílio</v>
      </c>
      <c r="D488" s="3">
        <f>IFERROR(__xludf.DUMMYFUNCTION("""COMPUTED_VALUE"""),1.0)</f>
        <v>1</v>
      </c>
      <c r="E488" s="3" t="str">
        <f>IFERROR(__xludf.DUMMYFUNCTION("""COMPUTED_VALUE"""),"Quebra")</f>
        <v>Quebra</v>
      </c>
      <c r="F488" s="3" t="str">
        <f>IFERROR(__xludf.DUMMYFUNCTION("""COMPUTED_VALUE"""),"Rafael")</f>
        <v>Rafael</v>
      </c>
      <c r="G488" s="3" t="str">
        <f>IFERROR(__xludf.DUMMYFUNCTION("""COMPUTED_VALUE"""),"Deixou cair ")</f>
        <v>Deixou cair </v>
      </c>
    </row>
    <row r="489">
      <c r="A489" s="2">
        <f>IFERROR(__xludf.DUMMYFUNCTION("""COMPUTED_VALUE"""),45940.0)</f>
        <v>45940</v>
      </c>
      <c r="B489" s="3" t="str">
        <f>IFERROR(__xludf.DUMMYFUNCTION("""COMPUTED_VALUE"""),"Bolo de maçã ")</f>
        <v>Bolo de maçã </v>
      </c>
      <c r="C489" s="3" t="str">
        <f>IFERROR(__xludf.DUMMYFUNCTION("""COMPUTED_VALUE"""),"Produto final")</f>
        <v>Produto final</v>
      </c>
      <c r="D489" s="3" t="str">
        <f>IFERROR(__xludf.DUMMYFUNCTION("""COMPUTED_VALUE"""),"1 fatia ")</f>
        <v>1 fatia </v>
      </c>
      <c r="E489" s="3" t="str">
        <f>IFERROR(__xludf.DUMMYFUNCTION("""COMPUTED_VALUE"""),"Erro de processo")</f>
        <v>Erro de processo</v>
      </c>
      <c r="F489" s="3" t="str">
        <f>IFERROR(__xludf.DUMMYFUNCTION("""COMPUTED_VALUE"""),"Rafael")</f>
        <v>Rafael</v>
      </c>
      <c r="G489" s="3" t="str">
        <f>IFERROR(__xludf.DUMMYFUNCTION("""COMPUTED_VALUE"""),"Deixou cair ")</f>
        <v>Deixou cair </v>
      </c>
    </row>
    <row r="490">
      <c r="A490" s="2">
        <f>IFERROR(__xludf.DUMMYFUNCTION("""COMPUTED_VALUE"""),45941.0)</f>
        <v>45941</v>
      </c>
      <c r="B490" s="3" t="str">
        <f>IFERROR(__xludf.DUMMYFUNCTION("""COMPUTED_VALUE"""),"Bolo brigadeiro holandes")</f>
        <v>Bolo brigadeiro holandes</v>
      </c>
      <c r="C490" s="3" t="str">
        <f>IFERROR(__xludf.DUMMYFUNCTION("""COMPUTED_VALUE"""),"Produto final")</f>
        <v>Produto final</v>
      </c>
      <c r="D490" s="3">
        <f>IFERROR(__xludf.DUMMYFUNCTION("""COMPUTED_VALUE"""),1.0)</f>
        <v>1</v>
      </c>
      <c r="E490" s="3" t="str">
        <f>IFERROR(__xludf.DUMMYFUNCTION("""COMPUTED_VALUE"""),"Cliente")</f>
        <v>Cliente</v>
      </c>
      <c r="F490" s="3" t="str">
        <f>IFERROR(__xludf.DUMMYFUNCTION("""COMPUTED_VALUE"""),"Paulo")</f>
        <v>Paulo</v>
      </c>
      <c r="G490" s="3" t="str">
        <f>IFERROR(__xludf.DUMMYFUNCTION("""COMPUTED_VALUE"""),"Cliente alegou que estava ressecado.")</f>
        <v>Cliente alegou que estava ressecado.</v>
      </c>
    </row>
    <row r="491">
      <c r="A491" s="2">
        <f>IFERROR(__xludf.DUMMYFUNCTION("""COMPUTED_VALUE"""),45941.0)</f>
        <v>45941</v>
      </c>
      <c r="B491" s="3" t="str">
        <f>IFERROR(__xludf.DUMMYFUNCTION("""COMPUTED_VALUE"""),"Copo grande")</f>
        <v>Copo grande</v>
      </c>
      <c r="C491" s="3" t="str">
        <f>IFERROR(__xludf.DUMMYFUNCTION("""COMPUTED_VALUE"""),"Utensílio")</f>
        <v>Utensílio</v>
      </c>
      <c r="D491" s="3">
        <f>IFERROR(__xludf.DUMMYFUNCTION("""COMPUTED_VALUE"""),1.0)</f>
        <v>1</v>
      </c>
      <c r="E491" s="3" t="str">
        <f>IFERROR(__xludf.DUMMYFUNCTION("""COMPUTED_VALUE"""),"Quebra")</f>
        <v>Quebra</v>
      </c>
      <c r="F491" s="3" t="str">
        <f>IFERROR(__xludf.DUMMYFUNCTION("""COMPUTED_VALUE"""),"Paulo")</f>
        <v>Paulo</v>
      </c>
      <c r="G491" s="3" t="str">
        <f>IFERROR(__xludf.DUMMYFUNCTION("""COMPUTED_VALUE"""),"Trincado")</f>
        <v>Trincado</v>
      </c>
    </row>
    <row r="492">
      <c r="A492" s="2">
        <f>IFERROR(__xludf.DUMMYFUNCTION("""COMPUTED_VALUE"""),45945.0)</f>
        <v>45945</v>
      </c>
      <c r="B492" s="3" t="str">
        <f>IFERROR(__xludf.DUMMYFUNCTION("""COMPUTED_VALUE"""),"Tapioca")</f>
        <v>Tapioca</v>
      </c>
      <c r="C492" s="3" t="str">
        <f>IFERROR(__xludf.DUMMYFUNCTION("""COMPUTED_VALUE"""),"Insumo")</f>
        <v>Insumo</v>
      </c>
      <c r="D492" s="3" t="str">
        <f>IFERROR(__xludf.DUMMYFUNCTION("""COMPUTED_VALUE"""),"70g")</f>
        <v>70g</v>
      </c>
      <c r="E492" s="3" t="str">
        <f>IFERROR(__xludf.DUMMYFUNCTION("""COMPUTED_VALUE"""),"Erro de processo")</f>
        <v>Erro de processo</v>
      </c>
      <c r="F492" s="3" t="str">
        <f>IFERROR(__xludf.DUMMYFUNCTION("""COMPUTED_VALUE"""),"Beatriz")</f>
        <v>Beatriz</v>
      </c>
      <c r="G492" s="3" t="str">
        <f>IFERROR(__xludf.DUMMYFUNCTION("""COMPUTED_VALUE"""),"Erro no processo de preparo")</f>
        <v>Erro no processo de preparo</v>
      </c>
    </row>
    <row r="493">
      <c r="A493" s="2">
        <f>IFERROR(__xludf.DUMMYFUNCTION("""COMPUTED_VALUE"""),45946.0)</f>
        <v>45946</v>
      </c>
      <c r="B493" s="3" t="str">
        <f>IFERROR(__xludf.DUMMYFUNCTION("""COMPUTED_VALUE"""),"alface ")</f>
        <v>alface </v>
      </c>
      <c r="C493" s="3" t="str">
        <f>IFERROR(__xludf.DUMMYFUNCTION("""COMPUTED_VALUE"""),"Hortifruti")</f>
        <v>Hortifruti</v>
      </c>
      <c r="D493" s="3" t="str">
        <f>IFERROR(__xludf.DUMMYFUNCTION("""COMPUTED_VALUE"""),"188g")</f>
        <v>188g</v>
      </c>
      <c r="E493" s="3" t="str">
        <f>IFERROR(__xludf.DUMMYFUNCTION("""COMPUTED_VALUE"""),"Venceu (Validade)")</f>
        <v>Venceu (Validade)</v>
      </c>
      <c r="F493" s="3" t="str">
        <f>IFERROR(__xludf.DUMMYFUNCTION("""COMPUTED_VALUE"""),"Edna")</f>
        <v>Edna</v>
      </c>
      <c r="G493" s="3" t="str">
        <f>IFERROR(__xludf.DUMMYFUNCTION("""COMPUTED_VALUE"""),"ja estava rui para usar")</f>
        <v>ja estava rui para usar</v>
      </c>
    </row>
    <row r="494">
      <c r="A494" s="2">
        <f>IFERROR(__xludf.DUMMYFUNCTION("""COMPUTED_VALUE"""),45948.0)</f>
        <v>45948</v>
      </c>
      <c r="B494" s="3" t="str">
        <f>IFERROR(__xludf.DUMMYFUNCTION("""COMPUTED_VALUE"""),"empanda de palmilto")</f>
        <v>empanda de palmilto</v>
      </c>
      <c r="C494" s="3" t="str">
        <f>IFERROR(__xludf.DUMMYFUNCTION("""COMPUTED_VALUE"""),"Produto final")</f>
        <v>Produto final</v>
      </c>
      <c r="D494" s="3" t="str">
        <f>IFERROR(__xludf.DUMMYFUNCTION("""COMPUTED_VALUE"""),"3 bandeja")</f>
        <v>3 bandeja</v>
      </c>
      <c r="E494" s="3" t="str">
        <f>IFERROR(__xludf.DUMMYFUNCTION("""COMPUTED_VALUE"""),"Venceu (Validade)")</f>
        <v>Venceu (Validade)</v>
      </c>
      <c r="F494" s="3" t="str">
        <f>IFERROR(__xludf.DUMMYFUNCTION("""COMPUTED_VALUE"""),"Edna")</f>
        <v>Edna</v>
      </c>
      <c r="G494" s="3" t="str">
        <f>IFERROR(__xludf.DUMMYFUNCTION("""COMPUTED_VALUE"""),"venceu")</f>
        <v>venceu</v>
      </c>
    </row>
    <row r="495">
      <c r="A495" s="2">
        <f>IFERROR(__xludf.DUMMYFUNCTION("""COMPUTED_VALUE"""),45948.0)</f>
        <v>45948</v>
      </c>
      <c r="B495" s="3" t="str">
        <f>IFERROR(__xludf.DUMMYFUNCTION("""COMPUTED_VALUE"""),"empanda de frango")</f>
        <v>empanda de frango</v>
      </c>
      <c r="C495" s="3" t="str">
        <f>IFERROR(__xludf.DUMMYFUNCTION("""COMPUTED_VALUE"""),"Produto final")</f>
        <v>Produto final</v>
      </c>
      <c r="D495" s="3">
        <f>IFERROR(__xludf.DUMMYFUNCTION("""COMPUTED_VALUE"""),1.0)</f>
        <v>1</v>
      </c>
      <c r="E495" s="3" t="str">
        <f>IFERROR(__xludf.DUMMYFUNCTION("""COMPUTED_VALUE"""),"Venceu (Validade)")</f>
        <v>Venceu (Validade)</v>
      </c>
      <c r="F495" s="3" t="str">
        <f>IFERROR(__xludf.DUMMYFUNCTION("""COMPUTED_VALUE"""),"Ana Júlia")</f>
        <v>Ana Júlia</v>
      </c>
      <c r="G495" s="3" t="str">
        <f>IFERROR(__xludf.DUMMYFUNCTION("""COMPUTED_VALUE"""),"nao estava bonita na vitrene estava quebada")</f>
        <v>nao estava bonita na vitrene estava quebada</v>
      </c>
    </row>
    <row r="496">
      <c r="A496" s="2">
        <f>IFERROR(__xludf.DUMMYFUNCTION("""COMPUTED_VALUE"""),45948.0)</f>
        <v>45948</v>
      </c>
      <c r="B496" s="3" t="str">
        <f>IFERROR(__xludf.DUMMYFUNCTION("""COMPUTED_VALUE"""),"Torta suite pae")</f>
        <v>Torta suite pae</v>
      </c>
      <c r="C496" s="3" t="str">
        <f>IFERROR(__xludf.DUMMYFUNCTION("""COMPUTED_VALUE"""),"Produto final")</f>
        <v>Produto final</v>
      </c>
      <c r="D496" s="3">
        <f>IFERROR(__xludf.DUMMYFUNCTION("""COMPUTED_VALUE"""),1.0)</f>
        <v>1</v>
      </c>
      <c r="E496" s="3" t="str">
        <f>IFERROR(__xludf.DUMMYFUNCTION("""COMPUTED_VALUE"""),"Erro de processo")</f>
        <v>Erro de processo</v>
      </c>
      <c r="F496" s="3" t="str">
        <f>IFERROR(__xludf.DUMMYFUNCTION("""COMPUTED_VALUE"""),"Marilene")</f>
        <v>Marilene</v>
      </c>
      <c r="G496" s="3" t="str">
        <f>IFERROR(__xludf.DUMMYFUNCTION("""COMPUTED_VALUE"""),"Fatia estava muito pequeno não dava para passar cliente ")</f>
        <v>Fatia estava muito pequeno não dava para passar cliente </v>
      </c>
    </row>
    <row r="497">
      <c r="A497" s="2">
        <f>IFERROR(__xludf.DUMMYFUNCTION("""COMPUTED_VALUE"""),45948.0)</f>
        <v>45948</v>
      </c>
      <c r="B497" s="3" t="str">
        <f>IFERROR(__xludf.DUMMYFUNCTION("""COMPUTED_VALUE"""),"Display   da mesa ")</f>
        <v>Display   da mesa </v>
      </c>
      <c r="C497" s="3" t="str">
        <f>IFERROR(__xludf.DUMMYFUNCTION("""COMPUTED_VALUE"""),"Utensílio")</f>
        <v>Utensílio</v>
      </c>
      <c r="D497" s="3">
        <f>IFERROR(__xludf.DUMMYFUNCTION("""COMPUTED_VALUE"""),1.0)</f>
        <v>1</v>
      </c>
      <c r="E497" s="3" t="str">
        <f>IFERROR(__xludf.DUMMYFUNCTION("""COMPUTED_VALUE"""),"Quebra")</f>
        <v>Quebra</v>
      </c>
      <c r="F497" s="3" t="str">
        <f>IFERROR(__xludf.DUMMYFUNCTION("""COMPUTED_VALUE"""),"Patrícia")</f>
        <v>Patrícia</v>
      </c>
      <c r="G497" s="3" t="str">
        <f>IFERROR(__xludf.DUMMYFUNCTION("""COMPUTED_VALUE"""),"Deixou cair ")</f>
        <v>Deixou cair </v>
      </c>
    </row>
    <row r="498">
      <c r="A498" s="2">
        <f>IFERROR(__xludf.DUMMYFUNCTION("""COMPUTED_VALUE"""),45950.0)</f>
        <v>45950</v>
      </c>
      <c r="B498" s="3" t="str">
        <f>IFERROR(__xludf.DUMMYFUNCTION("""COMPUTED_VALUE"""),"pao de batata")</f>
        <v>pao de batata</v>
      </c>
      <c r="C498" s="3" t="str">
        <f>IFERROR(__xludf.DUMMYFUNCTION("""COMPUTED_VALUE"""),"Insumo")</f>
        <v>Insumo</v>
      </c>
      <c r="D498" s="3">
        <f>IFERROR(__xludf.DUMMYFUNCTION("""COMPUTED_VALUE"""),4.0)</f>
        <v>4</v>
      </c>
      <c r="E498" s="3" t="str">
        <f>IFERROR(__xludf.DUMMYFUNCTION("""COMPUTED_VALUE"""),"Erro de processo")</f>
        <v>Erro de processo</v>
      </c>
      <c r="F498" s="3" t="str">
        <f>IFERROR(__xludf.DUMMYFUNCTION("""COMPUTED_VALUE"""),"Melissa")</f>
        <v>Melissa</v>
      </c>
      <c r="G498" s="3" t="str">
        <f>IFERROR(__xludf.DUMMYFUNCTION("""COMPUTED_VALUE"""),"passou a noite fora da geladeira")</f>
        <v>passou a noite fora da geladeira</v>
      </c>
    </row>
    <row r="499">
      <c r="A499" s="2">
        <f>IFERROR(__xludf.DUMMYFUNCTION("""COMPUTED_VALUE"""),45950.0)</f>
        <v>45950</v>
      </c>
      <c r="B499" s="3" t="str">
        <f>IFERROR(__xludf.DUMMYFUNCTION("""COMPUTED_VALUE"""),"folhado napoli")</f>
        <v>folhado napoli</v>
      </c>
      <c r="C499" s="3" t="str">
        <f>IFERROR(__xludf.DUMMYFUNCTION("""COMPUTED_VALUE"""),"Insumo")</f>
        <v>Insumo</v>
      </c>
      <c r="D499" s="3">
        <f>IFERROR(__xludf.DUMMYFUNCTION("""COMPUTED_VALUE"""),2.0)</f>
        <v>2</v>
      </c>
      <c r="E499" s="3" t="str">
        <f>IFERROR(__xludf.DUMMYFUNCTION("""COMPUTED_VALUE"""),"Erro de processo")</f>
        <v>Erro de processo</v>
      </c>
      <c r="F499" s="3" t="str">
        <f>IFERROR(__xludf.DUMMYFUNCTION("""COMPUTED_VALUE"""),"Melissa")</f>
        <v>Melissa</v>
      </c>
      <c r="G499" s="3" t="str">
        <f>IFERROR(__xludf.DUMMYFUNCTION("""COMPUTED_VALUE"""),"passou a noite fora da geladeira")</f>
        <v>passou a noite fora da geladeira</v>
      </c>
    </row>
    <row r="500">
      <c r="A500" s="2">
        <f>IFERROR(__xludf.DUMMYFUNCTION("""COMPUTED_VALUE"""),45950.0)</f>
        <v>45950</v>
      </c>
      <c r="B500" s="3" t="str">
        <f>IFERROR(__xludf.DUMMYFUNCTION("""COMPUTED_VALUE"""),"coxinha")</f>
        <v>coxinha</v>
      </c>
      <c r="C500" s="3" t="str">
        <f>IFERROR(__xludf.DUMMYFUNCTION("""COMPUTED_VALUE"""),"Insumo")</f>
        <v>Insumo</v>
      </c>
      <c r="D500" s="3">
        <f>IFERROR(__xludf.DUMMYFUNCTION("""COMPUTED_VALUE"""),1.0)</f>
        <v>1</v>
      </c>
      <c r="E500" s="3" t="str">
        <f>IFERROR(__xludf.DUMMYFUNCTION("""COMPUTED_VALUE"""),"Erro de processo")</f>
        <v>Erro de processo</v>
      </c>
      <c r="F500" s="3" t="str">
        <f>IFERROR(__xludf.DUMMYFUNCTION("""COMPUTED_VALUE"""),"Melissa")</f>
        <v>Melissa</v>
      </c>
      <c r="G500" s="3" t="str">
        <f>IFERROR(__xludf.DUMMYFUNCTION("""COMPUTED_VALUE"""),"passou a noite fora da geladeira")</f>
        <v>passou a noite fora da geladeira</v>
      </c>
    </row>
    <row r="501">
      <c r="A501" s="2">
        <f>IFERROR(__xludf.DUMMYFUNCTION("""COMPUTED_VALUE"""),45952.0)</f>
        <v>45952</v>
      </c>
      <c r="B501" s="3" t="str">
        <f>IFERROR(__xludf.DUMMYFUNCTION("""COMPUTED_VALUE"""),"Café Latte gelado ")</f>
        <v>Café Latte gelado </v>
      </c>
      <c r="C501" s="3" t="str">
        <f>IFERROR(__xludf.DUMMYFUNCTION("""COMPUTED_VALUE"""),"Produto final")</f>
        <v>Produto final</v>
      </c>
      <c r="D501" s="3">
        <f>IFERROR(__xludf.DUMMYFUNCTION("""COMPUTED_VALUE"""),1.0)</f>
        <v>1</v>
      </c>
      <c r="E501" s="3" t="str">
        <f>IFERROR(__xludf.DUMMYFUNCTION("""COMPUTED_VALUE"""),"Erro de processo")</f>
        <v>Erro de processo</v>
      </c>
      <c r="F501" s="3" t="str">
        <f>IFERROR(__xludf.DUMMYFUNCTION("""COMPUTED_VALUE"""),"Patrícia")</f>
        <v>Patrícia</v>
      </c>
      <c r="G501" s="3" t="str">
        <f>IFERROR(__xludf.DUMMYFUNCTION("""COMPUTED_VALUE"""),"Erra matcha gelado ")</f>
        <v>Erra matcha gelado </v>
      </c>
    </row>
    <row r="502">
      <c r="A502" s="2">
        <f>IFERROR(__xludf.DUMMYFUNCTION("""COMPUTED_VALUE"""),45954.0)</f>
        <v>45954</v>
      </c>
      <c r="B502" s="3" t="str">
        <f>IFERROR(__xludf.DUMMYFUNCTION("""COMPUTED_VALUE"""),"Quiche alho ")</f>
        <v>Quiche alho </v>
      </c>
      <c r="C502" s="3" t="str">
        <f>IFERROR(__xludf.DUMMYFUNCTION("""COMPUTED_VALUE"""),"Produto final")</f>
        <v>Produto final</v>
      </c>
      <c r="D502" s="3">
        <f>IFERROR(__xludf.DUMMYFUNCTION("""COMPUTED_VALUE"""),1.0)</f>
        <v>1</v>
      </c>
      <c r="E502" s="3" t="str">
        <f>IFERROR(__xludf.DUMMYFUNCTION("""COMPUTED_VALUE"""),"Erro de processo")</f>
        <v>Erro de processo</v>
      </c>
      <c r="F502" s="3" t="str">
        <f>IFERROR(__xludf.DUMMYFUNCTION("""COMPUTED_VALUE"""),"Marilene")</f>
        <v>Marilene</v>
      </c>
      <c r="G502" s="3" t="str">
        <f>IFERROR(__xludf.DUMMYFUNCTION("""COMPUTED_VALUE"""),"Deixei caí au tira do forno ")</f>
        <v>Deixei caí au tira do forno </v>
      </c>
    </row>
    <row r="503">
      <c r="A503" s="2">
        <f>IFERROR(__xludf.DUMMYFUNCTION("""COMPUTED_VALUE"""),45956.0)</f>
        <v>45956</v>
      </c>
      <c r="B503" s="3" t="str">
        <f>IFERROR(__xludf.DUMMYFUNCTION("""COMPUTED_VALUE"""),"Torta suíte  pei")</f>
        <v>Torta suíte  pei</v>
      </c>
      <c r="C503" s="3" t="str">
        <f>IFERROR(__xludf.DUMMYFUNCTION("""COMPUTED_VALUE"""),"Produto final")</f>
        <v>Produto final</v>
      </c>
      <c r="D503" s="3">
        <f>IFERROR(__xludf.DUMMYFUNCTION("""COMPUTED_VALUE"""),2.0)</f>
        <v>2</v>
      </c>
      <c r="E503" s="3" t="str">
        <f>IFERROR(__xludf.DUMMYFUNCTION("""COMPUTED_VALUE"""),"Venceu (Validade)")</f>
        <v>Venceu (Validade)</v>
      </c>
      <c r="F503" s="3" t="str">
        <f>IFERROR(__xludf.DUMMYFUNCTION("""COMPUTED_VALUE"""),"Marilene")</f>
        <v>Marilene</v>
      </c>
      <c r="G503" s="3" t="str">
        <f>IFERROR(__xludf.DUMMYFUNCTION("""COMPUTED_VALUE"""),"Já estava mais de 3 dia na geladeira ")</f>
        <v>Já estava mais de 3 dia na geladeira </v>
      </c>
    </row>
    <row r="504">
      <c r="A504" s="2">
        <f>IFERROR(__xludf.DUMMYFUNCTION("""COMPUTED_VALUE"""),45957.0)</f>
        <v>45957</v>
      </c>
      <c r="B504" s="3" t="str">
        <f>IFERROR(__xludf.DUMMYFUNCTION("""COMPUTED_VALUE"""),"Xícara pequena")</f>
        <v>Xícara pequena</v>
      </c>
      <c r="C504" s="3" t="str">
        <f>IFERROR(__xludf.DUMMYFUNCTION("""COMPUTED_VALUE"""),"Utensílio")</f>
        <v>Utensílio</v>
      </c>
      <c r="D504" s="3">
        <f>IFERROR(__xludf.DUMMYFUNCTION("""COMPUTED_VALUE"""),1.0)</f>
        <v>1</v>
      </c>
      <c r="E504" s="3" t="str">
        <f>IFERROR(__xludf.DUMMYFUNCTION("""COMPUTED_VALUE"""),"Quebra")</f>
        <v>Quebra</v>
      </c>
      <c r="F504" s="3" t="str">
        <f>IFERROR(__xludf.DUMMYFUNCTION("""COMPUTED_VALUE"""),"Beatriz")</f>
        <v>Beatriz</v>
      </c>
      <c r="G504" s="3" t="str">
        <f>IFERROR(__xludf.DUMMYFUNCTION("""COMPUTED_VALUE"""),"Quebrada na mesa do cliente ao recolher.")</f>
        <v>Quebrada na mesa do cliente ao recolher.</v>
      </c>
    </row>
    <row r="505">
      <c r="A505" s="2">
        <f>IFERROR(__xludf.DUMMYFUNCTION("""COMPUTED_VALUE"""),45957.0)</f>
        <v>45957</v>
      </c>
      <c r="B505" s="3" t="str">
        <f>IFERROR(__xludf.DUMMYFUNCTION("""COMPUTED_VALUE"""),"Chocolate Europeu")</f>
        <v>Chocolate Europeu</v>
      </c>
      <c r="C505" s="3" t="str">
        <f>IFERROR(__xludf.DUMMYFUNCTION("""COMPUTED_VALUE"""),"Produto final")</f>
        <v>Produto final</v>
      </c>
      <c r="D505" s="3">
        <f>IFERROR(__xludf.DUMMYFUNCTION("""COMPUTED_VALUE"""),1.0)</f>
        <v>1</v>
      </c>
      <c r="E505" s="3" t="str">
        <f>IFERROR(__xludf.DUMMYFUNCTION("""COMPUTED_VALUE"""),"Cliente")</f>
        <v>Cliente</v>
      </c>
      <c r="F505" s="3" t="str">
        <f>IFERROR(__xludf.DUMMYFUNCTION("""COMPUTED_VALUE"""),"Alex")</f>
        <v>Alex</v>
      </c>
      <c r="G505" s="3" t="str">
        <f>IFERROR(__xludf.DUMMYFUNCTION("""COMPUTED_VALUE"""),"Cliente não gostou e devolveu alegando que o chocolate é muito forte.")</f>
        <v>Cliente não gostou e devolveu alegando que o chocolate é muito forte.</v>
      </c>
    </row>
    <row r="506">
      <c r="A506" s="2">
        <f>IFERROR(__xludf.DUMMYFUNCTION("""COMPUTED_VALUE"""),45960.0)</f>
        <v>45960</v>
      </c>
      <c r="B506" s="3" t="str">
        <f>IFERROR(__xludf.DUMMYFUNCTION("""COMPUTED_VALUE"""),"alface")</f>
        <v>alface</v>
      </c>
      <c r="C506" s="3" t="str">
        <f>IFERROR(__xludf.DUMMYFUNCTION("""COMPUTED_VALUE"""),"Hortifruti")</f>
        <v>Hortifruti</v>
      </c>
      <c r="D506" s="3" t="str">
        <f>IFERROR(__xludf.DUMMYFUNCTION("""COMPUTED_VALUE"""),"359g")</f>
        <v>359g</v>
      </c>
      <c r="E506" s="3" t="str">
        <f>IFERROR(__xludf.DUMMYFUNCTION("""COMPUTED_VALUE"""),"Venceu (Validade)")</f>
        <v>Venceu (Validade)</v>
      </c>
      <c r="F506" s="3" t="str">
        <f>IFERROR(__xludf.DUMMYFUNCTION("""COMPUTED_VALUE"""),"Edna")</f>
        <v>Edna</v>
      </c>
      <c r="G506" s="3" t="str">
        <f>IFERROR(__xludf.DUMMYFUNCTION("""COMPUTED_VALUE"""),"ja estava vencida")</f>
        <v>ja estava vencida</v>
      </c>
    </row>
    <row r="507">
      <c r="A507" s="2">
        <f>IFERROR(__xludf.DUMMYFUNCTION("""COMPUTED_VALUE"""),45960.0)</f>
        <v>45960</v>
      </c>
      <c r="B507" s="3" t="str">
        <f>IFERROR(__xludf.DUMMYFUNCTION("""COMPUTED_VALUE"""),"rucula")</f>
        <v>rucula</v>
      </c>
      <c r="C507" s="3" t="str">
        <f>IFERROR(__xludf.DUMMYFUNCTION("""COMPUTED_VALUE"""),"Hortifruti")</f>
        <v>Hortifruti</v>
      </c>
      <c r="D507" s="3" t="str">
        <f>IFERROR(__xludf.DUMMYFUNCTION("""COMPUTED_VALUE"""),"58g")</f>
        <v>58g</v>
      </c>
      <c r="E507" s="3" t="str">
        <f>IFERROR(__xludf.DUMMYFUNCTION("""COMPUTED_VALUE"""),"Venceu (Validade)")</f>
        <v>Venceu (Validade)</v>
      </c>
      <c r="F507" s="3" t="str">
        <f>IFERROR(__xludf.DUMMYFUNCTION("""COMPUTED_VALUE"""),"Edna")</f>
        <v>Edna</v>
      </c>
      <c r="G507" s="3" t="str">
        <f>IFERROR(__xludf.DUMMYFUNCTION("""COMPUTED_VALUE"""),"ja estava vencido")</f>
        <v>ja estava vencido</v>
      </c>
    </row>
    <row r="508">
      <c r="A508" s="2">
        <f>IFERROR(__xludf.DUMMYFUNCTION("""COMPUTED_VALUE"""),45960.0)</f>
        <v>45960</v>
      </c>
      <c r="B508" s="3" t="str">
        <f>IFERROR(__xludf.DUMMYFUNCTION("""COMPUTED_VALUE"""),"folhiador")</f>
        <v>folhiador</v>
      </c>
      <c r="C508" s="3" t="str">
        <f>IFERROR(__xludf.DUMMYFUNCTION("""COMPUTED_VALUE"""),"Produto final")</f>
        <v>Produto final</v>
      </c>
      <c r="D508" s="3">
        <f>IFERROR(__xludf.DUMMYFUNCTION("""COMPUTED_VALUE"""),2.0)</f>
        <v>2</v>
      </c>
      <c r="E508" s="3" t="str">
        <f>IFERROR(__xludf.DUMMYFUNCTION("""COMPUTED_VALUE"""),"Venceu (Validade)")</f>
        <v>Venceu (Validade)</v>
      </c>
      <c r="F508" s="3" t="str">
        <f>IFERROR(__xludf.DUMMYFUNCTION("""COMPUTED_VALUE"""),"Francisca")</f>
        <v>Francisca</v>
      </c>
      <c r="G508" s="3" t="str">
        <f>IFERROR(__xludf.DUMMYFUNCTION("""COMPUTED_VALUE"""),"esta feio na vitriene")</f>
        <v>esta feio na vitriene</v>
      </c>
    </row>
    <row r="509">
      <c r="A509" s="2">
        <f>IFERROR(__xludf.DUMMYFUNCTION("""COMPUTED_VALUE"""),45960.0)</f>
        <v>45960</v>
      </c>
      <c r="B509" s="3" t="str">
        <f>IFERROR(__xludf.DUMMYFUNCTION("""COMPUTED_VALUE"""),"16 unidade da porcao")</f>
        <v>16 unidade da porcao</v>
      </c>
      <c r="C509" s="3" t="str">
        <f>IFERROR(__xludf.DUMMYFUNCTION("""COMPUTED_VALUE"""),"Produto final")</f>
        <v>Produto final</v>
      </c>
      <c r="D509" s="3" t="str">
        <f>IFERROR(__xludf.DUMMYFUNCTION("""COMPUTED_VALUE"""),"16 unidade da porcao")</f>
        <v>16 unidade da porcao</v>
      </c>
      <c r="E509" s="3" t="str">
        <f>IFERROR(__xludf.DUMMYFUNCTION("""COMPUTED_VALUE"""),"Venceu (Validade)")</f>
        <v>Venceu (Validade)</v>
      </c>
      <c r="F509" s="3" t="str">
        <f>IFERROR(__xludf.DUMMYFUNCTION("""COMPUTED_VALUE"""),"Francisca")</f>
        <v>Francisca</v>
      </c>
      <c r="G509" s="3" t="str">
        <f>IFERROR(__xludf.DUMMYFUNCTION("""COMPUTED_VALUE"""),"ja estava duro na vitrine")</f>
        <v>ja estava duro na vitrine</v>
      </c>
    </row>
    <row r="510">
      <c r="A510" s="2">
        <f>IFERROR(__xludf.DUMMYFUNCTION("""COMPUTED_VALUE"""),45961.0)</f>
        <v>45961</v>
      </c>
      <c r="B510" s="3" t="str">
        <f>IFERROR(__xludf.DUMMYFUNCTION("""COMPUTED_VALUE"""),"Espeto para papel")</f>
        <v>Espeto para papel</v>
      </c>
      <c r="C510" s="3" t="str">
        <f>IFERROR(__xludf.DUMMYFUNCTION("""COMPUTED_VALUE"""),"Utensílio")</f>
        <v>Utensílio</v>
      </c>
      <c r="D510" s="3">
        <f>IFERROR(__xludf.DUMMYFUNCTION("""COMPUTED_VALUE"""),1.0)</f>
        <v>1</v>
      </c>
      <c r="E510" s="3" t="str">
        <f>IFERROR(__xludf.DUMMYFUNCTION("""COMPUTED_VALUE"""),"Quebra")</f>
        <v>Quebra</v>
      </c>
      <c r="F510" s="3" t="str">
        <f>IFERROR(__xludf.DUMMYFUNCTION("""COMPUTED_VALUE"""),"Alex")</f>
        <v>Alex</v>
      </c>
      <c r="G510" s="3" t="str">
        <f>IFERROR(__xludf.DUMMYFUNCTION("""COMPUTED_VALUE"""),"Quebrado na base")</f>
        <v>Quebrado na base</v>
      </c>
    </row>
    <row r="511">
      <c r="A511" s="2">
        <f>IFERROR(__xludf.DUMMYFUNCTION("""COMPUTED_VALUE"""),45961.0)</f>
        <v>45961</v>
      </c>
      <c r="B511" s="3" t="str">
        <f>IFERROR(__xludf.DUMMYFUNCTION("""COMPUTED_VALUE"""),"Maçarico")</f>
        <v>Maçarico</v>
      </c>
      <c r="C511" s="3" t="str">
        <f>IFERROR(__xludf.DUMMYFUNCTION("""COMPUTED_VALUE"""),"Utensílio")</f>
        <v>Utensílio</v>
      </c>
      <c r="D511" s="3">
        <f>IFERROR(__xludf.DUMMYFUNCTION("""COMPUTED_VALUE"""),5.0)</f>
        <v>5</v>
      </c>
      <c r="E511" s="3" t="str">
        <f>IFERROR(__xludf.DUMMYFUNCTION("""COMPUTED_VALUE"""),"Quebra")</f>
        <v>Quebra</v>
      </c>
      <c r="F511" s="3" t="str">
        <f>IFERROR(__xludf.DUMMYFUNCTION("""COMPUTED_VALUE"""),"Alex")</f>
        <v>Alex</v>
      </c>
      <c r="G511" s="3" t="str">
        <f>IFERROR(__xludf.DUMMYFUNCTION("""COMPUTED_VALUE"""),"Funcionamento incorreto (vazamento)")</f>
        <v>Funcionamento incorreto (vazamento)</v>
      </c>
    </row>
    <row r="512">
      <c r="A512" s="2">
        <f>IFERROR(__xludf.DUMMYFUNCTION("""COMPUTED_VALUE"""),45965.0)</f>
        <v>45965</v>
      </c>
      <c r="B512" s="3" t="str">
        <f>IFERROR(__xludf.DUMMYFUNCTION("""COMPUTED_VALUE"""),"Suco acerola com laranja")</f>
        <v>Suco acerola com laranja</v>
      </c>
      <c r="C512" s="3" t="str">
        <f>IFERROR(__xludf.DUMMYFUNCTION("""COMPUTED_VALUE"""),"Produto final")</f>
        <v>Produto final</v>
      </c>
      <c r="D512" s="3">
        <f>IFERROR(__xludf.DUMMYFUNCTION("""COMPUTED_VALUE"""),1.0)</f>
        <v>1</v>
      </c>
      <c r="E512" s="3" t="str">
        <f>IFERROR(__xludf.DUMMYFUNCTION("""COMPUTED_VALUE"""),"Erro de processo")</f>
        <v>Erro de processo</v>
      </c>
      <c r="F512" s="3" t="str">
        <f>IFERROR(__xludf.DUMMYFUNCTION("""COMPUTED_VALUE"""),"Alex")</f>
        <v>Alex</v>
      </c>
      <c r="G512" s="3" t="str">
        <f>IFERROR(__xludf.DUMMYFUNCTION("""COMPUTED_VALUE"""),"Deixou cair")</f>
        <v>Deixou cair</v>
      </c>
    </row>
    <row r="513">
      <c r="A513" s="2">
        <f>IFERROR(__xludf.DUMMYFUNCTION("""COMPUTED_VALUE"""),45967.0)</f>
        <v>45967</v>
      </c>
      <c r="B513" s="3" t="str">
        <f>IFERROR(__xludf.DUMMYFUNCTION("""COMPUTED_VALUE"""),"cappucino scada")</f>
        <v>cappucino scada</v>
      </c>
      <c r="C513" s="3" t="str">
        <f>IFERROR(__xludf.DUMMYFUNCTION("""COMPUTED_VALUE"""),"Produto final")</f>
        <v>Produto final</v>
      </c>
      <c r="D513" s="3">
        <f>IFERROR(__xludf.DUMMYFUNCTION("""COMPUTED_VALUE"""),1.0)</f>
        <v>1</v>
      </c>
      <c r="E513" s="3" t="str">
        <f>IFERROR(__xludf.DUMMYFUNCTION("""COMPUTED_VALUE"""),"Cliente")</f>
        <v>Cliente</v>
      </c>
      <c r="F513" s="3" t="str">
        <f>IFERROR(__xludf.DUMMYFUNCTION("""COMPUTED_VALUE"""),"Beatriz")</f>
        <v>Beatriz</v>
      </c>
      <c r="G513" s="3" t="str">
        <f>IFERROR(__xludf.DUMMYFUNCTION("""COMPUTED_VALUE"""),"cliente nao gostou do sabor")</f>
        <v>cliente nao gostou do sabor</v>
      </c>
    </row>
    <row r="514">
      <c r="A514" s="2">
        <f>IFERROR(__xludf.DUMMYFUNCTION("""COMPUTED_VALUE"""),45968.0)</f>
        <v>45968</v>
      </c>
      <c r="B514" s="3" t="str">
        <f>IFERROR(__xludf.DUMMYFUNCTION("""COMPUTED_VALUE"""),"xote")</f>
        <v>xote</v>
      </c>
      <c r="C514" s="3" t="str">
        <f>IFERROR(__xludf.DUMMYFUNCTION("""COMPUTED_VALUE"""),"Utensílio")</f>
        <v>Utensílio</v>
      </c>
      <c r="D514" s="3">
        <f>IFERROR(__xludf.DUMMYFUNCTION("""COMPUTED_VALUE"""),1.0)</f>
        <v>1</v>
      </c>
      <c r="E514" s="3" t="str">
        <f>IFERROR(__xludf.DUMMYFUNCTION("""COMPUTED_VALUE"""),"Quebra")</f>
        <v>Quebra</v>
      </c>
      <c r="F514" s="3" t="str">
        <f>IFERROR(__xludf.DUMMYFUNCTION("""COMPUTED_VALUE"""),"Patrícia")</f>
        <v>Patrícia</v>
      </c>
      <c r="G514" s="3" t="str">
        <f>IFERROR(__xludf.DUMMYFUNCTION("""COMPUTED_VALUE"""),"deixou cae")</f>
        <v>deixou cae</v>
      </c>
    </row>
    <row r="515">
      <c r="A515" s="2">
        <f>IFERROR(__xludf.DUMMYFUNCTION("""COMPUTED_VALUE"""),45968.0)</f>
        <v>45968</v>
      </c>
      <c r="B515" s="3" t="str">
        <f>IFERROR(__xludf.DUMMYFUNCTION("""COMPUTED_VALUE"""),"cha gelada fraboesa")</f>
        <v>cha gelada fraboesa</v>
      </c>
      <c r="C515" s="3" t="str">
        <f>IFERROR(__xludf.DUMMYFUNCTION("""COMPUTED_VALUE"""),"Produto final")</f>
        <v>Produto final</v>
      </c>
      <c r="D515" s="3">
        <f>IFERROR(__xludf.DUMMYFUNCTION("""COMPUTED_VALUE"""),1.0)</f>
        <v>1</v>
      </c>
      <c r="E515" s="3" t="str">
        <f>IFERROR(__xludf.DUMMYFUNCTION("""COMPUTED_VALUE"""),"Erro de processo")</f>
        <v>Erro de processo</v>
      </c>
      <c r="F515" s="3" t="str">
        <f>IFERROR(__xludf.DUMMYFUNCTION("""COMPUTED_VALUE"""),"Ana Júlia")</f>
        <v>Ana Júlia</v>
      </c>
      <c r="G515" s="3" t="str">
        <f>IFERROR(__xludf.DUMMYFUNCTION("""COMPUTED_VALUE"""),"fez errado")</f>
        <v>fez errado</v>
      </c>
    </row>
    <row r="516">
      <c r="A516" s="2">
        <f>IFERROR(__xludf.DUMMYFUNCTION("""COMPUTED_VALUE"""),45970.0)</f>
        <v>45970</v>
      </c>
      <c r="B516" s="3" t="str">
        <f>IFERROR(__xludf.DUMMYFUNCTION("""COMPUTED_VALUE"""),"latte duplo")</f>
        <v>latte duplo</v>
      </c>
      <c r="C516" s="3" t="str">
        <f>IFERROR(__xludf.DUMMYFUNCTION("""COMPUTED_VALUE"""),"Produto final")</f>
        <v>Produto final</v>
      </c>
      <c r="D516" s="3">
        <f>IFERROR(__xludf.DUMMYFUNCTION("""COMPUTED_VALUE"""),1.0)</f>
        <v>1</v>
      </c>
      <c r="E516" s="3" t="str">
        <f>IFERROR(__xludf.DUMMYFUNCTION("""COMPUTED_VALUE"""),"Lançamento errado")</f>
        <v>Lançamento errado</v>
      </c>
      <c r="F516" s="3" t="str">
        <f>IFERROR(__xludf.DUMMYFUNCTION("""COMPUTED_VALUE"""),"Francisca")</f>
        <v>Francisca</v>
      </c>
      <c r="G516" s="3" t="str">
        <f>IFERROR(__xludf.DUMMYFUNCTION("""COMPUTED_VALUE"""),"era expresso duplo e lançou latte duplo")</f>
        <v>era expresso duplo e lançou latte duplo</v>
      </c>
    </row>
    <row r="517">
      <c r="A517" s="2">
        <f>IFERROR(__xludf.DUMMYFUNCTION("""COMPUTED_VALUE"""),45970.0)</f>
        <v>45970</v>
      </c>
      <c r="B517" s="3" t="str">
        <f>IFERROR(__xludf.DUMMYFUNCTION("""COMPUTED_VALUE"""),"shake oreeo")</f>
        <v>shake oreeo</v>
      </c>
      <c r="C517" s="3" t="str">
        <f>IFERROR(__xludf.DUMMYFUNCTION("""COMPUTED_VALUE"""),"Produto final")</f>
        <v>Produto final</v>
      </c>
      <c r="D517" s="3">
        <f>IFERROR(__xludf.DUMMYFUNCTION("""COMPUTED_VALUE"""),1.0)</f>
        <v>1</v>
      </c>
      <c r="E517" s="3" t="str">
        <f>IFERROR(__xludf.DUMMYFUNCTION("""COMPUTED_VALUE"""),"Erro de processo")</f>
        <v>Erro de processo</v>
      </c>
      <c r="F517" s="3" t="str">
        <f>IFERROR(__xludf.DUMMYFUNCTION("""COMPUTED_VALUE"""),"Edna")</f>
        <v>Edna</v>
      </c>
      <c r="G517" s="3" t="str">
        <f>IFERROR(__xludf.DUMMYFUNCTION("""COMPUTED_VALUE"""),"fez errado")</f>
        <v>fez errado</v>
      </c>
    </row>
    <row r="518">
      <c r="A518" s="2">
        <f>IFERROR(__xludf.DUMMYFUNCTION("""COMPUTED_VALUE"""),45970.0)</f>
        <v>45970</v>
      </c>
      <c r="B518" s="3" t="str">
        <f>IFERROR(__xludf.DUMMYFUNCTION("""COMPUTED_VALUE"""),"frango")</f>
        <v>frango</v>
      </c>
      <c r="C518" s="3" t="str">
        <f>IFERROR(__xludf.DUMMYFUNCTION("""COMPUTED_VALUE"""),"Insumo")</f>
        <v>Insumo</v>
      </c>
      <c r="D518" s="3">
        <f>IFERROR(__xludf.DUMMYFUNCTION("""COMPUTED_VALUE"""),1.0)</f>
        <v>1</v>
      </c>
      <c r="E518" s="3" t="str">
        <f>IFERROR(__xludf.DUMMYFUNCTION("""COMPUTED_VALUE"""),"Erro de processo")</f>
        <v>Erro de processo</v>
      </c>
      <c r="F518" s="3" t="str">
        <f>IFERROR(__xludf.DUMMYFUNCTION("""COMPUTED_VALUE"""),"Edna")</f>
        <v>Edna</v>
      </c>
      <c r="G518" s="3" t="str">
        <f>IFERROR(__xludf.DUMMYFUNCTION("""COMPUTED_VALUE"""),"deixou caier")</f>
        <v>deixou caier</v>
      </c>
    </row>
    <row r="519">
      <c r="A519" s="2">
        <f>IFERROR(__xludf.DUMMYFUNCTION("""COMPUTED_VALUE"""),45970.0)</f>
        <v>45970</v>
      </c>
      <c r="B519" s="3" t="str">
        <f>IFERROR(__xludf.DUMMYFUNCTION("""COMPUTED_VALUE"""),"tomate ")</f>
        <v>tomate </v>
      </c>
      <c r="C519" s="3" t="str">
        <f>IFERROR(__xludf.DUMMYFUNCTION("""COMPUTED_VALUE"""),"Hortifruti")</f>
        <v>Hortifruti</v>
      </c>
      <c r="D519" s="3" t="str">
        <f>IFERROR(__xludf.DUMMYFUNCTION("""COMPUTED_VALUE"""),"989g")</f>
        <v>989g</v>
      </c>
      <c r="E519" s="3" t="str">
        <f>IFERROR(__xludf.DUMMYFUNCTION("""COMPUTED_VALUE"""),"Venceu (Validade)")</f>
        <v>Venceu (Validade)</v>
      </c>
      <c r="F519" s="3" t="str">
        <f>IFERROR(__xludf.DUMMYFUNCTION("""COMPUTED_VALUE"""),"Francisca")</f>
        <v>Francisca</v>
      </c>
      <c r="G519" s="3" t="str">
        <f>IFERROR(__xludf.DUMMYFUNCTION("""COMPUTED_VALUE"""),"estava rui")</f>
        <v>estava rui</v>
      </c>
      <c r="I519" s="4"/>
    </row>
    <row r="520">
      <c r="A520" s="2">
        <f>IFERROR(__xludf.DUMMYFUNCTION("""COMPUTED_VALUE"""),45971.0)</f>
        <v>45971</v>
      </c>
      <c r="B520" s="3" t="str">
        <f>IFERROR(__xludf.DUMMYFUNCTION("""COMPUTED_VALUE"""),"Xícara grande")</f>
        <v>Xícara grande</v>
      </c>
      <c r="C520" s="3" t="str">
        <f>IFERROR(__xludf.DUMMYFUNCTION("""COMPUTED_VALUE"""),"Utensílio")</f>
        <v>Utensílio</v>
      </c>
      <c r="D520" s="3">
        <f>IFERROR(__xludf.DUMMYFUNCTION("""COMPUTED_VALUE"""),1.0)</f>
        <v>1</v>
      </c>
      <c r="E520" s="3" t="str">
        <f>IFERROR(__xludf.DUMMYFUNCTION("""COMPUTED_VALUE"""),"Quebra")</f>
        <v>Quebra</v>
      </c>
      <c r="F520" s="3" t="str">
        <f>IFERROR(__xludf.DUMMYFUNCTION("""COMPUTED_VALUE"""),"Alex")</f>
        <v>Alex</v>
      </c>
      <c r="G520" s="3" t="str">
        <f>IFERROR(__xludf.DUMMYFUNCTION("""COMPUTED_VALUE"""),"Trincada na alça")</f>
        <v>Trincada na alça</v>
      </c>
      <c r="I520" s="4"/>
    </row>
    <row r="521">
      <c r="A521" s="2">
        <f>IFERROR(__xludf.DUMMYFUNCTION("""COMPUTED_VALUE"""),45972.0)</f>
        <v>45972</v>
      </c>
      <c r="B521" s="3" t="str">
        <f>IFERROR(__xludf.DUMMYFUNCTION("""COMPUTED_VALUE"""),"torta cheesecake")</f>
        <v>torta cheesecake</v>
      </c>
      <c r="C521" s="3" t="str">
        <f>IFERROR(__xludf.DUMMYFUNCTION("""COMPUTED_VALUE"""),"Produto final")</f>
        <v>Produto final</v>
      </c>
      <c r="D521" s="3">
        <f>IFERROR(__xludf.DUMMYFUNCTION("""COMPUTED_VALUE"""),1.0)</f>
        <v>1</v>
      </c>
      <c r="E521" s="3" t="str">
        <f>IFERROR(__xludf.DUMMYFUNCTION("""COMPUTED_VALUE"""),"Venceu (Validade)")</f>
        <v>Venceu (Validade)</v>
      </c>
      <c r="F521" s="3" t="str">
        <f>IFERROR(__xludf.DUMMYFUNCTION("""COMPUTED_VALUE"""),"Francisca")</f>
        <v>Francisca</v>
      </c>
      <c r="G521" s="3" t="str">
        <f>IFERROR(__xludf.DUMMYFUNCTION("""COMPUTED_VALUE"""),"estava muito dura na vitreni")</f>
        <v>estava muito dura na vitreni</v>
      </c>
      <c r="I521" s="4"/>
    </row>
    <row r="522">
      <c r="A522" s="2">
        <f>IFERROR(__xludf.DUMMYFUNCTION("""COMPUTED_VALUE"""),45972.0)</f>
        <v>45972</v>
      </c>
      <c r="B522" s="3" t="str">
        <f>IFERROR(__xludf.DUMMYFUNCTION("""COMPUTED_VALUE"""),"sweet pei")</f>
        <v>sweet pei</v>
      </c>
      <c r="C522" s="3" t="str">
        <f>IFERROR(__xludf.DUMMYFUNCTION("""COMPUTED_VALUE"""),"Produto final")</f>
        <v>Produto final</v>
      </c>
      <c r="D522" s="3">
        <f>IFERROR(__xludf.DUMMYFUNCTION("""COMPUTED_VALUE"""),1.0)</f>
        <v>1</v>
      </c>
      <c r="E522" s="3" t="str">
        <f>IFERROR(__xludf.DUMMYFUNCTION("""COMPUTED_VALUE"""),"Venceu (Validade)")</f>
        <v>Venceu (Validade)</v>
      </c>
      <c r="F522" s="3" t="str">
        <f>IFERROR(__xludf.DUMMYFUNCTION("""COMPUTED_VALUE"""),"Francisca")</f>
        <v>Francisca</v>
      </c>
      <c r="G522" s="3" t="str">
        <f>IFERROR(__xludf.DUMMYFUNCTION("""COMPUTED_VALUE"""),"estava duro na vitrine")</f>
        <v>estava duro na vitrine</v>
      </c>
      <c r="I522" s="4"/>
    </row>
    <row r="523">
      <c r="A523" s="2">
        <f>IFERROR(__xludf.DUMMYFUNCTION("""COMPUTED_VALUE"""),45973.0)</f>
        <v>45973</v>
      </c>
      <c r="B523" s="3" t="str">
        <f>IFERROR(__xludf.DUMMYFUNCTION("""COMPUTED_VALUE"""),"Suco de Laranja")</f>
        <v>Suco de Laranja</v>
      </c>
      <c r="C523" s="3" t="str">
        <f>IFERROR(__xludf.DUMMYFUNCTION("""COMPUTED_VALUE"""),"Produto final")</f>
        <v>Produto final</v>
      </c>
      <c r="D523" s="3">
        <f>IFERROR(__xludf.DUMMYFUNCTION("""COMPUTED_VALUE"""),1.0)</f>
        <v>1</v>
      </c>
      <c r="E523" s="3" t="str">
        <f>IFERROR(__xludf.DUMMYFUNCTION("""COMPUTED_VALUE"""),"Cliente")</f>
        <v>Cliente</v>
      </c>
      <c r="F523" s="3" t="str">
        <f>IFERROR(__xludf.DUMMYFUNCTION("""COMPUTED_VALUE"""),"Paulo")</f>
        <v>Paulo</v>
      </c>
      <c r="G523" s="3" t="str">
        <f>IFERROR(__xludf.DUMMYFUNCTION("""COMPUTED_VALUE"""),"Cliente alegou que não gostou do suco e devolveu.")</f>
        <v>Cliente alegou que não gostou do suco e devolveu.</v>
      </c>
      <c r="I523" s="4"/>
    </row>
    <row r="524">
      <c r="A524" s="2">
        <f>IFERROR(__xludf.DUMMYFUNCTION("""COMPUTED_VALUE"""),45973.0)</f>
        <v>45973</v>
      </c>
      <c r="B524" s="3" t="str">
        <f>IFERROR(__xludf.DUMMYFUNCTION("""COMPUTED_VALUE"""),"Copo shot")</f>
        <v>Copo shot</v>
      </c>
      <c r="C524" s="3" t="str">
        <f>IFERROR(__xludf.DUMMYFUNCTION("""COMPUTED_VALUE"""),"Utensílio")</f>
        <v>Utensílio</v>
      </c>
      <c r="D524" s="3">
        <f>IFERROR(__xludf.DUMMYFUNCTION("""COMPUTED_VALUE"""),1.0)</f>
        <v>1</v>
      </c>
      <c r="E524" s="3" t="str">
        <f>IFERROR(__xludf.DUMMYFUNCTION("""COMPUTED_VALUE"""),"Quebra")</f>
        <v>Quebra</v>
      </c>
      <c r="F524" s="3" t="str">
        <f>IFERROR(__xludf.DUMMYFUNCTION("""COMPUTED_VALUE"""),"Jonathan")</f>
        <v>Jonathan</v>
      </c>
      <c r="G524" s="3" t="str">
        <f>IFERROR(__xludf.DUMMYFUNCTION("""COMPUTED_VALUE"""),"Encontrado quebrado em baixo de mesa durante limpeza do salão")</f>
        <v>Encontrado quebrado em baixo de mesa durante limpeza do salão</v>
      </c>
      <c r="I524" s="4"/>
    </row>
    <row r="525">
      <c r="A525" s="2">
        <f>IFERROR(__xludf.DUMMYFUNCTION("""COMPUTED_VALUE"""),45974.0)</f>
        <v>45974</v>
      </c>
      <c r="B525" s="3" t="str">
        <f>IFERROR(__xludf.DUMMYFUNCTION("""COMPUTED_VALUE"""),"alface")</f>
        <v>alface</v>
      </c>
      <c r="C525" s="3" t="str">
        <f>IFERROR(__xludf.DUMMYFUNCTION("""COMPUTED_VALUE"""),"Hortifruti")</f>
        <v>Hortifruti</v>
      </c>
      <c r="D525" s="3" t="str">
        <f>IFERROR(__xludf.DUMMYFUNCTION("""COMPUTED_VALUE"""),"328g")</f>
        <v>328g</v>
      </c>
      <c r="E525" s="3" t="str">
        <f>IFERROR(__xludf.DUMMYFUNCTION("""COMPUTED_VALUE"""),"Venceu (Validade)")</f>
        <v>Venceu (Validade)</v>
      </c>
      <c r="F525" s="3" t="str">
        <f>IFERROR(__xludf.DUMMYFUNCTION("""COMPUTED_VALUE"""),"Edna")</f>
        <v>Edna</v>
      </c>
      <c r="G525" s="3" t="str">
        <f>IFERROR(__xludf.DUMMYFUNCTION("""COMPUTED_VALUE"""),"estava rui")</f>
        <v>estava rui</v>
      </c>
      <c r="I525" s="4"/>
    </row>
    <row r="526">
      <c r="A526" s="2">
        <f>IFERROR(__xludf.DUMMYFUNCTION("""COMPUTED_VALUE"""),45975.0)</f>
        <v>45975</v>
      </c>
      <c r="B526" s="3" t="str">
        <f>IFERROR(__xludf.DUMMYFUNCTION("""COMPUTED_VALUE"""),"Copo shot")</f>
        <v>Copo shot</v>
      </c>
      <c r="C526" s="3" t="str">
        <f>IFERROR(__xludf.DUMMYFUNCTION("""COMPUTED_VALUE"""),"Utensílio")</f>
        <v>Utensílio</v>
      </c>
      <c r="D526" s="3">
        <f>IFERROR(__xludf.DUMMYFUNCTION("""COMPUTED_VALUE"""),1.0)</f>
        <v>1</v>
      </c>
      <c r="E526" s="3" t="str">
        <f>IFERROR(__xludf.DUMMYFUNCTION("""COMPUTED_VALUE"""),"Quebra")</f>
        <v>Quebra</v>
      </c>
      <c r="F526" s="3" t="str">
        <f>IFERROR(__xludf.DUMMYFUNCTION("""COMPUTED_VALUE"""),"Melissa")</f>
        <v>Melissa</v>
      </c>
      <c r="G526" s="3" t="str">
        <f>IFERROR(__xludf.DUMMYFUNCTION("""COMPUTED_VALUE"""),"Trincado na bandeja de copos shot")</f>
        <v>Trincado na bandeja de copos shot</v>
      </c>
      <c r="I526" s="4"/>
    </row>
    <row r="527">
      <c r="A527" s="2">
        <f>IFERROR(__xludf.DUMMYFUNCTION("""COMPUTED_VALUE"""),45977.0)</f>
        <v>45977</v>
      </c>
      <c r="B527" s="3" t="str">
        <f>IFERROR(__xludf.DUMMYFUNCTION("""COMPUTED_VALUE"""),"frape")</f>
        <v>frape</v>
      </c>
      <c r="C527" s="3" t="str">
        <f>IFERROR(__xludf.DUMMYFUNCTION("""COMPUTED_VALUE"""),"Produto final")</f>
        <v>Produto final</v>
      </c>
      <c r="D527" s="3">
        <f>IFERROR(__xludf.DUMMYFUNCTION("""COMPUTED_VALUE"""),1.0)</f>
        <v>1</v>
      </c>
      <c r="E527" s="3" t="str">
        <f>IFERROR(__xludf.DUMMYFUNCTION("""COMPUTED_VALUE"""),"Cliente")</f>
        <v>Cliente</v>
      </c>
      <c r="F527" s="3" t="str">
        <f>IFERROR(__xludf.DUMMYFUNCTION("""COMPUTED_VALUE"""),"Beatriz")</f>
        <v>Beatriz</v>
      </c>
      <c r="G527" s="3" t="str">
        <f>IFERROR(__xludf.DUMMYFUNCTION("""COMPUTED_VALUE"""),"clinte  nao quise  porque nao pode come sorvete")</f>
        <v>clinte  nao quise  porque nao pode come sorvete</v>
      </c>
      <c r="I527" s="4"/>
    </row>
    <row r="528">
      <c r="A528" s="2">
        <f>IFERROR(__xludf.DUMMYFUNCTION("""COMPUTED_VALUE"""),45978.0)</f>
        <v>45978</v>
      </c>
      <c r="B528" s="3" t="str">
        <f>IFERROR(__xludf.DUMMYFUNCTION("""COMPUTED_VALUE"""),"capuccino diet")</f>
        <v>capuccino diet</v>
      </c>
      <c r="C528" s="3" t="str">
        <f>IFERROR(__xludf.DUMMYFUNCTION("""COMPUTED_VALUE"""),"Produto final")</f>
        <v>Produto final</v>
      </c>
      <c r="D528" s="3">
        <f>IFERROR(__xludf.DUMMYFUNCTION("""COMPUTED_VALUE"""),1.0)</f>
        <v>1</v>
      </c>
      <c r="E528" s="3" t="str">
        <f>IFERROR(__xludf.DUMMYFUNCTION("""COMPUTED_VALUE"""),"Erro de processo")</f>
        <v>Erro de processo</v>
      </c>
      <c r="F528" s="3" t="str">
        <f>IFERROR(__xludf.DUMMYFUNCTION("""COMPUTED_VALUE"""),"Patrícia")</f>
        <v>Patrícia</v>
      </c>
      <c r="G528" s="3" t="str">
        <f>IFERROR(__xludf.DUMMYFUNCTION("""COMPUTED_VALUE"""),"faz 2 e era so 1")</f>
        <v>faz 2 e era so 1</v>
      </c>
      <c r="I528" s="4"/>
    </row>
    <row r="529">
      <c r="A529" s="2">
        <f>IFERROR(__xludf.DUMMYFUNCTION("""COMPUTED_VALUE"""),45978.0)</f>
        <v>45978</v>
      </c>
      <c r="B529" s="3" t="str">
        <f>IFERROR(__xludf.DUMMYFUNCTION("""COMPUTED_VALUE"""),"coado frutado")</f>
        <v>coado frutado</v>
      </c>
      <c r="C529" s="3" t="str">
        <f>IFERROR(__xludf.DUMMYFUNCTION("""COMPUTED_VALUE"""),"Insumo")</f>
        <v>Insumo</v>
      </c>
      <c r="D529" s="3">
        <f>IFERROR(__xludf.DUMMYFUNCTION("""COMPUTED_VALUE"""),1.0)</f>
        <v>1</v>
      </c>
      <c r="E529" s="3" t="str">
        <f>IFERROR(__xludf.DUMMYFUNCTION("""COMPUTED_VALUE"""),"Cliente")</f>
        <v>Cliente</v>
      </c>
      <c r="F529" s="3" t="str">
        <f>IFERROR(__xludf.DUMMYFUNCTION("""COMPUTED_VALUE"""),"Rafael")</f>
        <v>Rafael</v>
      </c>
      <c r="G529" s="3" t="str">
        <f>IFERROR(__xludf.DUMMYFUNCTION("""COMPUTED_VALUE"""),"cliente disse que tava muito fraco")</f>
        <v>cliente disse que tava muito fraco</v>
      </c>
      <c r="I529" s="4"/>
    </row>
    <row r="530">
      <c r="A530" s="2">
        <f>IFERROR(__xludf.DUMMYFUNCTION("""COMPUTED_VALUE"""),45979.0)</f>
        <v>45979</v>
      </c>
      <c r="B530" s="3" t="str">
        <f>IFERROR(__xludf.DUMMYFUNCTION("""COMPUTED_VALUE"""),"Xícara pequena")</f>
        <v>Xícara pequena</v>
      </c>
      <c r="C530" s="3" t="str">
        <f>IFERROR(__xludf.DUMMYFUNCTION("""COMPUTED_VALUE"""),"Utensílio")</f>
        <v>Utensílio</v>
      </c>
      <c r="D530" s="3">
        <f>IFERROR(__xludf.DUMMYFUNCTION("""COMPUTED_VALUE"""),1.0)</f>
        <v>1</v>
      </c>
      <c r="E530" s="3" t="str">
        <f>IFERROR(__xludf.DUMMYFUNCTION("""COMPUTED_VALUE"""),"Quebra")</f>
        <v>Quebra</v>
      </c>
      <c r="F530" s="3" t="str">
        <f>IFERROR(__xludf.DUMMYFUNCTION("""COMPUTED_VALUE"""),"Melissa")</f>
        <v>Melissa</v>
      </c>
      <c r="G530" s="3" t="str">
        <f>IFERROR(__xludf.DUMMYFUNCTION("""COMPUTED_VALUE"""),"Quebra durante manuseio.")</f>
        <v>Quebra durante manuseio.</v>
      </c>
      <c r="I530" s="4"/>
    </row>
    <row r="531">
      <c r="A531" s="2">
        <f>IFERROR(__xludf.DUMMYFUNCTION("""COMPUTED_VALUE"""),45979.0)</f>
        <v>45979</v>
      </c>
      <c r="B531" s="3" t="str">
        <f>IFERROR(__xludf.DUMMYFUNCTION("""COMPUTED_VALUE"""),"Tapioca (massa)")</f>
        <v>Tapioca (massa)</v>
      </c>
      <c r="C531" s="3" t="str">
        <f>IFERROR(__xludf.DUMMYFUNCTION("""COMPUTED_VALUE"""),"Insumo")</f>
        <v>Insumo</v>
      </c>
      <c r="D531" s="3" t="str">
        <f>IFERROR(__xludf.DUMMYFUNCTION("""COMPUTED_VALUE"""),"70g")</f>
        <v>70g</v>
      </c>
      <c r="E531" s="3" t="str">
        <f>IFERROR(__xludf.DUMMYFUNCTION("""COMPUTED_VALUE"""),"Erro de processo")</f>
        <v>Erro de processo</v>
      </c>
      <c r="F531" s="3" t="str">
        <f>IFERROR(__xludf.DUMMYFUNCTION("""COMPUTED_VALUE"""),"Ana Júlia")</f>
        <v>Ana Júlia</v>
      </c>
      <c r="G531" s="3" t="str">
        <f>IFERROR(__xludf.DUMMYFUNCTION("""COMPUTED_VALUE"""),"Fez errado")</f>
        <v>Fez errado</v>
      </c>
      <c r="I531" s="4"/>
    </row>
    <row r="532">
      <c r="A532" s="2">
        <f>IFERROR(__xludf.DUMMYFUNCTION("""COMPUTED_VALUE"""),45980.0)</f>
        <v>45980</v>
      </c>
      <c r="B532" s="3" t="str">
        <f>IFERROR(__xludf.DUMMYFUNCTION("""COMPUTED_VALUE"""),"capuccino italiano")</f>
        <v>capuccino italiano</v>
      </c>
      <c r="C532" s="3" t="str">
        <f>IFERROR(__xludf.DUMMYFUNCTION("""COMPUTED_VALUE"""),"Produto final")</f>
        <v>Produto final</v>
      </c>
      <c r="D532" s="3">
        <f>IFERROR(__xludf.DUMMYFUNCTION("""COMPUTED_VALUE"""),1.0)</f>
        <v>1</v>
      </c>
      <c r="E532" s="3" t="str">
        <f>IFERROR(__xludf.DUMMYFUNCTION("""COMPUTED_VALUE"""),"Erro de processo")</f>
        <v>Erro de processo</v>
      </c>
      <c r="F532" s="3" t="str">
        <f>IFERROR(__xludf.DUMMYFUNCTION("""COMPUTED_VALUE"""),"Rafael")</f>
        <v>Rafael</v>
      </c>
      <c r="G532" s="3" t="str">
        <f>IFERROR(__xludf.DUMMYFUNCTION("""COMPUTED_VALUE"""),"cliente pediu cafe com leite")</f>
        <v>cliente pediu cafe com leite</v>
      </c>
      <c r="I532" s="4"/>
    </row>
    <row r="533">
      <c r="A533" s="2">
        <f>IFERROR(__xludf.DUMMYFUNCTION("""COMPUTED_VALUE"""),45981.0)</f>
        <v>45981</v>
      </c>
      <c r="B533" s="3" t="str">
        <f>IFERROR(__xludf.DUMMYFUNCTION("""COMPUTED_VALUE"""),"Palha Italiana")</f>
        <v>Palha Italiana</v>
      </c>
      <c r="C533" s="3" t="str">
        <f>IFERROR(__xludf.DUMMYFUNCTION("""COMPUTED_VALUE"""),"Produto final")</f>
        <v>Produto final</v>
      </c>
      <c r="D533" s="3">
        <f>IFERROR(__xludf.DUMMYFUNCTION("""COMPUTED_VALUE"""),1.0)</f>
        <v>1</v>
      </c>
      <c r="E533" s="3" t="str">
        <f>IFERROR(__xludf.DUMMYFUNCTION("""COMPUTED_VALUE"""),"Venceu (Validade)")</f>
        <v>Venceu (Validade)</v>
      </c>
      <c r="F533" s="3" t="str">
        <f>IFERROR(__xludf.DUMMYFUNCTION("""COMPUTED_VALUE"""),"Alex")</f>
        <v>Alex</v>
      </c>
      <c r="G533" s="3" t="str">
        <f>IFERROR(__xludf.DUMMYFUNCTION("""COMPUTED_VALUE"""),"Vencida na geladeira e quebrada")</f>
        <v>Vencida na geladeira e quebrada</v>
      </c>
      <c r="I533" s="4"/>
    </row>
    <row r="534">
      <c r="A534" s="2">
        <f>IFERROR(__xludf.DUMMYFUNCTION("""COMPUTED_VALUE"""),45982.0)</f>
        <v>45982</v>
      </c>
      <c r="B534" s="3" t="str">
        <f>IFERROR(__xludf.DUMMYFUNCTION("""COMPUTED_VALUE"""),"torta banoffe")</f>
        <v>torta banoffe</v>
      </c>
      <c r="C534" s="3" t="str">
        <f>IFERROR(__xludf.DUMMYFUNCTION("""COMPUTED_VALUE"""),"Produto final")</f>
        <v>Produto final</v>
      </c>
      <c r="D534" s="3">
        <f>IFERROR(__xludf.DUMMYFUNCTION("""COMPUTED_VALUE"""),1.0)</f>
        <v>1</v>
      </c>
      <c r="E534" s="3" t="str">
        <f>IFERROR(__xludf.DUMMYFUNCTION("""COMPUTED_VALUE"""),"Erro de processo")</f>
        <v>Erro de processo</v>
      </c>
      <c r="F534" s="3" t="str">
        <f>IFERROR(__xludf.DUMMYFUNCTION("""COMPUTED_VALUE"""),"Francisca")</f>
        <v>Francisca</v>
      </c>
      <c r="G534" s="3" t="str">
        <f>IFERROR(__xludf.DUMMYFUNCTION("""COMPUTED_VALUE"""),"estava muito pequeno o pedaço")</f>
        <v>estava muito pequeno o pedaço</v>
      </c>
      <c r="I534" s="4"/>
    </row>
    <row r="535">
      <c r="A535" s="2">
        <f>IFERROR(__xludf.DUMMYFUNCTION("""COMPUTED_VALUE"""),45984.0)</f>
        <v>45984</v>
      </c>
      <c r="B535" s="3" t="str">
        <f>IFERROR(__xludf.DUMMYFUNCTION("""COMPUTED_VALUE"""),"rucula")</f>
        <v>rucula</v>
      </c>
      <c r="C535" s="3" t="str">
        <f>IFERROR(__xludf.DUMMYFUNCTION("""COMPUTED_VALUE"""),"Hortifruti")</f>
        <v>Hortifruti</v>
      </c>
      <c r="D535" s="3" t="str">
        <f>IFERROR(__xludf.DUMMYFUNCTION("""COMPUTED_VALUE"""),"251g")</f>
        <v>251g</v>
      </c>
      <c r="E535" s="3" t="str">
        <f>IFERROR(__xludf.DUMMYFUNCTION("""COMPUTED_VALUE"""),"Venceu (Validade)")</f>
        <v>Venceu (Validade)</v>
      </c>
      <c r="F535" s="3" t="str">
        <f>IFERROR(__xludf.DUMMYFUNCTION("""COMPUTED_VALUE"""),"Jonathan")</f>
        <v>Jonathan</v>
      </c>
      <c r="G535" s="3" t="str">
        <f>IFERROR(__xludf.DUMMYFUNCTION("""COMPUTED_VALUE"""),"estava muito feia nao dava pra usar")</f>
        <v>estava muito feia nao dava pra usar</v>
      </c>
      <c r="I535" s="4"/>
    </row>
    <row r="536">
      <c r="A536" s="2">
        <f>IFERROR(__xludf.DUMMYFUNCTION("""COMPUTED_VALUE"""),45984.0)</f>
        <v>45984</v>
      </c>
      <c r="B536" s="3" t="str">
        <f>IFERROR(__xludf.DUMMYFUNCTION("""COMPUTED_VALUE"""),"ice capuccino")</f>
        <v>ice capuccino</v>
      </c>
      <c r="C536" s="3" t="str">
        <f>IFERROR(__xludf.DUMMYFUNCTION("""COMPUTED_VALUE"""),"Produto final")</f>
        <v>Produto final</v>
      </c>
      <c r="D536" s="3">
        <f>IFERROR(__xludf.DUMMYFUNCTION("""COMPUTED_VALUE"""),1.0)</f>
        <v>1</v>
      </c>
      <c r="E536" s="3" t="str">
        <f>IFERROR(__xludf.DUMMYFUNCTION("""COMPUTED_VALUE"""),"Erro de processo")</f>
        <v>Erro de processo</v>
      </c>
      <c r="F536" s="3" t="str">
        <f>IFERROR(__xludf.DUMMYFUNCTION("""COMPUTED_VALUE"""),"Melissa")</f>
        <v>Melissa</v>
      </c>
      <c r="G536" s="3" t="str">
        <f>IFERROR(__xludf.DUMMYFUNCTION("""COMPUTED_VALUE"""),"feito errado")</f>
        <v>feito errado</v>
      </c>
      <c r="I536" s="4"/>
    </row>
    <row r="537">
      <c r="A537" s="2">
        <f>IFERROR(__xludf.DUMMYFUNCTION("""COMPUTED_VALUE"""),45984.0)</f>
        <v>45984</v>
      </c>
      <c r="B537" s="3" t="str">
        <f>IFERROR(__xludf.DUMMYFUNCTION("""COMPUTED_VALUE"""),"coca zero")</f>
        <v>coca zero</v>
      </c>
      <c r="C537" s="3" t="str">
        <f>IFERROR(__xludf.DUMMYFUNCTION("""COMPUTED_VALUE"""),"Produto final")</f>
        <v>Produto final</v>
      </c>
      <c r="D537" s="3">
        <f>IFERROR(__xludf.DUMMYFUNCTION("""COMPUTED_VALUE"""),2.0)</f>
        <v>2</v>
      </c>
      <c r="E537" s="3" t="str">
        <f>IFERROR(__xludf.DUMMYFUNCTION("""COMPUTED_VALUE"""),"Outro")</f>
        <v>Outro</v>
      </c>
      <c r="F537" s="3" t="str">
        <f>IFERROR(__xludf.DUMMYFUNCTION("""COMPUTED_VALUE"""),"Rafael")</f>
        <v>Rafael</v>
      </c>
      <c r="G537" s="3" t="str">
        <f>IFERROR(__xludf.DUMMYFUNCTION("""COMPUTED_VALUE"""),"estava estufada nao tinha como vender")</f>
        <v>estava estufada nao tinha como vender</v>
      </c>
      <c r="I537" s="4"/>
    </row>
    <row r="538">
      <c r="A538" s="2">
        <f>IFERROR(__xludf.DUMMYFUNCTION("""COMPUTED_VALUE"""),45984.0)</f>
        <v>45984</v>
      </c>
      <c r="B538" s="3" t="str">
        <f>IFERROR(__xludf.DUMMYFUNCTION("""COMPUTED_VALUE"""),"capuccino italiano")</f>
        <v>capuccino italiano</v>
      </c>
      <c r="C538" s="3" t="str">
        <f>IFERROR(__xludf.DUMMYFUNCTION("""COMPUTED_VALUE"""),"Produto final")</f>
        <v>Produto final</v>
      </c>
      <c r="D538" s="3">
        <f>IFERROR(__xludf.DUMMYFUNCTION("""COMPUTED_VALUE"""),1.0)</f>
        <v>1</v>
      </c>
      <c r="E538" s="3" t="str">
        <f>IFERROR(__xludf.DUMMYFUNCTION("""COMPUTED_VALUE"""),"Erro de processo")</f>
        <v>Erro de processo</v>
      </c>
      <c r="F538" s="3" t="str">
        <f>IFERROR(__xludf.DUMMYFUNCTION("""COMPUTED_VALUE"""),"Rafael")</f>
        <v>Rafael</v>
      </c>
      <c r="G538" s="3" t="str">
        <f>IFERROR(__xludf.DUMMYFUNCTION("""COMPUTED_VALUE"""),"era latte e fez capuccino")</f>
        <v>era latte e fez capuccino</v>
      </c>
      <c r="I538" s="4"/>
    </row>
    <row r="539">
      <c r="A539" s="2">
        <f>IFERROR(__xludf.DUMMYFUNCTION("""COMPUTED_VALUE"""),45985.0)</f>
        <v>45985</v>
      </c>
      <c r="B539" s="3" t="str">
        <f>IFERROR(__xludf.DUMMYFUNCTION("""COMPUTED_VALUE"""),"Paste de Belém")</f>
        <v>Paste de Belém</v>
      </c>
      <c r="C539" s="3" t="str">
        <f>IFERROR(__xludf.DUMMYFUNCTION("""COMPUTED_VALUE"""),"Produto final")</f>
        <v>Produto final</v>
      </c>
      <c r="D539" s="3">
        <f>IFERROR(__xludf.DUMMYFUNCTION("""COMPUTED_VALUE"""),1.0)</f>
        <v>1</v>
      </c>
      <c r="E539" s="3" t="str">
        <f>IFERROR(__xludf.DUMMYFUNCTION("""COMPUTED_VALUE"""),"Cliente")</f>
        <v>Cliente</v>
      </c>
      <c r="F539" s="3" t="str">
        <f>IFERROR(__xludf.DUMMYFUNCTION("""COMPUTED_VALUE"""),"Michele")</f>
        <v>Michele</v>
      </c>
      <c r="G539" s="3" t="str">
        <f>IFERROR(__xludf.DUMMYFUNCTION("""COMPUTED_VALUE"""),"Cliente alegou que não gostou. Disse que estava duro.")</f>
        <v>Cliente alegou que não gostou. Disse que estava duro.</v>
      </c>
      <c r="I539" s="4"/>
    </row>
    <row r="540">
      <c r="A540" s="2">
        <f>IFERROR(__xludf.DUMMYFUNCTION("""COMPUTED_VALUE"""),45985.0)</f>
        <v>45985</v>
      </c>
      <c r="B540" s="3" t="str">
        <f>IFERROR(__xludf.DUMMYFUNCTION("""COMPUTED_VALUE"""),"Matcha Quente")</f>
        <v>Matcha Quente</v>
      </c>
      <c r="C540" s="3" t="str">
        <f>IFERROR(__xludf.DUMMYFUNCTION("""COMPUTED_VALUE"""),"Produto final")</f>
        <v>Produto final</v>
      </c>
      <c r="D540" s="3">
        <f>IFERROR(__xludf.DUMMYFUNCTION("""COMPUTED_VALUE"""),1.0)</f>
        <v>1</v>
      </c>
      <c r="E540" s="3" t="str">
        <f>IFERROR(__xludf.DUMMYFUNCTION("""COMPUTED_VALUE"""),"Erro de processo")</f>
        <v>Erro de processo</v>
      </c>
      <c r="F540" s="3" t="str">
        <f>IFERROR(__xludf.DUMMYFUNCTION("""COMPUTED_VALUE"""),"Melissa")</f>
        <v>Melissa</v>
      </c>
      <c r="G540" s="3" t="str">
        <f>IFERROR(__xludf.DUMMYFUNCTION("""COMPUTED_VALUE"""),"Cliente pediu Vegano e foi feito com leite integral")</f>
        <v>Cliente pediu Vegano e foi feito com leite integral</v>
      </c>
      <c r="I540" s="4"/>
    </row>
    <row r="541">
      <c r="A541" s="2">
        <f>IFERROR(__xludf.DUMMYFUNCTION("""COMPUTED_VALUE"""),45986.0)</f>
        <v>45986</v>
      </c>
      <c r="B541" s="3" t="str">
        <f>IFERROR(__xludf.DUMMYFUNCTION("""COMPUTED_VALUE"""),"prensa")</f>
        <v>prensa</v>
      </c>
      <c r="C541" s="3" t="str">
        <f>IFERROR(__xludf.DUMMYFUNCTION("""COMPUTED_VALUE"""),"Utensílio")</f>
        <v>Utensílio</v>
      </c>
      <c r="D541" s="3">
        <f>IFERROR(__xludf.DUMMYFUNCTION("""COMPUTED_VALUE"""),1.0)</f>
        <v>1</v>
      </c>
      <c r="E541" s="3" t="str">
        <f>IFERROR(__xludf.DUMMYFUNCTION("""COMPUTED_VALUE"""),"Quebra")</f>
        <v>Quebra</v>
      </c>
      <c r="F541" s="3" t="str">
        <f>IFERROR(__xludf.DUMMYFUNCTION("""COMPUTED_VALUE"""),"Rafael")</f>
        <v>Rafael</v>
      </c>
      <c r="G541" s="3" t="str">
        <f>IFERROR(__xludf.DUMMYFUNCTION("""COMPUTED_VALUE"""),"na horas de lava")</f>
        <v>na horas de lava</v>
      </c>
      <c r="I541" s="4"/>
    </row>
    <row r="542">
      <c r="A542" s="2">
        <f>IFERROR(__xludf.DUMMYFUNCTION("""COMPUTED_VALUE"""),45986.0)</f>
        <v>45986</v>
      </c>
      <c r="B542" s="3" t="str">
        <f>IFERROR(__xludf.DUMMYFUNCTION("""COMPUTED_VALUE"""),"tomate")</f>
        <v>tomate</v>
      </c>
      <c r="C542" s="3" t="str">
        <f>IFERROR(__xludf.DUMMYFUNCTION("""COMPUTED_VALUE"""),"Hortifruti")</f>
        <v>Hortifruti</v>
      </c>
      <c r="D542" s="3" t="str">
        <f>IFERROR(__xludf.DUMMYFUNCTION("""COMPUTED_VALUE"""),"217g")</f>
        <v>217g</v>
      </c>
      <c r="E542" s="3" t="str">
        <f>IFERROR(__xludf.DUMMYFUNCTION("""COMPUTED_VALUE"""),"Venceu (Validade)")</f>
        <v>Venceu (Validade)</v>
      </c>
      <c r="F542" s="3" t="str">
        <f>IFERROR(__xludf.DUMMYFUNCTION("""COMPUTED_VALUE"""),"Francisca")</f>
        <v>Francisca</v>
      </c>
      <c r="G542" s="3" t="str">
        <f>IFERROR(__xludf.DUMMYFUNCTION("""COMPUTED_VALUE"""),"estav rui")</f>
        <v>estav rui</v>
      </c>
      <c r="I542" s="4"/>
    </row>
    <row r="543">
      <c r="A543" s="2">
        <f>IFERROR(__xludf.DUMMYFUNCTION("""COMPUTED_VALUE"""),45987.0)</f>
        <v>45987</v>
      </c>
      <c r="B543" s="3" t="str">
        <f>IFERROR(__xludf.DUMMYFUNCTION("""COMPUTED_VALUE"""),"rucula")</f>
        <v>rucula</v>
      </c>
      <c r="C543" s="3" t="str">
        <f>IFERROR(__xludf.DUMMYFUNCTION("""COMPUTED_VALUE"""),"Hortifruti")</f>
        <v>Hortifruti</v>
      </c>
      <c r="D543" s="3" t="str">
        <f>IFERROR(__xludf.DUMMYFUNCTION("""COMPUTED_VALUE"""),"560g")</f>
        <v>560g</v>
      </c>
      <c r="E543" s="3" t="str">
        <f>IFERROR(__xludf.DUMMYFUNCTION("""COMPUTED_VALUE"""),"Venceu (Validade)")</f>
        <v>Venceu (Validade)</v>
      </c>
      <c r="F543" s="3" t="str">
        <f>IFERROR(__xludf.DUMMYFUNCTION("""COMPUTED_VALUE"""),"Ana Júlia")</f>
        <v>Ana Júlia</v>
      </c>
      <c r="G543" s="3" t="str">
        <f>IFERROR(__xludf.DUMMYFUNCTION("""COMPUTED_VALUE"""),"estava amarela")</f>
        <v>estava amarela</v>
      </c>
      <c r="I543" s="4"/>
    </row>
    <row r="544">
      <c r="A544" s="2">
        <f>IFERROR(__xludf.DUMMYFUNCTION("""COMPUTED_VALUE"""),45988.0)</f>
        <v>45988</v>
      </c>
      <c r="B544" s="3" t="str">
        <f>IFERROR(__xludf.DUMMYFUNCTION("""COMPUTED_VALUE"""),"copo xote ")</f>
        <v>copo xote </v>
      </c>
      <c r="C544" s="3" t="str">
        <f>IFERROR(__xludf.DUMMYFUNCTION("""COMPUTED_VALUE"""),"Utensílio")</f>
        <v>Utensílio</v>
      </c>
      <c r="D544" s="3">
        <f>IFERROR(__xludf.DUMMYFUNCTION("""COMPUTED_VALUE"""),3.0)</f>
        <v>3</v>
      </c>
      <c r="E544" s="3" t="str">
        <f>IFERROR(__xludf.DUMMYFUNCTION("""COMPUTED_VALUE"""),"Quebra")</f>
        <v>Quebra</v>
      </c>
      <c r="F544" s="3" t="str">
        <f>IFERROR(__xludf.DUMMYFUNCTION("""COMPUTED_VALUE"""),"Rafael")</f>
        <v>Rafael</v>
      </c>
      <c r="G544" s="3" t="str">
        <f>IFERROR(__xludf.DUMMYFUNCTION("""COMPUTED_VALUE"""),"2 sai quebrado da maquina de louca 1 outro ele deixou caie")</f>
        <v>2 sai quebrado da maquina de louca 1 outro ele deixou caie</v>
      </c>
      <c r="I544" s="4"/>
    </row>
    <row r="545">
      <c r="A545" s="2">
        <f>IFERROR(__xludf.DUMMYFUNCTION("""COMPUTED_VALUE"""),45988.0)</f>
        <v>45988</v>
      </c>
      <c r="B545" s="3" t="str">
        <f>IFERROR(__xludf.DUMMYFUNCTION("""COMPUTED_VALUE"""),"Coco zero ")</f>
        <v>Coco zero </v>
      </c>
      <c r="C545" s="3" t="str">
        <f>IFERROR(__xludf.DUMMYFUNCTION("""COMPUTED_VALUE"""),"Produto final")</f>
        <v>Produto final</v>
      </c>
      <c r="D545" s="3">
        <f>IFERROR(__xludf.DUMMYFUNCTION("""COMPUTED_VALUE"""),1.0)</f>
        <v>1</v>
      </c>
      <c r="E545" s="3" t="str">
        <f>IFERROR(__xludf.DUMMYFUNCTION("""COMPUTED_VALUE"""),"Cliente")</f>
        <v>Cliente</v>
      </c>
      <c r="F545" s="3" t="str">
        <f>IFERROR(__xludf.DUMMYFUNCTION("""COMPUTED_VALUE"""),"Edna")</f>
        <v>Edna</v>
      </c>
      <c r="G545" s="3" t="str">
        <f>IFERROR(__xludf.DUMMYFUNCTION("""COMPUTED_VALUE"""),"Cliente não consegue abrir só ficou tipo um buraco pequeno na coca ")</f>
        <v>Cliente não consegue abrir só ficou tipo um buraco pequeno na coca </v>
      </c>
      <c r="I545" s="4"/>
    </row>
    <row r="546">
      <c r="A546" s="2">
        <f>IFERROR(__xludf.DUMMYFUNCTION("""COMPUTED_VALUE"""),45989.0)</f>
        <v>45989</v>
      </c>
      <c r="B546" s="3" t="str">
        <f>IFERROR(__xludf.DUMMYFUNCTION("""COMPUTED_VALUE"""),"Croissant simples")</f>
        <v>Croissant simples</v>
      </c>
      <c r="C546" s="3" t="str">
        <f>IFERROR(__xludf.DUMMYFUNCTION("""COMPUTED_VALUE"""),"Produto final")</f>
        <v>Produto final</v>
      </c>
      <c r="D546" s="3">
        <f>IFERROR(__xludf.DUMMYFUNCTION("""COMPUTED_VALUE"""),1.0)</f>
        <v>1</v>
      </c>
      <c r="E546" s="3" t="str">
        <f>IFERROR(__xludf.DUMMYFUNCTION("""COMPUTED_VALUE"""),"Erro de processo")</f>
        <v>Erro de processo</v>
      </c>
      <c r="F546" s="3" t="str">
        <f>IFERROR(__xludf.DUMMYFUNCTION("""COMPUTED_VALUE"""),"Ana Júlia")</f>
        <v>Ana Júlia</v>
      </c>
      <c r="G546" s="3" t="str">
        <f>IFERROR(__xludf.DUMMYFUNCTION("""COMPUTED_VALUE"""),"Deixou queimar")</f>
        <v>Deixou queimar</v>
      </c>
      <c r="I546" s="4"/>
    </row>
    <row r="547">
      <c r="A547" s="2">
        <f>IFERROR(__xludf.DUMMYFUNCTION("""COMPUTED_VALUE"""),45989.0)</f>
        <v>45989</v>
      </c>
      <c r="B547" s="3" t="str">
        <f>IFERROR(__xludf.DUMMYFUNCTION("""COMPUTED_VALUE"""),"Torta Palmito")</f>
        <v>Torta Palmito</v>
      </c>
      <c r="C547" s="3" t="str">
        <f>IFERROR(__xludf.DUMMYFUNCTION("""COMPUTED_VALUE"""),"Produto final")</f>
        <v>Produto final</v>
      </c>
      <c r="D547" s="3">
        <f>IFERROR(__xludf.DUMMYFUNCTION("""COMPUTED_VALUE"""),1.0)</f>
        <v>1</v>
      </c>
      <c r="E547" s="3" t="str">
        <f>IFERROR(__xludf.DUMMYFUNCTION("""COMPUTED_VALUE"""),"Erro de processo")</f>
        <v>Erro de processo</v>
      </c>
      <c r="F547" s="3" t="str">
        <f>IFERROR(__xludf.DUMMYFUNCTION("""COMPUTED_VALUE"""),"Ana Júlia")</f>
        <v>Ana Júlia</v>
      </c>
      <c r="G547" s="3" t="str">
        <f>IFERROR(__xludf.DUMMYFUNCTION("""COMPUTED_VALUE"""),"Deixou cair.")</f>
        <v>Deixou cair.</v>
      </c>
      <c r="I547" s="4"/>
    </row>
    <row r="548">
      <c r="A548" s="2">
        <f>IFERROR(__xludf.DUMMYFUNCTION("""COMPUTED_VALUE"""),45990.0)</f>
        <v>45990</v>
      </c>
      <c r="B548" s="3" t="str">
        <f>IFERROR(__xludf.DUMMYFUNCTION("""COMPUTED_VALUE"""),"tapioca")</f>
        <v>tapioca</v>
      </c>
      <c r="C548" s="3" t="str">
        <f>IFERROR(__xludf.DUMMYFUNCTION("""COMPUTED_VALUE"""),"Insumo")</f>
        <v>Insumo</v>
      </c>
      <c r="D548" s="3" t="str">
        <f>IFERROR(__xludf.DUMMYFUNCTION("""COMPUTED_VALUE"""),"150g")</f>
        <v>150g</v>
      </c>
      <c r="E548" s="3" t="str">
        <f>IFERROR(__xludf.DUMMYFUNCTION("""COMPUTED_VALUE"""),"Erro de processo")</f>
        <v>Erro de processo</v>
      </c>
      <c r="F548" s="3" t="str">
        <f>IFERROR(__xludf.DUMMYFUNCTION("""COMPUTED_VALUE"""),"Jonathan")</f>
        <v>Jonathan</v>
      </c>
      <c r="G548" s="3" t="str">
        <f>IFERROR(__xludf.DUMMYFUNCTION("""COMPUTED_VALUE"""),"nao deu liga e se desmanchou")</f>
        <v>nao deu liga e se desmanchou</v>
      </c>
      <c r="I548" s="4"/>
    </row>
    <row r="549">
      <c r="A549" s="2">
        <f>IFERROR(__xludf.DUMMYFUNCTION("""COMPUTED_VALUE"""),45990.0)</f>
        <v>45990</v>
      </c>
      <c r="B549" s="3" t="str">
        <f>IFERROR(__xludf.DUMMYFUNCTION("""COMPUTED_VALUE"""),"taca de vinho ")</f>
        <v>taca de vinho </v>
      </c>
      <c r="C549" s="3" t="str">
        <f>IFERROR(__xludf.DUMMYFUNCTION("""COMPUTED_VALUE"""),"Utensílio")</f>
        <v>Utensílio</v>
      </c>
      <c r="D549" s="3">
        <f>IFERROR(__xludf.DUMMYFUNCTION("""COMPUTED_VALUE"""),1.0)</f>
        <v>1</v>
      </c>
      <c r="E549" s="3" t="str">
        <f>IFERROR(__xludf.DUMMYFUNCTION("""COMPUTED_VALUE"""),"Quebra")</f>
        <v>Quebra</v>
      </c>
      <c r="F549" s="3" t="str">
        <f>IFERROR(__xludf.DUMMYFUNCTION("""COMPUTED_VALUE"""),"Edna")</f>
        <v>Edna</v>
      </c>
      <c r="G549" s="3" t="str">
        <f>IFERROR(__xludf.DUMMYFUNCTION("""COMPUTED_VALUE"""),"bateu")</f>
        <v>bateu</v>
      </c>
      <c r="I549" s="4"/>
    </row>
    <row r="550">
      <c r="A550" s="2">
        <f>IFERROR(__xludf.DUMMYFUNCTION("""COMPUTED_VALUE"""),45990.0)</f>
        <v>45990</v>
      </c>
      <c r="B550" s="3" t="str">
        <f>IFERROR(__xludf.DUMMYFUNCTION("""COMPUTED_VALUE"""),"copo grande")</f>
        <v>copo grande</v>
      </c>
      <c r="C550" s="3" t="str">
        <f>IFERROR(__xludf.DUMMYFUNCTION("""COMPUTED_VALUE"""),"Utensílio")</f>
        <v>Utensílio</v>
      </c>
      <c r="D550" s="3">
        <f>IFERROR(__xludf.DUMMYFUNCTION("""COMPUTED_VALUE"""),1.0)</f>
        <v>1</v>
      </c>
      <c r="E550" s="3" t="str">
        <f>IFERROR(__xludf.DUMMYFUNCTION("""COMPUTED_VALUE"""),"Quebra")</f>
        <v>Quebra</v>
      </c>
      <c r="F550" s="3" t="str">
        <f>IFERROR(__xludf.DUMMYFUNCTION("""COMPUTED_VALUE"""),"Jonathan")</f>
        <v>Jonathan</v>
      </c>
      <c r="G550" s="3" t="str">
        <f>IFERROR(__xludf.DUMMYFUNCTION("""COMPUTED_VALUE"""),"bateu")</f>
        <v>bateu</v>
      </c>
      <c r="I550" s="4"/>
    </row>
    <row r="551">
      <c r="A551" s="2">
        <f>IFERROR(__xludf.DUMMYFUNCTION("""COMPUTED_VALUE"""),45991.0)</f>
        <v>45991</v>
      </c>
      <c r="B551" s="3" t="str">
        <f>IFERROR(__xludf.DUMMYFUNCTION("""COMPUTED_VALUE"""),"Bolo de laranja ")</f>
        <v>Bolo de laranja </v>
      </c>
      <c r="C551" s="3" t="str">
        <f>IFERROR(__xludf.DUMMYFUNCTION("""COMPUTED_VALUE"""),"Produto final")</f>
        <v>Produto final</v>
      </c>
      <c r="D551" s="3">
        <f>IFERROR(__xludf.DUMMYFUNCTION("""COMPUTED_VALUE"""),1.0)</f>
        <v>1</v>
      </c>
      <c r="E551" s="3" t="str">
        <f>IFERROR(__xludf.DUMMYFUNCTION("""COMPUTED_VALUE"""),"Erro de processo")</f>
        <v>Erro de processo</v>
      </c>
      <c r="F551" s="3" t="str">
        <f>IFERROR(__xludf.DUMMYFUNCTION("""COMPUTED_VALUE"""),"Melissa")</f>
        <v>Melissa</v>
      </c>
      <c r="G551" s="3" t="str">
        <f>IFERROR(__xludf.DUMMYFUNCTION("""COMPUTED_VALUE"""),"Fatia estava muita fina ")</f>
        <v>Fatia estava muita fina </v>
      </c>
      <c r="I551" s="4"/>
    </row>
    <row r="552">
      <c r="A552" s="2">
        <f>IFERROR(__xludf.DUMMYFUNCTION("""COMPUTED_VALUE"""),45991.0)</f>
        <v>45991</v>
      </c>
      <c r="B552" s="3" t="str">
        <f>IFERROR(__xludf.DUMMYFUNCTION("""COMPUTED_VALUE"""),"Torta banofe 1")</f>
        <v>Torta banofe 1</v>
      </c>
      <c r="C552" s="3" t="str">
        <f>IFERROR(__xludf.DUMMYFUNCTION("""COMPUTED_VALUE"""),"Produto final")</f>
        <v>Produto final</v>
      </c>
      <c r="D552" s="3">
        <f>IFERROR(__xludf.DUMMYFUNCTION("""COMPUTED_VALUE"""),1.0)</f>
        <v>1</v>
      </c>
      <c r="E552" s="3" t="str">
        <f>IFERROR(__xludf.DUMMYFUNCTION("""COMPUTED_VALUE"""),"Erro de processo")</f>
        <v>Erro de processo</v>
      </c>
      <c r="F552" s="3" t="str">
        <f>IFERROR(__xludf.DUMMYFUNCTION("""COMPUTED_VALUE"""),"Melissa")</f>
        <v>Melissa</v>
      </c>
      <c r="G552" s="3" t="str">
        <f>IFERROR(__xludf.DUMMYFUNCTION("""COMPUTED_VALUE"""),"Estava muito pequeno fatia ")</f>
        <v>Estava muito pequeno fatia </v>
      </c>
      <c r="I552" s="4"/>
    </row>
    <row r="553">
      <c r="A553" s="2">
        <f>IFERROR(__xludf.DUMMYFUNCTION("""COMPUTED_VALUE"""),45993.0)</f>
        <v>45993</v>
      </c>
      <c r="B553" s="3" t="str">
        <f>IFERROR(__xludf.DUMMYFUNCTION("""COMPUTED_VALUE"""),"coado frutado")</f>
        <v>coado frutado</v>
      </c>
      <c r="C553" s="3" t="str">
        <f>IFERROR(__xludf.DUMMYFUNCTION("""COMPUTED_VALUE"""),"Produto final")</f>
        <v>Produto final</v>
      </c>
      <c r="D553" s="3" t="str">
        <f>IFERROR(__xludf.DUMMYFUNCTION("""COMPUTED_VALUE"""),"15 g")</f>
        <v>15 g</v>
      </c>
      <c r="E553" s="3" t="str">
        <f>IFERROR(__xludf.DUMMYFUNCTION("""COMPUTED_VALUE"""),"Erro de processo")</f>
        <v>Erro de processo</v>
      </c>
      <c r="F553" s="3" t="str">
        <f>IFERROR(__xludf.DUMMYFUNCTION("""COMPUTED_VALUE"""),"Ana Júlia")</f>
        <v>Ana Júlia</v>
      </c>
      <c r="G553" s="3" t="str">
        <f>IFERROR(__xludf.DUMMYFUNCTION("""COMPUTED_VALUE"""),"deixou cair ao levar ")</f>
        <v>deixou cair ao levar </v>
      </c>
      <c r="I553" s="4"/>
    </row>
    <row r="554">
      <c r="A554" s="2">
        <f>IFERROR(__xludf.DUMMYFUNCTION("""COMPUTED_VALUE"""),45992.0)</f>
        <v>45992</v>
      </c>
      <c r="B554" s="3" t="str">
        <f>IFERROR(__xludf.DUMMYFUNCTION("""COMPUTED_VALUE"""),"Coado descafeinado ")</f>
        <v>Coado descafeinado </v>
      </c>
      <c r="C554" s="3" t="str">
        <f>IFERROR(__xludf.DUMMYFUNCTION("""COMPUTED_VALUE"""),"Produto final")</f>
        <v>Produto final</v>
      </c>
      <c r="D554" s="3">
        <f>IFERROR(__xludf.DUMMYFUNCTION("""COMPUTED_VALUE"""),15.0)</f>
        <v>15</v>
      </c>
      <c r="E554" s="3" t="str">
        <f>IFERROR(__xludf.DUMMYFUNCTION("""COMPUTED_VALUE"""),"Cliente")</f>
        <v>Cliente</v>
      </c>
      <c r="F554" s="3" t="str">
        <f>IFERROR(__xludf.DUMMYFUNCTION("""COMPUTED_VALUE"""),"Pâmela")</f>
        <v>Pâmela</v>
      </c>
      <c r="G554" s="3" t="str">
        <f>IFERROR(__xludf.DUMMYFUNCTION("""COMPUTED_VALUE"""),"Falou cliente reclamou de chá ")</f>
        <v>Falou cliente reclamou de chá </v>
      </c>
      <c r="I554" s="4"/>
    </row>
    <row r="555">
      <c r="A555" s="2">
        <f>IFERROR(__xludf.DUMMYFUNCTION("""COMPUTED_VALUE"""),45992.0)</f>
        <v>45992</v>
      </c>
      <c r="B555" s="3" t="str">
        <f>IFERROR(__xludf.DUMMYFUNCTION("""COMPUTED_VALUE"""),"Café Latte gelado ")</f>
        <v>Café Latte gelado </v>
      </c>
      <c r="C555" s="3" t="str">
        <f>IFERROR(__xludf.DUMMYFUNCTION("""COMPUTED_VALUE"""),"Produto final")</f>
        <v>Produto final</v>
      </c>
      <c r="D555" s="3">
        <f>IFERROR(__xludf.DUMMYFUNCTION("""COMPUTED_VALUE"""),1.0)</f>
        <v>1</v>
      </c>
      <c r="E555" s="3" t="str">
        <f>IFERROR(__xludf.DUMMYFUNCTION("""COMPUTED_VALUE"""),"Cliente")</f>
        <v>Cliente</v>
      </c>
      <c r="F555" s="3" t="str">
        <f>IFERROR(__xludf.DUMMYFUNCTION("""COMPUTED_VALUE"""),"Pâmela")</f>
        <v>Pâmela</v>
      </c>
      <c r="G555" s="3" t="str">
        <f>IFERROR(__xludf.DUMMYFUNCTION("""COMPUTED_VALUE"""),"Cliente falou estava sem gosto ")</f>
        <v>Cliente falou estava sem gosto </v>
      </c>
      <c r="I555" s="4"/>
    </row>
    <row r="556">
      <c r="A556" s="2">
        <f>IFERROR(__xludf.DUMMYFUNCTION("""COMPUTED_VALUE"""),45994.0)</f>
        <v>45994</v>
      </c>
      <c r="B556" s="3" t="str">
        <f>IFERROR(__xludf.DUMMYFUNCTION("""COMPUTED_VALUE"""),"copo xote")</f>
        <v>copo xote</v>
      </c>
      <c r="C556" s="3" t="str">
        <f>IFERROR(__xludf.DUMMYFUNCTION("""COMPUTED_VALUE"""),"Utensílio")</f>
        <v>Utensílio</v>
      </c>
      <c r="D556" s="3">
        <f>IFERROR(__xludf.DUMMYFUNCTION("""COMPUTED_VALUE"""),1.0)</f>
        <v>1</v>
      </c>
      <c r="E556" s="3" t="str">
        <f>IFERROR(__xludf.DUMMYFUNCTION("""COMPUTED_VALUE"""),"Quebra")</f>
        <v>Quebra</v>
      </c>
      <c r="F556" s="3" t="str">
        <f>IFERROR(__xludf.DUMMYFUNCTION("""COMPUTED_VALUE"""),"Edna")</f>
        <v>Edna</v>
      </c>
      <c r="G556" s="3" t="str">
        <f>IFERROR(__xludf.DUMMYFUNCTION("""COMPUTED_VALUE"""),"caiu ")</f>
        <v>caiu </v>
      </c>
      <c r="I556" s="4"/>
    </row>
    <row r="557">
      <c r="A557" s="2">
        <f>IFERROR(__xludf.DUMMYFUNCTION("""COMPUTED_VALUE"""),45994.0)</f>
        <v>45994</v>
      </c>
      <c r="B557" s="3" t="str">
        <f>IFERROR(__xludf.DUMMYFUNCTION("""COMPUTED_VALUE"""),"pao de queijo recheado")</f>
        <v>pao de queijo recheado</v>
      </c>
      <c r="C557" s="3" t="str">
        <f>IFERROR(__xludf.DUMMYFUNCTION("""COMPUTED_VALUE"""),"Insumo")</f>
        <v>Insumo</v>
      </c>
      <c r="D557" s="3">
        <f>IFERROR(__xludf.DUMMYFUNCTION("""COMPUTED_VALUE"""),1.0)</f>
        <v>1</v>
      </c>
      <c r="E557" s="3" t="str">
        <f>IFERROR(__xludf.DUMMYFUNCTION("""COMPUTED_VALUE"""),"Erro de processo")</f>
        <v>Erro de processo</v>
      </c>
      <c r="F557" s="3" t="str">
        <f>IFERROR(__xludf.DUMMYFUNCTION("""COMPUTED_VALUE"""),"Patrícia")</f>
        <v>Patrícia</v>
      </c>
      <c r="G557" s="3" t="str">
        <f>IFERROR(__xludf.DUMMYFUNCTION("""COMPUTED_VALUE"""),"lançou errado")</f>
        <v>lançou errado</v>
      </c>
      <c r="I557" s="4"/>
    </row>
    <row r="558">
      <c r="A558" s="2">
        <f>IFERROR(__xludf.DUMMYFUNCTION("""COMPUTED_VALUE"""),45996.0)</f>
        <v>45996</v>
      </c>
      <c r="B558" s="3" t="str">
        <f>IFERROR(__xludf.DUMMYFUNCTION("""COMPUTED_VALUE"""),"xote")</f>
        <v>xote</v>
      </c>
      <c r="C558" s="3" t="str">
        <f>IFERROR(__xludf.DUMMYFUNCTION("""COMPUTED_VALUE"""),"Utensílio")</f>
        <v>Utensílio</v>
      </c>
      <c r="D558" s="3">
        <f>IFERROR(__xludf.DUMMYFUNCTION("""COMPUTED_VALUE"""),1.0)</f>
        <v>1</v>
      </c>
      <c r="E558" s="3" t="str">
        <f>IFERROR(__xludf.DUMMYFUNCTION("""COMPUTED_VALUE"""),"Quebra")</f>
        <v>Quebra</v>
      </c>
      <c r="F558" s="3" t="str">
        <f>IFERROR(__xludf.DUMMYFUNCTION("""COMPUTED_VALUE"""),"Edna")</f>
        <v>Edna</v>
      </c>
      <c r="G558" s="3" t="str">
        <f>IFERROR(__xludf.DUMMYFUNCTION("""COMPUTED_VALUE"""),"deixou cair")</f>
        <v>deixou cair</v>
      </c>
      <c r="I558" s="4"/>
    </row>
    <row r="559">
      <c r="A559" s="2">
        <f>IFERROR(__xludf.DUMMYFUNCTION("""COMPUTED_VALUE"""),45996.0)</f>
        <v>45996</v>
      </c>
      <c r="B559" s="3" t="str">
        <f>IFERROR(__xludf.DUMMYFUNCTION("""COMPUTED_VALUE"""),"copo grande")</f>
        <v>copo grande</v>
      </c>
      <c r="C559" s="3" t="str">
        <f>IFERROR(__xludf.DUMMYFUNCTION("""COMPUTED_VALUE"""),"Utensílio")</f>
        <v>Utensílio</v>
      </c>
      <c r="D559" s="3">
        <f>IFERROR(__xludf.DUMMYFUNCTION("""COMPUTED_VALUE"""),1.0)</f>
        <v>1</v>
      </c>
      <c r="E559" s="3" t="str">
        <f>IFERROR(__xludf.DUMMYFUNCTION("""COMPUTED_VALUE"""),"Quebra")</f>
        <v>Quebra</v>
      </c>
      <c r="F559" s="3" t="str">
        <f>IFERROR(__xludf.DUMMYFUNCTION("""COMPUTED_VALUE"""),"Edna")</f>
        <v>Edna</v>
      </c>
      <c r="G559" s="3" t="str">
        <f>IFERROR(__xludf.DUMMYFUNCTION("""COMPUTED_VALUE"""),"deixou caier")</f>
        <v>deixou caier</v>
      </c>
      <c r="I559" s="4"/>
    </row>
    <row r="560">
      <c r="A560" s="2">
        <f>IFERROR(__xludf.DUMMYFUNCTION("""COMPUTED_VALUE"""),45996.0)</f>
        <v>45996</v>
      </c>
      <c r="B560" s="3" t="str">
        <f>IFERROR(__xludf.DUMMYFUNCTION("""COMPUTED_VALUE"""),"massa de tapioca")</f>
        <v>massa de tapioca</v>
      </c>
      <c r="C560" s="3" t="str">
        <f>IFERROR(__xludf.DUMMYFUNCTION("""COMPUTED_VALUE"""),"Produto final")</f>
        <v>Produto final</v>
      </c>
      <c r="D560" s="3" t="str">
        <f>IFERROR(__xludf.DUMMYFUNCTION("""COMPUTED_VALUE"""),"70g")</f>
        <v>70g</v>
      </c>
      <c r="E560" s="3" t="str">
        <f>IFERROR(__xludf.DUMMYFUNCTION("""COMPUTED_VALUE"""),"Erro de processo")</f>
        <v>Erro de processo</v>
      </c>
      <c r="F560" s="3" t="str">
        <f>IFERROR(__xludf.DUMMYFUNCTION("""COMPUTED_VALUE"""),"Jonathan")</f>
        <v>Jonathan</v>
      </c>
      <c r="G560" s="3" t="str">
        <f>IFERROR(__xludf.DUMMYFUNCTION("""COMPUTED_VALUE"""),"a massa esatava seca")</f>
        <v>a massa esatava seca</v>
      </c>
      <c r="I560" s="4"/>
    </row>
    <row r="561">
      <c r="A561" s="2">
        <f>IFERROR(__xludf.DUMMYFUNCTION("""COMPUTED_VALUE"""),45996.0)</f>
        <v>45996</v>
      </c>
      <c r="B561" s="3" t="str">
        <f>IFERROR(__xludf.DUMMYFUNCTION("""COMPUTED_VALUE"""),"bolo brigadeiro")</f>
        <v>bolo brigadeiro</v>
      </c>
      <c r="C561" s="3" t="str">
        <f>IFERROR(__xludf.DUMMYFUNCTION("""COMPUTED_VALUE"""),"Produto final")</f>
        <v>Produto final</v>
      </c>
      <c r="D561" s="3">
        <f>IFERROR(__xludf.DUMMYFUNCTION("""COMPUTED_VALUE"""),1.0)</f>
        <v>1</v>
      </c>
      <c r="E561" s="3" t="str">
        <f>IFERROR(__xludf.DUMMYFUNCTION("""COMPUTED_VALUE"""),"Cliente")</f>
        <v>Cliente</v>
      </c>
      <c r="F561" s="3" t="str">
        <f>IFERROR(__xludf.DUMMYFUNCTION("""COMPUTED_VALUE"""),"Marilene")</f>
        <v>Marilene</v>
      </c>
      <c r="G561" s="3" t="str">
        <f>IFERROR(__xludf.DUMMYFUNCTION("""COMPUTED_VALUE"""),"cliente falou estava pequna fatia")</f>
        <v>cliente falou estava pequna fatia</v>
      </c>
      <c r="I561" s="4"/>
    </row>
    <row r="562">
      <c r="A562" s="2">
        <f>IFERROR(__xludf.DUMMYFUNCTION("""COMPUTED_VALUE"""),45999.0)</f>
        <v>45999</v>
      </c>
      <c r="B562" s="3" t="str">
        <f>IFERROR(__xludf.DUMMYFUNCTION("""COMPUTED_VALUE"""),"bacom")</f>
        <v>bacom</v>
      </c>
      <c r="C562" s="3" t="str">
        <f>IFERROR(__xludf.DUMMYFUNCTION("""COMPUTED_VALUE"""),"Insumo")</f>
        <v>Insumo</v>
      </c>
      <c r="D562" s="3" t="str">
        <f>IFERROR(__xludf.DUMMYFUNCTION("""COMPUTED_VALUE"""),"40 g")</f>
        <v>40 g</v>
      </c>
      <c r="E562" s="3" t="str">
        <f>IFERROR(__xludf.DUMMYFUNCTION("""COMPUTED_VALUE"""),"Venceu (Validade)")</f>
        <v>Venceu (Validade)</v>
      </c>
      <c r="F562" s="3" t="str">
        <f>IFERROR(__xludf.DUMMYFUNCTION("""COMPUTED_VALUE"""),"Rafael")</f>
        <v>Rafael</v>
      </c>
      <c r="G562" s="3" t="str">
        <f>IFERROR(__xludf.DUMMYFUNCTION("""COMPUTED_VALUE"""),"mal cheiro ")</f>
        <v>mal cheiro </v>
      </c>
      <c r="I562" s="4"/>
    </row>
    <row r="563">
      <c r="A563" s="2">
        <f>IFERROR(__xludf.DUMMYFUNCTION("""COMPUTED_VALUE"""),45999.0)</f>
        <v>45999</v>
      </c>
      <c r="B563" s="3" t="str">
        <f>IFERROR(__xludf.DUMMYFUNCTION("""COMPUTED_VALUE"""),"rucula")</f>
        <v>rucula</v>
      </c>
      <c r="C563" s="3" t="str">
        <f>IFERROR(__xludf.DUMMYFUNCTION("""COMPUTED_VALUE"""),"Hortifruti")</f>
        <v>Hortifruti</v>
      </c>
      <c r="D563" s="3" t="str">
        <f>IFERROR(__xludf.DUMMYFUNCTION("""COMPUTED_VALUE"""),"40 g")</f>
        <v>40 g</v>
      </c>
      <c r="E563" s="3" t="str">
        <f>IFERROR(__xludf.DUMMYFUNCTION("""COMPUTED_VALUE"""),"Venceu (Validade)")</f>
        <v>Venceu (Validade)</v>
      </c>
      <c r="F563" s="3" t="str">
        <f>IFERROR(__xludf.DUMMYFUNCTION("""COMPUTED_VALUE"""),"Rafael")</f>
        <v>Rafael</v>
      </c>
      <c r="G563" s="3" t="str">
        <f>IFERROR(__xludf.DUMMYFUNCTION("""COMPUTED_VALUE"""),".")</f>
        <v>.</v>
      </c>
      <c r="I563" s="4"/>
    </row>
    <row r="564">
      <c r="A564" s="2">
        <f>IFERROR(__xludf.DUMMYFUNCTION("""COMPUTED_VALUE"""),45968.0)</f>
        <v>45968</v>
      </c>
      <c r="B564" s="3" t="str">
        <f>IFERROR(__xludf.DUMMYFUNCTION("""COMPUTED_VALUE"""),"biscoite de canela")</f>
        <v>biscoite de canela</v>
      </c>
      <c r="C564" s="3" t="str">
        <f>IFERROR(__xludf.DUMMYFUNCTION("""COMPUTED_VALUE"""),"Produto final")</f>
        <v>Produto final</v>
      </c>
      <c r="D564" s="3">
        <f>IFERROR(__xludf.DUMMYFUNCTION("""COMPUTED_VALUE"""),1.0)</f>
        <v>1</v>
      </c>
      <c r="E564" s="3" t="str">
        <f>IFERROR(__xludf.DUMMYFUNCTION("""COMPUTED_VALUE"""),"Venceu (Validade)")</f>
        <v>Venceu (Validade)</v>
      </c>
      <c r="F564" s="3" t="str">
        <f>IFERROR(__xludf.DUMMYFUNCTION("""COMPUTED_VALUE"""),"Marilene")</f>
        <v>Marilene</v>
      </c>
      <c r="G564" s="3" t="str">
        <f>IFERROR(__xludf.DUMMYFUNCTION("""COMPUTED_VALUE"""),"coloque para cliente")</f>
        <v>coloque para cliente</v>
      </c>
      <c r="I564" s="4"/>
    </row>
    <row r="565">
      <c r="A565" s="2">
        <f>IFERROR(__xludf.DUMMYFUNCTION("""COMPUTED_VALUE"""),45998.0)</f>
        <v>45998</v>
      </c>
      <c r="B565" s="3" t="str">
        <f>IFERROR(__xludf.DUMMYFUNCTION("""COMPUTED_VALUE"""),"agua s")</f>
        <v>agua s</v>
      </c>
      <c r="C565" s="3" t="str">
        <f>IFERROR(__xludf.DUMMYFUNCTION("""COMPUTED_VALUE"""),"Produto final")</f>
        <v>Produto final</v>
      </c>
      <c r="D565" s="3">
        <f>IFERROR(__xludf.DUMMYFUNCTION("""COMPUTED_VALUE"""),1.0)</f>
        <v>1</v>
      </c>
      <c r="E565" s="3" t="str">
        <f>IFERROR(__xludf.DUMMYFUNCTION("""COMPUTED_VALUE"""),"Cliente")</f>
        <v>Cliente</v>
      </c>
      <c r="F565" s="3" t="str">
        <f>IFERROR(__xludf.DUMMYFUNCTION("""COMPUTED_VALUE"""),"Marilene")</f>
        <v>Marilene</v>
      </c>
      <c r="G565" s="3" t="str">
        <f>IFERROR(__xludf.DUMMYFUNCTION("""COMPUTED_VALUE"""),"cliente derramou cafe nela deu 1 agua para ela ")</f>
        <v>cliente derramou cafe nela deu 1 agua para ela </v>
      </c>
      <c r="I565" s="4"/>
    </row>
    <row r="566">
      <c r="A566" s="2">
        <f>IFERROR(__xludf.DUMMYFUNCTION("""COMPUTED_VALUE"""),46001.0)</f>
        <v>46001</v>
      </c>
      <c r="B566" s="3" t="str">
        <f>IFERROR(__xludf.DUMMYFUNCTION("""COMPUTED_VALUE"""),"casadinho ")</f>
        <v>casadinho </v>
      </c>
      <c r="C566" s="3" t="str">
        <f>IFERROR(__xludf.DUMMYFUNCTION("""COMPUTED_VALUE"""),"Outro")</f>
        <v>Outro</v>
      </c>
      <c r="D566" s="3">
        <f>IFERROR(__xludf.DUMMYFUNCTION("""COMPUTED_VALUE"""),36.0)</f>
        <v>36</v>
      </c>
      <c r="E566" s="3" t="str">
        <f>IFERROR(__xludf.DUMMYFUNCTION("""COMPUTED_VALUE"""),"Outro")</f>
        <v>Outro</v>
      </c>
      <c r="F566" s="3" t="str">
        <f>IFERROR(__xludf.DUMMYFUNCTION("""COMPUTED_VALUE"""),"Rafael")</f>
        <v>Rafael</v>
      </c>
      <c r="G566" s="3" t="str">
        <f>IFERROR(__xludf.DUMMYFUNCTION("""COMPUTED_VALUE"""),"caiu")</f>
        <v>caiu</v>
      </c>
      <c r="I566" s="4"/>
    </row>
    <row r="567">
      <c r="A567" s="2">
        <f>IFERROR(__xludf.DUMMYFUNCTION("""COMPUTED_VALUE"""),46001.0)</f>
        <v>46001</v>
      </c>
      <c r="B567" s="3" t="str">
        <f>IFERROR(__xludf.DUMMYFUNCTION("""COMPUTED_VALUE"""),"pistache ")</f>
        <v>pistache </v>
      </c>
      <c r="C567" s="3" t="str">
        <f>IFERROR(__xludf.DUMMYFUNCTION("""COMPUTED_VALUE"""),"Outro")</f>
        <v>Outro</v>
      </c>
      <c r="D567" s="3">
        <f>IFERROR(__xludf.DUMMYFUNCTION("""COMPUTED_VALUE"""),6.0)</f>
        <v>6</v>
      </c>
      <c r="E567" s="3" t="str">
        <f>IFERROR(__xludf.DUMMYFUNCTION("""COMPUTED_VALUE"""),"Outro")</f>
        <v>Outro</v>
      </c>
      <c r="F567" s="3" t="str">
        <f>IFERROR(__xludf.DUMMYFUNCTION("""COMPUTED_VALUE"""),"Rafael")</f>
        <v>Rafael</v>
      </c>
      <c r="G567" s="3" t="str">
        <f>IFERROR(__xludf.DUMMYFUNCTION("""COMPUTED_VALUE"""),"caiu")</f>
        <v>caiu</v>
      </c>
      <c r="I567" s="4"/>
    </row>
    <row r="568">
      <c r="A568" s="2">
        <f>IFERROR(__xludf.DUMMYFUNCTION("""COMPUTED_VALUE"""),46001.0)</f>
        <v>46001</v>
      </c>
      <c r="B568" s="3" t="str">
        <f>IFERROR(__xludf.DUMMYFUNCTION("""COMPUTED_VALUE"""),"acerola com laranja ")</f>
        <v>acerola com laranja </v>
      </c>
      <c r="C568" s="3" t="str">
        <f>IFERROR(__xludf.DUMMYFUNCTION("""COMPUTED_VALUE"""),"Produto final")</f>
        <v>Produto final</v>
      </c>
      <c r="D568" s="3">
        <f>IFERROR(__xludf.DUMMYFUNCTION("""COMPUTED_VALUE"""),1.0)</f>
        <v>1</v>
      </c>
      <c r="E568" s="3" t="str">
        <f>IFERROR(__xludf.DUMMYFUNCTION("""COMPUTED_VALUE"""),"Cliente")</f>
        <v>Cliente</v>
      </c>
      <c r="F568" s="3" t="str">
        <f>IFERROR(__xludf.DUMMYFUNCTION("""COMPUTED_VALUE"""),"Michele")</f>
        <v>Michele</v>
      </c>
      <c r="G568" s="3" t="str">
        <f>IFERROR(__xludf.DUMMYFUNCTION("""COMPUTED_VALUE"""),"cliente diz esta com gosto ruim")</f>
        <v>cliente diz esta com gosto ruim</v>
      </c>
      <c r="I568" s="4"/>
    </row>
    <row r="569">
      <c r="A569" s="2">
        <f>IFERROR(__xludf.DUMMYFUNCTION("""COMPUTED_VALUE"""),46001.0)</f>
        <v>46001</v>
      </c>
      <c r="B569" s="3" t="str">
        <f>IFERROR(__xludf.DUMMYFUNCTION("""COMPUTED_VALUE"""),"Copo de água ")</f>
        <v>Copo de água </v>
      </c>
      <c r="C569" s="3" t="str">
        <f>IFERROR(__xludf.DUMMYFUNCTION("""COMPUTED_VALUE"""),"Utensílio")</f>
        <v>Utensílio</v>
      </c>
      <c r="D569" s="3">
        <f>IFERROR(__xludf.DUMMYFUNCTION("""COMPUTED_VALUE"""),1.0)</f>
        <v>1</v>
      </c>
      <c r="E569" s="3" t="str">
        <f>IFERROR(__xludf.DUMMYFUNCTION("""COMPUTED_VALUE"""),"Quebra")</f>
        <v>Quebra</v>
      </c>
      <c r="F569" s="3" t="str">
        <f>IFERROR(__xludf.DUMMYFUNCTION("""COMPUTED_VALUE"""),"Marilene")</f>
        <v>Marilene</v>
      </c>
      <c r="G569" s="3" t="str">
        <f>IFERROR(__xludf.DUMMYFUNCTION("""COMPUTED_VALUE"""),"Criança deixou caí no salão ")</f>
        <v>Criança deixou caí no salão </v>
      </c>
      <c r="I569" s="4"/>
    </row>
    <row r="570">
      <c r="A570" s="2">
        <f>IFERROR(__xludf.DUMMYFUNCTION("""COMPUTED_VALUE"""),46001.0)</f>
        <v>46001</v>
      </c>
      <c r="B570" s="3" t="str">
        <f>IFERROR(__xludf.DUMMYFUNCTION("""COMPUTED_VALUE"""),"Empada de frango ")</f>
        <v>Empada de frango </v>
      </c>
      <c r="C570" s="3" t="str">
        <f>IFERROR(__xludf.DUMMYFUNCTION("""COMPUTED_VALUE"""),"Produto final")</f>
        <v>Produto final</v>
      </c>
      <c r="D570" s="3">
        <f>IFERROR(__xludf.DUMMYFUNCTION("""COMPUTED_VALUE"""),1.0)</f>
        <v>1</v>
      </c>
      <c r="E570" s="3" t="str">
        <f>IFERROR(__xludf.DUMMYFUNCTION("""COMPUTED_VALUE"""),"Erro de processo")</f>
        <v>Erro de processo</v>
      </c>
      <c r="F570" s="3" t="str">
        <f>IFERROR(__xludf.DUMMYFUNCTION("""COMPUTED_VALUE"""),"Rafael")</f>
        <v>Rafael</v>
      </c>
      <c r="G570" s="3" t="str">
        <f>IFERROR(__xludf.DUMMYFUNCTION("""COMPUTED_VALUE"""),"Sim quebrou na horas de manda para cliente ")</f>
        <v>Sim quebrou na horas de manda para cliente </v>
      </c>
      <c r="I570" s="4"/>
    </row>
    <row r="571">
      <c r="A571" s="2">
        <f>IFERROR(__xludf.DUMMYFUNCTION("""COMPUTED_VALUE"""),46004.0)</f>
        <v>46004</v>
      </c>
      <c r="B571" s="3" t="str">
        <f>IFERROR(__xludf.DUMMYFUNCTION("""COMPUTED_VALUE"""),"Suco de morango ")</f>
        <v>Suco de morango </v>
      </c>
      <c r="C571" s="3" t="str">
        <f>IFERROR(__xludf.DUMMYFUNCTION("""COMPUTED_VALUE"""),"Produto final")</f>
        <v>Produto final</v>
      </c>
      <c r="D571" s="3">
        <f>IFERROR(__xludf.DUMMYFUNCTION("""COMPUTED_VALUE"""),1.0)</f>
        <v>1</v>
      </c>
      <c r="E571" s="3" t="str">
        <f>IFERROR(__xludf.DUMMYFUNCTION("""COMPUTED_VALUE"""),"Cliente")</f>
        <v>Cliente</v>
      </c>
      <c r="F571" s="3" t="str">
        <f>IFERROR(__xludf.DUMMYFUNCTION("""COMPUTED_VALUE"""),"Pâmela")</f>
        <v>Pâmela</v>
      </c>
      <c r="G571" s="3" t="str">
        <f>IFERROR(__xludf.DUMMYFUNCTION("""COMPUTED_VALUE"""),"Cliente falou que está Rui ")</f>
        <v>Cliente falou que está Rui </v>
      </c>
      <c r="I571" s="4"/>
    </row>
    <row r="572">
      <c r="A572" s="2">
        <f>IFERROR(__xludf.DUMMYFUNCTION("""COMPUTED_VALUE"""),46004.0)</f>
        <v>46004</v>
      </c>
      <c r="B572" s="3" t="str">
        <f>IFERROR(__xludf.DUMMYFUNCTION("""COMPUTED_VALUE"""),"Cha gelado limão ")</f>
        <v>Cha gelado limão </v>
      </c>
      <c r="C572" s="3" t="str">
        <f>IFERROR(__xludf.DUMMYFUNCTION("""COMPUTED_VALUE"""),"Produto final")</f>
        <v>Produto final</v>
      </c>
      <c r="D572" s="3">
        <f>IFERROR(__xludf.DUMMYFUNCTION("""COMPUTED_VALUE"""),1.0)</f>
        <v>1</v>
      </c>
      <c r="E572" s="3" t="str">
        <f>IFERROR(__xludf.DUMMYFUNCTION("""COMPUTED_VALUE"""),"Lançamento errado")</f>
        <v>Lançamento errado</v>
      </c>
      <c r="F572" s="3" t="str">
        <f>IFERROR(__xludf.DUMMYFUNCTION("""COMPUTED_VALUE"""),"Pâmela")</f>
        <v>Pâmela</v>
      </c>
      <c r="G572" s="3" t="str">
        <f>IFERROR(__xludf.DUMMYFUNCTION("""COMPUTED_VALUE"""),"Lançou errado ")</f>
        <v>Lançou errado </v>
      </c>
      <c r="I572" s="4"/>
    </row>
    <row r="573">
      <c r="A573" s="2">
        <f>IFERROR(__xludf.DUMMYFUNCTION("""COMPUTED_VALUE"""),46005.0)</f>
        <v>46005</v>
      </c>
      <c r="B573" s="3" t="str">
        <f>IFERROR(__xludf.DUMMYFUNCTION("""COMPUTED_VALUE"""),"Copo xote ")</f>
        <v>Copo xote </v>
      </c>
      <c r="C573" s="3" t="str">
        <f>IFERROR(__xludf.DUMMYFUNCTION("""COMPUTED_VALUE"""),"Utensílio")</f>
        <v>Utensílio</v>
      </c>
      <c r="D573" s="3">
        <f>IFERROR(__xludf.DUMMYFUNCTION("""COMPUTED_VALUE"""),1.0)</f>
        <v>1</v>
      </c>
      <c r="E573" s="3" t="str">
        <f>IFERROR(__xludf.DUMMYFUNCTION("""COMPUTED_VALUE"""),"Quebra")</f>
        <v>Quebra</v>
      </c>
      <c r="F573" s="3" t="str">
        <f>IFERROR(__xludf.DUMMYFUNCTION("""COMPUTED_VALUE"""),"Marilene")</f>
        <v>Marilene</v>
      </c>
      <c r="G573" s="3" t="str">
        <f>IFERROR(__xludf.DUMMYFUNCTION("""COMPUTED_VALUE"""),"Deixe lava louça ")</f>
        <v>Deixe lava louça </v>
      </c>
      <c r="I573" s="4"/>
    </row>
    <row r="574">
      <c r="A574" s="2">
        <f>IFERROR(__xludf.DUMMYFUNCTION("""COMPUTED_VALUE"""),46005.0)</f>
        <v>46005</v>
      </c>
      <c r="B574" s="3" t="str">
        <f>IFERROR(__xludf.DUMMYFUNCTION("""COMPUTED_VALUE"""),"Tomara cereja ")</f>
        <v>Tomara cereja </v>
      </c>
      <c r="C574" s="3" t="str">
        <f>IFERROR(__xludf.DUMMYFUNCTION("""COMPUTED_VALUE"""),"Produto final")</f>
        <v>Produto final</v>
      </c>
      <c r="D574" s="3">
        <f>IFERROR(__xludf.DUMMYFUNCTION("""COMPUTED_VALUE"""),96.0)</f>
        <v>96</v>
      </c>
      <c r="E574" s="3" t="str">
        <f>IFERROR(__xludf.DUMMYFUNCTION("""COMPUTED_VALUE"""),"Venceu (Validade)")</f>
        <v>Venceu (Validade)</v>
      </c>
      <c r="F574" s="3" t="str">
        <f>IFERROR(__xludf.DUMMYFUNCTION("""COMPUTED_VALUE"""),"Marilene")</f>
        <v>Marilene</v>
      </c>
      <c r="G574" s="3" t="str">
        <f>IFERROR(__xludf.DUMMYFUNCTION("""COMPUTED_VALUE"""),"Já estava rui")</f>
        <v>Já estava rui</v>
      </c>
      <c r="I574" s="4"/>
    </row>
    <row r="575">
      <c r="A575" s="2">
        <f>IFERROR(__xludf.DUMMYFUNCTION("""COMPUTED_VALUE"""),46007.0)</f>
        <v>46007</v>
      </c>
      <c r="B575" s="3" t="str">
        <f>IFERROR(__xludf.DUMMYFUNCTION("""COMPUTED_VALUE"""),"Pegado  de salgado ")</f>
        <v>Pegado  de salgado </v>
      </c>
      <c r="C575" s="3" t="str">
        <f>IFERROR(__xludf.DUMMYFUNCTION("""COMPUTED_VALUE"""),"Utensílio")</f>
        <v>Utensílio</v>
      </c>
      <c r="D575" s="3">
        <f>IFERROR(__xludf.DUMMYFUNCTION("""COMPUTED_VALUE"""),1.0)</f>
        <v>1</v>
      </c>
      <c r="E575" s="3" t="str">
        <f>IFERROR(__xludf.DUMMYFUNCTION("""COMPUTED_VALUE"""),"Quebra")</f>
        <v>Quebra</v>
      </c>
      <c r="F575" s="3" t="str">
        <f>IFERROR(__xludf.DUMMYFUNCTION("""COMPUTED_VALUE"""),"Marilene")</f>
        <v>Marilene</v>
      </c>
      <c r="G575" s="3" t="str">
        <f>IFERROR(__xludf.DUMMYFUNCTION("""COMPUTED_VALUE"""),"Vanessa já estava pouco rachado quebrou manusear")</f>
        <v>Vanessa já estava pouco rachado quebrou manusear</v>
      </c>
      <c r="I575" s="4"/>
    </row>
    <row r="576">
      <c r="A576" s="2">
        <f>IFERROR(__xludf.DUMMYFUNCTION("""COMPUTED_VALUE"""),46008.0)</f>
        <v>46008</v>
      </c>
      <c r="B576" s="3" t="str">
        <f>IFERROR(__xludf.DUMMYFUNCTION("""COMPUTED_VALUE"""),"Tapioca de ovo ")</f>
        <v>Tapioca de ovo </v>
      </c>
      <c r="C576" s="3" t="str">
        <f>IFERROR(__xludf.DUMMYFUNCTION("""COMPUTED_VALUE"""),"Produto final")</f>
        <v>Produto final</v>
      </c>
      <c r="D576" s="3">
        <f>IFERROR(__xludf.DUMMYFUNCTION("""COMPUTED_VALUE"""),1.0)</f>
        <v>1</v>
      </c>
      <c r="E576" s="3" t="str">
        <f>IFERROR(__xludf.DUMMYFUNCTION("""COMPUTED_VALUE"""),"Cliente")</f>
        <v>Cliente</v>
      </c>
      <c r="F576" s="3" t="str">
        <f>IFERROR(__xludf.DUMMYFUNCTION("""COMPUTED_VALUE"""),"Ana Júlia")</f>
        <v>Ana Júlia</v>
      </c>
      <c r="G576" s="3" t="str">
        <f>IFERROR(__xludf.DUMMYFUNCTION("""COMPUTED_VALUE"""),"Cliente falou e massa estava Rui ")</f>
        <v>Cliente falou e massa estava Rui </v>
      </c>
      <c r="I576" s="4"/>
    </row>
    <row r="577">
      <c r="A577" s="2">
        <f>IFERROR(__xludf.DUMMYFUNCTION("""COMPUTED_VALUE"""),46009.0)</f>
        <v>46009</v>
      </c>
      <c r="B577" s="3" t="str">
        <f>IFERROR(__xludf.DUMMYFUNCTION("""COMPUTED_VALUE"""),"Suco de abacaxi hortelã ")</f>
        <v>Suco de abacaxi hortelã </v>
      </c>
      <c r="C577" s="3" t="str">
        <f>IFERROR(__xludf.DUMMYFUNCTION("""COMPUTED_VALUE"""),"Produto final")</f>
        <v>Produto final</v>
      </c>
      <c r="D577" s="3">
        <f>IFERROR(__xludf.DUMMYFUNCTION("""COMPUTED_VALUE"""),1.0)</f>
        <v>1</v>
      </c>
      <c r="E577" s="3" t="str">
        <f>IFERROR(__xludf.DUMMYFUNCTION("""COMPUTED_VALUE"""),"Erro de processo")</f>
        <v>Erro de processo</v>
      </c>
      <c r="F577" s="3" t="str">
        <f>IFERROR(__xludf.DUMMYFUNCTION("""COMPUTED_VALUE"""),"Ana Júlia")</f>
        <v>Ana Júlia</v>
      </c>
      <c r="G577" s="3" t="str">
        <f>IFERROR(__xludf.DUMMYFUNCTION("""COMPUTED_VALUE"""),"Fez errado ")</f>
        <v>Fez errado </v>
      </c>
      <c r="I577" s="4"/>
    </row>
    <row r="578">
      <c r="A578" s="2">
        <f>IFERROR(__xludf.DUMMYFUNCTION("""COMPUTED_VALUE"""),46009.0)</f>
        <v>46009</v>
      </c>
      <c r="B578" s="3" t="str">
        <f>IFERROR(__xludf.DUMMYFUNCTION("""COMPUTED_VALUE"""),"Display da mesa")</f>
        <v>Display da mesa</v>
      </c>
      <c r="C578" s="3" t="str">
        <f>IFERROR(__xludf.DUMMYFUNCTION("""COMPUTED_VALUE"""),"Utensílio")</f>
        <v>Utensílio</v>
      </c>
      <c r="D578" s="3">
        <f>IFERROR(__xludf.DUMMYFUNCTION("""COMPUTED_VALUE"""),1.0)</f>
        <v>1</v>
      </c>
      <c r="E578" s="3" t="str">
        <f>IFERROR(__xludf.DUMMYFUNCTION("""COMPUTED_VALUE"""),"Cliente")</f>
        <v>Cliente</v>
      </c>
      <c r="F578" s="3" t="str">
        <f>IFERROR(__xludf.DUMMYFUNCTION("""COMPUTED_VALUE"""),"Paulo")</f>
        <v>Paulo</v>
      </c>
      <c r="G578" s="3" t="str">
        <f>IFERROR(__xludf.DUMMYFUNCTION("""COMPUTED_VALUE"""),"Criança quebrou na mesa ")</f>
        <v>Criança quebrou na mesa </v>
      </c>
      <c r="I578" s="4"/>
    </row>
    <row r="579">
      <c r="A579" s="2">
        <f>IFERROR(__xludf.DUMMYFUNCTION("""COMPUTED_VALUE"""),46009.0)</f>
        <v>46009</v>
      </c>
      <c r="B579" s="3" t="str">
        <f>IFERROR(__xludf.DUMMYFUNCTION("""COMPUTED_VALUE"""),"Xícara grande ")</f>
        <v>Xícara grande </v>
      </c>
      <c r="C579" s="3" t="str">
        <f>IFERROR(__xludf.DUMMYFUNCTION("""COMPUTED_VALUE"""),"Utensílio")</f>
        <v>Utensílio</v>
      </c>
      <c r="D579" s="3">
        <f>IFERROR(__xludf.DUMMYFUNCTION("""COMPUTED_VALUE"""),1.0)</f>
        <v>1</v>
      </c>
      <c r="E579" s="3" t="str">
        <f>IFERROR(__xludf.DUMMYFUNCTION("""COMPUTED_VALUE"""),"Quebra")</f>
        <v>Quebra</v>
      </c>
      <c r="F579" s="3" t="str">
        <f>IFERROR(__xludf.DUMMYFUNCTION("""COMPUTED_VALUE"""),"Melissa")</f>
        <v>Melissa</v>
      </c>
      <c r="G579" s="3" t="str">
        <f>IFERROR(__xludf.DUMMYFUNCTION("""COMPUTED_VALUE"""),"Quebrou ")</f>
        <v>Quebrou </v>
      </c>
      <c r="I579" s="4"/>
    </row>
    <row r="580">
      <c r="A580" s="2">
        <f>IFERROR(__xludf.DUMMYFUNCTION("""COMPUTED_VALUE"""),46010.0)</f>
        <v>46010</v>
      </c>
      <c r="B580" s="3" t="str">
        <f>IFERROR(__xludf.DUMMYFUNCTION("""COMPUTED_VALUE"""),"Pire pequeno ")</f>
        <v>Pire pequeno </v>
      </c>
      <c r="C580" s="3" t="str">
        <f>IFERROR(__xludf.DUMMYFUNCTION("""COMPUTED_VALUE"""),"Utensílio")</f>
        <v>Utensílio</v>
      </c>
      <c r="D580" s="3">
        <f>IFERROR(__xludf.DUMMYFUNCTION("""COMPUTED_VALUE"""),1.0)</f>
        <v>1</v>
      </c>
      <c r="E580" s="3" t="str">
        <f>IFERROR(__xludf.DUMMYFUNCTION("""COMPUTED_VALUE"""),"Quebra")</f>
        <v>Quebra</v>
      </c>
      <c r="F580" s="3" t="str">
        <f>IFERROR(__xludf.DUMMYFUNCTION("""COMPUTED_VALUE"""),"Marilene")</f>
        <v>Marilene</v>
      </c>
      <c r="G580" s="3" t="str">
        <f>IFERROR(__xludf.DUMMYFUNCTION("""COMPUTED_VALUE"""),"Deixe cair au lava ")</f>
        <v>Deixe cair au lava </v>
      </c>
      <c r="I580" s="4"/>
    </row>
    <row r="581">
      <c r="A581" s="2">
        <f>IFERROR(__xludf.DUMMYFUNCTION("""COMPUTED_VALUE"""),46011.0)</f>
        <v>46011</v>
      </c>
      <c r="B581" s="3" t="str">
        <f>IFERROR(__xludf.DUMMYFUNCTION("""COMPUTED_VALUE"""),"Jarro de cerâmica pequeno ")</f>
        <v>Jarro de cerâmica pequeno </v>
      </c>
      <c r="C581" s="3" t="str">
        <f>IFERROR(__xludf.DUMMYFUNCTION("""COMPUTED_VALUE"""),"Utensílio")</f>
        <v>Utensílio</v>
      </c>
      <c r="D581" s="3">
        <f>IFERROR(__xludf.DUMMYFUNCTION("""COMPUTED_VALUE"""),1.0)</f>
        <v>1</v>
      </c>
      <c r="E581" s="3" t="str">
        <f>IFERROR(__xludf.DUMMYFUNCTION("""COMPUTED_VALUE"""),"Quebra")</f>
        <v>Quebra</v>
      </c>
      <c r="F581" s="3" t="str">
        <f>IFERROR(__xludf.DUMMYFUNCTION("""COMPUTED_VALUE"""),"Ana Júlia")</f>
        <v>Ana Júlia</v>
      </c>
      <c r="G581" s="3" t="str">
        <f>IFERROR(__xludf.DUMMYFUNCTION("""COMPUTED_VALUE"""),"Deixou cair ")</f>
        <v>Deixou cair </v>
      </c>
      <c r="I581" s="4"/>
    </row>
    <row r="582">
      <c r="A582" s="2">
        <f>IFERROR(__xludf.DUMMYFUNCTION("""COMPUTED_VALUE"""),46011.0)</f>
        <v>46011</v>
      </c>
      <c r="B582" s="3" t="str">
        <f>IFERROR(__xludf.DUMMYFUNCTION("""COMPUTED_VALUE"""),"Shot ")</f>
        <v>Shot </v>
      </c>
      <c r="C582" s="3" t="str">
        <f>IFERROR(__xludf.DUMMYFUNCTION("""COMPUTED_VALUE"""),"Utensílio")</f>
        <v>Utensílio</v>
      </c>
      <c r="D582" s="3">
        <f>IFERROR(__xludf.DUMMYFUNCTION("""COMPUTED_VALUE"""),1.0)</f>
        <v>1</v>
      </c>
      <c r="E582" s="3" t="str">
        <f>IFERROR(__xludf.DUMMYFUNCTION("""COMPUTED_VALUE"""),"Quebra")</f>
        <v>Quebra</v>
      </c>
      <c r="F582" s="3" t="str">
        <f>IFERROR(__xludf.DUMMYFUNCTION("""COMPUTED_VALUE"""),"Rafael")</f>
        <v>Rafael</v>
      </c>
      <c r="G582" s="3" t="str">
        <f>IFERROR(__xludf.DUMMYFUNCTION("""COMPUTED_VALUE"""),"Deixou cair")</f>
        <v>Deixou cair</v>
      </c>
      <c r="I582" s="4"/>
    </row>
    <row r="583">
      <c r="A583" s="2">
        <f>IFERROR(__xludf.DUMMYFUNCTION("""COMPUTED_VALUE"""),46011.0)</f>
        <v>46011</v>
      </c>
      <c r="B583" s="3" t="str">
        <f>IFERROR(__xludf.DUMMYFUNCTION("""COMPUTED_VALUE"""),"Guaraná normal ")</f>
        <v>Guaraná normal </v>
      </c>
      <c r="C583" s="3" t="str">
        <f>IFERROR(__xludf.DUMMYFUNCTION("""COMPUTED_VALUE"""),"Produto final")</f>
        <v>Produto final</v>
      </c>
      <c r="D583" s="3">
        <f>IFERROR(__xludf.DUMMYFUNCTION("""COMPUTED_VALUE"""),1.0)</f>
        <v>1</v>
      </c>
      <c r="E583" s="3" t="str">
        <f>IFERROR(__xludf.DUMMYFUNCTION("""COMPUTED_VALUE"""),"Cliente")</f>
        <v>Cliente</v>
      </c>
      <c r="F583" s="3" t="str">
        <f>IFERROR(__xludf.DUMMYFUNCTION("""COMPUTED_VALUE"""),"Marilene")</f>
        <v>Marilene</v>
      </c>
      <c r="G583" s="3" t="str">
        <f>IFERROR(__xludf.DUMMYFUNCTION("""COMPUTED_VALUE"""),"Cliente quebrou na mesa e não conseguiu abrir ")</f>
        <v>Cliente quebrou na mesa e não conseguiu abrir </v>
      </c>
      <c r="I583" s="4"/>
    </row>
    <row r="584">
      <c r="A584" s="2">
        <f>IFERROR(__xludf.DUMMYFUNCTION("""COMPUTED_VALUE"""),46011.0)</f>
        <v>46011</v>
      </c>
      <c r="B584" s="3" t="str">
        <f>IFERROR(__xludf.DUMMYFUNCTION("""COMPUTED_VALUE"""),"Bolo de laranja ")</f>
        <v>Bolo de laranja </v>
      </c>
      <c r="C584" s="3" t="str">
        <f>IFERROR(__xludf.DUMMYFUNCTION("""COMPUTED_VALUE"""),"Produto final")</f>
        <v>Produto final</v>
      </c>
      <c r="D584" s="3">
        <f>IFERROR(__xludf.DUMMYFUNCTION("""COMPUTED_VALUE"""),1.0)</f>
        <v>1</v>
      </c>
      <c r="E584" s="3" t="str">
        <f>IFERROR(__xludf.DUMMYFUNCTION("""COMPUTED_VALUE"""),"Cliente")</f>
        <v>Cliente</v>
      </c>
      <c r="F584" s="3" t="str">
        <f>IFERROR(__xludf.DUMMYFUNCTION("""COMPUTED_VALUE"""),"Marilene")</f>
        <v>Marilene</v>
      </c>
      <c r="G584" s="3" t="str">
        <f>IFERROR(__xludf.DUMMYFUNCTION("""COMPUTED_VALUE"""),"Cliente provou fala quem não gostou do sabor ")</f>
        <v>Cliente provou fala quem não gostou do sabor </v>
      </c>
      <c r="I584" s="4"/>
    </row>
    <row r="585">
      <c r="A585" s="2">
        <f>IFERROR(__xludf.DUMMYFUNCTION("""COMPUTED_VALUE"""),46012.0)</f>
        <v>46012</v>
      </c>
      <c r="B585" s="3" t="str">
        <f>IFERROR(__xludf.DUMMYFUNCTION("""COMPUTED_VALUE"""),"Quiche de alho ")</f>
        <v>Quiche de alho </v>
      </c>
      <c r="C585" s="3" t="str">
        <f>IFERROR(__xludf.DUMMYFUNCTION("""COMPUTED_VALUE"""),"Produto final")</f>
        <v>Produto final</v>
      </c>
      <c r="D585" s="3">
        <f>IFERROR(__xludf.DUMMYFUNCTION("""COMPUTED_VALUE"""),2.0)</f>
        <v>2</v>
      </c>
      <c r="E585" s="3" t="str">
        <f>IFERROR(__xludf.DUMMYFUNCTION("""COMPUTED_VALUE"""),"Erro de processo")</f>
        <v>Erro de processo</v>
      </c>
      <c r="F585" s="3" t="str">
        <f>IFERROR(__xludf.DUMMYFUNCTION("""COMPUTED_VALUE"""),"Edna")</f>
        <v>Edna</v>
      </c>
      <c r="G585" s="3" t="str">
        <f>IFERROR(__xludf.DUMMYFUNCTION("""COMPUTED_VALUE"""),"Deixou quimar")</f>
        <v>Deixou quimar</v>
      </c>
      <c r="I585" s="4"/>
    </row>
    <row r="586">
      <c r="A586" s="2">
        <f>IFERROR(__xludf.DUMMYFUNCTION("""COMPUTED_VALUE"""),46011.0)</f>
        <v>46011</v>
      </c>
      <c r="B586" s="3" t="str">
        <f>IFERROR(__xludf.DUMMYFUNCTION("""COMPUTED_VALUE"""),"Pote pequeno ")</f>
        <v>Pote pequeno </v>
      </c>
      <c r="C586" s="3" t="str">
        <f>IFERROR(__xludf.DUMMYFUNCTION("""COMPUTED_VALUE"""),"Utensílio")</f>
        <v>Utensílio</v>
      </c>
      <c r="D586" s="3">
        <f>IFERROR(__xludf.DUMMYFUNCTION("""COMPUTED_VALUE"""),1.0)</f>
        <v>1</v>
      </c>
      <c r="E586" s="3" t="str">
        <f>IFERROR(__xludf.DUMMYFUNCTION("""COMPUTED_VALUE"""),"Quebra")</f>
        <v>Quebra</v>
      </c>
      <c r="F586" s="3" t="str">
        <f>IFERROR(__xludf.DUMMYFUNCTION("""COMPUTED_VALUE"""),"Melissa")</f>
        <v>Melissa</v>
      </c>
      <c r="G586" s="3" t="str">
        <f>IFERROR(__xludf.DUMMYFUNCTION("""COMPUTED_VALUE"""),"Quebrou manusia ")</f>
        <v>Quebrou manusia </v>
      </c>
      <c r="I586" s="4"/>
    </row>
    <row r="587">
      <c r="A587" s="2">
        <f>IFERROR(__xludf.DUMMYFUNCTION("""COMPUTED_VALUE"""),46012.0)</f>
        <v>46012</v>
      </c>
      <c r="B587" s="3" t="str">
        <f>IFERROR(__xludf.DUMMYFUNCTION("""COMPUTED_VALUE"""),"Banofe ")</f>
        <v>Banofe </v>
      </c>
      <c r="C587" s="3" t="str">
        <f>IFERROR(__xludf.DUMMYFUNCTION("""COMPUTED_VALUE"""),"Produto final")</f>
        <v>Produto final</v>
      </c>
      <c r="D587" s="3">
        <f>IFERROR(__xludf.DUMMYFUNCTION("""COMPUTED_VALUE"""),1.0)</f>
        <v>1</v>
      </c>
      <c r="E587" s="3" t="str">
        <f>IFERROR(__xludf.DUMMYFUNCTION("""COMPUTED_VALUE"""),"Erro de processo")</f>
        <v>Erro de processo</v>
      </c>
      <c r="F587" s="3" t="str">
        <f>IFERROR(__xludf.DUMMYFUNCTION("""COMPUTED_VALUE"""),"Francisca")</f>
        <v>Francisca</v>
      </c>
      <c r="G587" s="3" t="str">
        <f>IFERROR(__xludf.DUMMYFUNCTION("""COMPUTED_VALUE"""),"A fatia estava muito pequeno ")</f>
        <v>A fatia estava muito pequeno </v>
      </c>
      <c r="I587" s="4"/>
    </row>
    <row r="588">
      <c r="A588" s="2">
        <f>IFERROR(__xludf.DUMMYFUNCTION("""COMPUTED_VALUE"""),46013.0)</f>
        <v>46013</v>
      </c>
      <c r="B588" s="3" t="str">
        <f>IFERROR(__xludf.DUMMYFUNCTION("""COMPUTED_VALUE"""),"Pratos grandes refeições ")</f>
        <v>Pratos grandes refeições </v>
      </c>
      <c r="C588" s="3" t="str">
        <f>IFERROR(__xludf.DUMMYFUNCTION("""COMPUTED_VALUE"""),"Utensílio")</f>
        <v>Utensílio</v>
      </c>
      <c r="D588" s="3">
        <f>IFERROR(__xludf.DUMMYFUNCTION("""COMPUTED_VALUE"""),1.0)</f>
        <v>1</v>
      </c>
      <c r="E588" s="3" t="str">
        <f>IFERROR(__xludf.DUMMYFUNCTION("""COMPUTED_VALUE"""),"Quebra")</f>
        <v>Quebra</v>
      </c>
      <c r="F588" s="3" t="str">
        <f>IFERROR(__xludf.DUMMYFUNCTION("""COMPUTED_VALUE"""),"Rafael")</f>
        <v>Rafael</v>
      </c>
      <c r="G588" s="3" t="str">
        <f>IFERROR(__xludf.DUMMYFUNCTION("""COMPUTED_VALUE"""),"Vanessa deixou cair ")</f>
        <v>Vanessa deixou cair </v>
      </c>
      <c r="I588" s="4"/>
    </row>
    <row r="589">
      <c r="A589" s="2">
        <f>IFERROR(__xludf.DUMMYFUNCTION("""COMPUTED_VALUE"""),46013.0)</f>
        <v>46013</v>
      </c>
      <c r="B589" s="3" t="str">
        <f>IFERROR(__xludf.DUMMYFUNCTION("""COMPUTED_VALUE"""),"Copo grande ")</f>
        <v>Copo grande </v>
      </c>
      <c r="C589" s="3" t="str">
        <f>IFERROR(__xludf.DUMMYFUNCTION("""COMPUTED_VALUE"""),"Utensílio")</f>
        <v>Utensílio</v>
      </c>
      <c r="D589" s="3">
        <f>IFERROR(__xludf.DUMMYFUNCTION("""COMPUTED_VALUE"""),1.0)</f>
        <v>1</v>
      </c>
      <c r="E589" s="3" t="str">
        <f>IFERROR(__xludf.DUMMYFUNCTION("""COMPUTED_VALUE"""),"Cliente")</f>
        <v>Cliente</v>
      </c>
      <c r="F589" s="3" t="str">
        <f>IFERROR(__xludf.DUMMYFUNCTION("""COMPUTED_VALUE"""),"Rafael")</f>
        <v>Rafael</v>
      </c>
      <c r="G589" s="3" t="str">
        <f>IFERROR(__xludf.DUMMYFUNCTION("""COMPUTED_VALUE"""),"Quebrou na mesa")</f>
        <v>Quebrou na mesa</v>
      </c>
      <c r="I589" s="4"/>
    </row>
    <row r="590">
      <c r="A590" s="2">
        <f>IFERROR(__xludf.DUMMYFUNCTION("""COMPUTED_VALUE"""),46013.0)</f>
        <v>46013</v>
      </c>
      <c r="B590" s="3" t="str">
        <f>IFERROR(__xludf.DUMMYFUNCTION("""COMPUTED_VALUE"""),"Blende café ")</f>
        <v>Blende café </v>
      </c>
      <c r="C590" s="3" t="str">
        <f>IFERROR(__xludf.DUMMYFUNCTION("""COMPUTED_VALUE"""),"Produto final")</f>
        <v>Produto final</v>
      </c>
      <c r="D590" s="3" t="str">
        <f>IFERROR(__xludf.DUMMYFUNCTION("""COMPUTED_VALUE"""),"15 g")</f>
        <v>15 g</v>
      </c>
      <c r="E590" s="3" t="str">
        <f>IFERROR(__xludf.DUMMYFUNCTION("""COMPUTED_VALUE"""),"Cliente")</f>
        <v>Cliente</v>
      </c>
      <c r="F590" s="3" t="str">
        <f>IFERROR(__xludf.DUMMYFUNCTION("""COMPUTED_VALUE"""),"Rafael")</f>
        <v>Rafael</v>
      </c>
      <c r="G590" s="3" t="str">
        <f>IFERROR(__xludf.DUMMYFUNCTION("""COMPUTED_VALUE"""),"Desistir ")</f>
        <v>Desistir </v>
      </c>
      <c r="I590" s="4"/>
    </row>
    <row r="591">
      <c r="A591" s="2">
        <f>IFERROR(__xludf.DUMMYFUNCTION("""COMPUTED_VALUE"""),46014.0)</f>
        <v>46014</v>
      </c>
      <c r="B591" s="3" t="str">
        <f>IFERROR(__xludf.DUMMYFUNCTION("""COMPUTED_VALUE"""),"Caldo de mandioca carne seca")</f>
        <v>Caldo de mandioca carne seca</v>
      </c>
      <c r="C591" s="3" t="str">
        <f>IFERROR(__xludf.DUMMYFUNCTION("""COMPUTED_VALUE"""),"Produto final")</f>
        <v>Produto final</v>
      </c>
      <c r="D591" s="3">
        <f>IFERROR(__xludf.DUMMYFUNCTION("""COMPUTED_VALUE"""),1.0)</f>
        <v>1</v>
      </c>
      <c r="E591" s="3" t="str">
        <f>IFERROR(__xludf.DUMMYFUNCTION("""COMPUTED_VALUE"""),"Erro de processo")</f>
        <v>Erro de processo</v>
      </c>
      <c r="F591" s="3" t="str">
        <f>IFERROR(__xludf.DUMMYFUNCTION("""COMPUTED_VALUE"""),"Patrícia")</f>
        <v>Patrícia</v>
      </c>
      <c r="G591" s="3" t="str">
        <f>IFERROR(__xludf.DUMMYFUNCTION("""COMPUTED_VALUE"""),"Fez errado ")</f>
        <v>Fez errado </v>
      </c>
      <c r="I591" s="4"/>
    </row>
    <row r="592">
      <c r="A592" s="2">
        <f>IFERROR(__xludf.DUMMYFUNCTION("""COMPUTED_VALUE"""),46017.0)</f>
        <v>46017</v>
      </c>
      <c r="B592" s="3" t="str">
        <f>IFERROR(__xludf.DUMMYFUNCTION("""COMPUTED_VALUE"""),"Pão de queijo pequeno ")</f>
        <v>Pão de queijo pequeno </v>
      </c>
      <c r="C592" s="3" t="str">
        <f>IFERROR(__xludf.DUMMYFUNCTION("""COMPUTED_VALUE"""),"Produto final")</f>
        <v>Produto final</v>
      </c>
      <c r="D592" s="3" t="str">
        <f>IFERROR(__xludf.DUMMYFUNCTION("""COMPUTED_VALUE"""),"16 unidades ")</f>
        <v>16 unidades </v>
      </c>
      <c r="E592" s="3" t="str">
        <f>IFERROR(__xludf.DUMMYFUNCTION("""COMPUTED_VALUE"""),"Erro de processo")</f>
        <v>Erro de processo</v>
      </c>
      <c r="F592" s="3" t="str">
        <f>IFERROR(__xludf.DUMMYFUNCTION("""COMPUTED_VALUE"""),"Melissa")</f>
        <v>Melissa</v>
      </c>
      <c r="G592" s="3" t="str">
        <f>IFERROR(__xludf.DUMMYFUNCTION("""COMPUTED_VALUE"""),"Deixou quimar ")</f>
        <v>Deixou quimar </v>
      </c>
      <c r="I592" s="4"/>
    </row>
    <row r="593">
      <c r="A593" s="2">
        <f>IFERROR(__xludf.DUMMYFUNCTION("""COMPUTED_VALUE"""),46019.0)</f>
        <v>46019</v>
      </c>
      <c r="B593" s="3" t="str">
        <f>IFERROR(__xludf.DUMMYFUNCTION("""COMPUTED_VALUE"""),"Chá preto ")</f>
        <v>Chá preto </v>
      </c>
      <c r="C593" s="3" t="str">
        <f>IFERROR(__xludf.DUMMYFUNCTION("""COMPUTED_VALUE"""),"Produto final")</f>
        <v>Produto final</v>
      </c>
      <c r="D593" s="3">
        <f>IFERROR(__xludf.DUMMYFUNCTION("""COMPUTED_VALUE"""),1.0)</f>
        <v>1</v>
      </c>
      <c r="E593" s="3" t="str">
        <f>IFERROR(__xludf.DUMMYFUNCTION("""COMPUTED_VALUE"""),"Erro de processo")</f>
        <v>Erro de processo</v>
      </c>
      <c r="F593" s="3" t="str">
        <f>IFERROR(__xludf.DUMMYFUNCTION("""COMPUTED_VALUE"""),"Rafael")</f>
        <v>Rafael</v>
      </c>
      <c r="G593" s="3" t="str">
        <f>IFERROR(__xludf.DUMMYFUNCTION("""COMPUTED_VALUE"""),"Fez errado ")</f>
        <v>Fez errado </v>
      </c>
      <c r="I593" s="4"/>
    </row>
    <row r="594">
      <c r="A594" s="2">
        <f>IFERROR(__xludf.DUMMYFUNCTION("""COMPUTED_VALUE"""),46024.0)</f>
        <v>46024</v>
      </c>
      <c r="B594" s="3" t="str">
        <f>IFERROR(__xludf.DUMMYFUNCTION("""COMPUTED_VALUE"""),"Latte Duplo")</f>
        <v>Latte Duplo</v>
      </c>
      <c r="C594" s="3" t="str">
        <f>IFERROR(__xludf.DUMMYFUNCTION("""COMPUTED_VALUE"""),"Produto final")</f>
        <v>Produto final</v>
      </c>
      <c r="D594" s="3">
        <f>IFERROR(__xludf.DUMMYFUNCTION("""COMPUTED_VALUE"""),1.0)</f>
        <v>1</v>
      </c>
      <c r="E594" s="3" t="str">
        <f>IFERROR(__xludf.DUMMYFUNCTION("""COMPUTED_VALUE"""),"Erro de processo")</f>
        <v>Erro de processo</v>
      </c>
      <c r="F594" s="3" t="str">
        <f>IFERROR(__xludf.DUMMYFUNCTION("""COMPUTED_VALUE"""),"Edna")</f>
        <v>Edna</v>
      </c>
      <c r="G594" s="3" t="str">
        <f>IFERROR(__xludf.DUMMYFUNCTION("""COMPUTED_VALUE"""),"Erro")</f>
        <v>Erro</v>
      </c>
      <c r="I594" s="4"/>
    </row>
    <row r="595">
      <c r="A595" s="2">
        <f>IFERROR(__xludf.DUMMYFUNCTION("""COMPUTED_VALUE"""),46024.0)</f>
        <v>46024</v>
      </c>
      <c r="B595" s="3" t="str">
        <f>IFERROR(__xludf.DUMMYFUNCTION("""COMPUTED_VALUE"""),"Copo shot")</f>
        <v>Copo shot</v>
      </c>
      <c r="C595" s="3" t="str">
        <f>IFERROR(__xludf.DUMMYFUNCTION("""COMPUTED_VALUE"""),"Utensílio")</f>
        <v>Utensílio</v>
      </c>
      <c r="D595" s="3">
        <f>IFERROR(__xludf.DUMMYFUNCTION("""COMPUTED_VALUE"""),1.0)</f>
        <v>1</v>
      </c>
      <c r="E595" s="3" t="str">
        <f>IFERROR(__xludf.DUMMYFUNCTION("""COMPUTED_VALUE"""),"Quebra")</f>
        <v>Quebra</v>
      </c>
      <c r="F595" s="3" t="str">
        <f>IFERROR(__xludf.DUMMYFUNCTION("""COMPUTED_VALUE"""),"Patrícia")</f>
        <v>Patrícia</v>
      </c>
      <c r="G595" s="3" t="str">
        <f>IFERROR(__xludf.DUMMYFUNCTION("""COMPUTED_VALUE"""),"Quebrou no manuseio")</f>
        <v>Quebrou no manuseio</v>
      </c>
      <c r="I595" s="4"/>
    </row>
    <row r="596">
      <c r="A596" s="2">
        <f>IFERROR(__xludf.DUMMYFUNCTION("""COMPUTED_VALUE"""),46025.0)</f>
        <v>46025</v>
      </c>
      <c r="B596" s="3" t="str">
        <f>IFERROR(__xludf.DUMMYFUNCTION("""COMPUTED_VALUE"""),"Soda italiana maça verde")</f>
        <v>Soda italiana maça verde</v>
      </c>
      <c r="C596" s="3" t="str">
        <f>IFERROR(__xludf.DUMMYFUNCTION("""COMPUTED_VALUE"""),"Produto final")</f>
        <v>Produto final</v>
      </c>
      <c r="D596" s="3">
        <f>IFERROR(__xludf.DUMMYFUNCTION("""COMPUTED_VALUE"""),1.0)</f>
        <v>1</v>
      </c>
      <c r="E596" s="3" t="str">
        <f>IFERROR(__xludf.DUMMYFUNCTION("""COMPUTED_VALUE"""),"Cliente")</f>
        <v>Cliente</v>
      </c>
      <c r="F596" s="3" t="str">
        <f>IFERROR(__xludf.DUMMYFUNCTION("""COMPUTED_VALUE"""),"Ana Júlia")</f>
        <v>Ana Júlia</v>
      </c>
      <c r="G596" s="3" t="str">
        <f>IFERROR(__xludf.DUMMYFUNCTION("""COMPUTED_VALUE"""),"Cliente pediu e após receber pediu solicitou troca por chá natural")</f>
        <v>Cliente pediu e após receber pediu solicitou troca por chá natural</v>
      </c>
      <c r="I596" s="4"/>
    </row>
    <row r="597">
      <c r="A597" s="2">
        <f>IFERROR(__xludf.DUMMYFUNCTION("""COMPUTED_VALUE"""),46025.0)</f>
        <v>46025</v>
      </c>
      <c r="B597" s="3" t="str">
        <f>IFERROR(__xludf.DUMMYFUNCTION("""COMPUTED_VALUE"""),"Coado frutado")</f>
        <v>Coado frutado</v>
      </c>
      <c r="C597" s="3" t="str">
        <f>IFERROR(__xludf.DUMMYFUNCTION("""COMPUTED_VALUE"""),"Produto final")</f>
        <v>Produto final</v>
      </c>
      <c r="D597" s="3">
        <f>IFERROR(__xludf.DUMMYFUNCTION("""COMPUTED_VALUE"""),1.0)</f>
        <v>1</v>
      </c>
      <c r="E597" s="3" t="str">
        <f>IFERROR(__xludf.DUMMYFUNCTION("""COMPUTED_VALUE"""),"Cliente")</f>
        <v>Cliente</v>
      </c>
      <c r="F597" s="3" t="str">
        <f>IFERROR(__xludf.DUMMYFUNCTION("""COMPUTED_VALUE"""),"Rafael")</f>
        <v>Rafael</v>
      </c>
      <c r="G597" s="3" t="str">
        <f>IFERROR(__xludf.DUMMYFUNCTION("""COMPUTED_VALUE"""),"Cliente reclamou que estava muito fraco")</f>
        <v>Cliente reclamou que estava muito fraco</v>
      </c>
      <c r="I597" s="4"/>
    </row>
    <row r="598">
      <c r="A598" s="2">
        <f>IFERROR(__xludf.DUMMYFUNCTION("""COMPUTED_VALUE"""),46026.0)</f>
        <v>46026</v>
      </c>
      <c r="B598" s="3" t="str">
        <f>IFERROR(__xludf.DUMMYFUNCTION("""COMPUTED_VALUE"""),"Croissant Nutella ")</f>
        <v>Croissant Nutella </v>
      </c>
      <c r="C598" s="3" t="str">
        <f>IFERROR(__xludf.DUMMYFUNCTION("""COMPUTED_VALUE"""),"Produto final")</f>
        <v>Produto final</v>
      </c>
      <c r="D598" s="3">
        <f>IFERROR(__xludf.DUMMYFUNCTION("""COMPUTED_VALUE"""),1.0)</f>
        <v>1</v>
      </c>
      <c r="E598" s="3" t="str">
        <f>IFERROR(__xludf.DUMMYFUNCTION("""COMPUTED_VALUE"""),"Lançamento errado")</f>
        <v>Lançamento errado</v>
      </c>
      <c r="F598" s="3" t="str">
        <f>IFERROR(__xludf.DUMMYFUNCTION("""COMPUTED_VALUE"""),"Ana Júlia")</f>
        <v>Ana Júlia</v>
      </c>
      <c r="G598" s="3" t="str">
        <f>IFERROR(__xludf.DUMMYFUNCTION("""COMPUTED_VALUE"""),"Pedido errado")</f>
        <v>Pedido errado</v>
      </c>
      <c r="I598" s="4"/>
    </row>
    <row r="599">
      <c r="A599" s="2">
        <f>IFERROR(__xludf.DUMMYFUNCTION("""COMPUTED_VALUE"""),46026.0)</f>
        <v>46026</v>
      </c>
      <c r="B599" s="3" t="str">
        <f>IFERROR(__xludf.DUMMYFUNCTION("""COMPUTED_VALUE"""),"Bolo laranja")</f>
        <v>Bolo laranja</v>
      </c>
      <c r="C599" s="3" t="str">
        <f>IFERROR(__xludf.DUMMYFUNCTION("""COMPUTED_VALUE"""),"Produto final")</f>
        <v>Produto final</v>
      </c>
      <c r="D599" s="3">
        <f>IFERROR(__xludf.DUMMYFUNCTION("""COMPUTED_VALUE"""),1.0)</f>
        <v>1</v>
      </c>
      <c r="E599" s="3" t="str">
        <f>IFERROR(__xludf.DUMMYFUNCTION("""COMPUTED_VALUE"""),"Erro de processo")</f>
        <v>Erro de processo</v>
      </c>
      <c r="F599" s="3" t="str">
        <f>IFERROR(__xludf.DUMMYFUNCTION("""COMPUTED_VALUE"""),"Edna")</f>
        <v>Edna</v>
      </c>
      <c r="G599" s="3" t="str">
        <f>IFERROR(__xludf.DUMMYFUNCTION("""COMPUTED_VALUE"""),"Fatia pequena. ")</f>
        <v>Fatia pequena. </v>
      </c>
      <c r="I599" s="4"/>
    </row>
    <row r="600">
      <c r="A600" s="2">
        <f>IFERROR(__xludf.DUMMYFUNCTION("""COMPUTED_VALUE"""),46027.0)</f>
        <v>46027</v>
      </c>
      <c r="B600" s="3" t="str">
        <f>IFERROR(__xludf.DUMMYFUNCTION("""COMPUTED_VALUE"""),"Café late g veg")</f>
        <v>Café late g veg</v>
      </c>
      <c r="C600" s="3" t="str">
        <f>IFERROR(__xludf.DUMMYFUNCTION("""COMPUTED_VALUE"""),"Produto final")</f>
        <v>Produto final</v>
      </c>
      <c r="D600" s="3">
        <f>IFERROR(__xludf.DUMMYFUNCTION("""COMPUTED_VALUE"""),1.0)</f>
        <v>1</v>
      </c>
      <c r="E600" s="3" t="str">
        <f>IFERROR(__xludf.DUMMYFUNCTION("""COMPUTED_VALUE"""),"Cliente")</f>
        <v>Cliente</v>
      </c>
      <c r="F600" s="3" t="str">
        <f>IFERROR(__xludf.DUMMYFUNCTION("""COMPUTED_VALUE"""),"Paulo")</f>
        <v>Paulo</v>
      </c>
      <c r="G600" s="3" t="str">
        <f>IFERROR(__xludf.DUMMYFUNCTION("""COMPUTED_VALUE"""),"Cliente confundiu na hora de pedir a bebida correta ")</f>
        <v>Cliente confundiu na hora de pedir a bebida correta </v>
      </c>
      <c r="I600" s="4"/>
    </row>
    <row r="601">
      <c r="A601" s="2">
        <f>IFERROR(__xludf.DUMMYFUNCTION("""COMPUTED_VALUE"""),46028.0)</f>
        <v>46028</v>
      </c>
      <c r="B601" s="3" t="str">
        <f>IFERROR(__xludf.DUMMYFUNCTION("""COMPUTED_VALUE"""),"Chá gelado limão ")</f>
        <v>Chá gelado limão </v>
      </c>
      <c r="C601" s="3" t="str">
        <f>IFERROR(__xludf.DUMMYFUNCTION("""COMPUTED_VALUE"""),"Produto final")</f>
        <v>Produto final</v>
      </c>
      <c r="D601" s="3">
        <f>IFERROR(__xludf.DUMMYFUNCTION("""COMPUTED_VALUE"""),1.0)</f>
        <v>1</v>
      </c>
      <c r="E601" s="3" t="str">
        <f>IFERROR(__xludf.DUMMYFUNCTION("""COMPUTED_VALUE"""),"Cliente")</f>
        <v>Cliente</v>
      </c>
      <c r="F601" s="3" t="str">
        <f>IFERROR(__xludf.DUMMYFUNCTION("""COMPUTED_VALUE"""),"Pâmela")</f>
        <v>Pâmela</v>
      </c>
      <c r="G601" s="3" t="str">
        <f>IFERROR(__xludf.DUMMYFUNCTION("""COMPUTED_VALUE"""),"Cliente pediu e na gostou. Pediu para trocar. ")</f>
        <v>Cliente pediu e na gostou. Pediu para trocar. </v>
      </c>
      <c r="I601" s="4"/>
    </row>
    <row r="602">
      <c r="A602" s="2">
        <f>IFERROR(__xludf.DUMMYFUNCTION("""COMPUTED_VALUE"""),46028.0)</f>
        <v>46028</v>
      </c>
      <c r="B602" s="3" t="str">
        <f>IFERROR(__xludf.DUMMYFUNCTION("""COMPUTED_VALUE"""),"Tomate cereja")</f>
        <v>Tomate cereja</v>
      </c>
      <c r="C602" s="3" t="str">
        <f>IFERROR(__xludf.DUMMYFUNCTION("""COMPUTED_VALUE"""),"Hortifruti")</f>
        <v>Hortifruti</v>
      </c>
      <c r="D602" s="3" t="str">
        <f>IFERROR(__xludf.DUMMYFUNCTION("""COMPUTED_VALUE"""),"165g")</f>
        <v>165g</v>
      </c>
      <c r="E602" s="3" t="str">
        <f>IFERROR(__xludf.DUMMYFUNCTION("""COMPUTED_VALUE"""),"Venceu (Validade)")</f>
        <v>Venceu (Validade)</v>
      </c>
      <c r="F602" s="3" t="str">
        <f>IFERROR(__xludf.DUMMYFUNCTION("""COMPUTED_VALUE"""),"Jonathan")</f>
        <v>Jonathan</v>
      </c>
      <c r="G602" s="3" t="str">
        <f>IFERROR(__xludf.DUMMYFUNCTION("""COMPUTED_VALUE"""),"Vencido. Estragou. ")</f>
        <v>Vencido. Estragou. </v>
      </c>
      <c r="I602" s="4"/>
    </row>
    <row r="603">
      <c r="A603" s="2">
        <f>IFERROR(__xludf.DUMMYFUNCTION("""COMPUTED_VALUE"""),46028.0)</f>
        <v>46028</v>
      </c>
      <c r="B603" s="3" t="str">
        <f>IFERROR(__xludf.DUMMYFUNCTION("""COMPUTED_VALUE"""),"Palha italiana ")</f>
        <v>Palha italiana </v>
      </c>
      <c r="C603" s="3" t="str">
        <f>IFERROR(__xludf.DUMMYFUNCTION("""COMPUTED_VALUE"""),"Produto final")</f>
        <v>Produto final</v>
      </c>
      <c r="D603" s="3">
        <f>IFERROR(__xludf.DUMMYFUNCTION("""COMPUTED_VALUE"""),1.0)</f>
        <v>1</v>
      </c>
      <c r="E603" s="3" t="str">
        <f>IFERROR(__xludf.DUMMYFUNCTION("""COMPUTED_VALUE"""),"Cliente")</f>
        <v>Cliente</v>
      </c>
      <c r="F603" s="3" t="str">
        <f>IFERROR(__xludf.DUMMYFUNCTION("""COMPUTED_VALUE"""),"Pâmela")</f>
        <v>Pâmela</v>
      </c>
      <c r="G603" s="3" t="str">
        <f>IFERROR(__xludf.DUMMYFUNCTION("""COMPUTED_VALUE"""),"Cliente pediu e disse que não gostou. Trocou por outro item. ")</f>
        <v>Cliente pediu e disse que não gostou. Trocou por outro item. </v>
      </c>
      <c r="I603" s="4"/>
    </row>
    <row r="604">
      <c r="A604" s="2">
        <f>IFERROR(__xludf.DUMMYFUNCTION("""COMPUTED_VALUE"""),46030.0)</f>
        <v>46030</v>
      </c>
      <c r="B604" s="3" t="str">
        <f>IFERROR(__xludf.DUMMYFUNCTION("""COMPUTED_VALUE"""),"Suco de laranja")</f>
        <v>Suco de laranja</v>
      </c>
      <c r="C604" s="3" t="str">
        <f>IFERROR(__xludf.DUMMYFUNCTION("""COMPUTED_VALUE"""),"Produto final")</f>
        <v>Produto final</v>
      </c>
      <c r="D604" s="3">
        <f>IFERROR(__xludf.DUMMYFUNCTION("""COMPUTED_VALUE"""),1.0)</f>
        <v>1</v>
      </c>
      <c r="E604" s="3" t="str">
        <f>IFERROR(__xludf.DUMMYFUNCTION("""COMPUTED_VALUE"""),"Cliente")</f>
        <v>Cliente</v>
      </c>
      <c r="F604" s="3" t="str">
        <f>IFERROR(__xludf.DUMMYFUNCTION("""COMPUTED_VALUE"""),"Edna")</f>
        <v>Edna</v>
      </c>
      <c r="G604" s="3" t="str">
        <f>IFERROR(__xludf.DUMMYFUNCTION("""COMPUTED_VALUE"""),"Cliente não gostou")</f>
        <v>Cliente não gostou</v>
      </c>
      <c r="I604" s="4"/>
    </row>
    <row r="605">
      <c r="A605" s="2">
        <f>IFERROR(__xludf.DUMMYFUNCTION("""COMPUTED_VALUE"""),46030.0)</f>
        <v>46030</v>
      </c>
      <c r="B605" s="3" t="str">
        <f>IFERROR(__xludf.DUMMYFUNCTION("""COMPUTED_VALUE"""),"Tapioca")</f>
        <v>Tapioca</v>
      </c>
      <c r="C605" s="3" t="str">
        <f>IFERROR(__xludf.DUMMYFUNCTION("""COMPUTED_VALUE"""),"Insumo")</f>
        <v>Insumo</v>
      </c>
      <c r="D605" s="3" t="str">
        <f>IFERROR(__xludf.DUMMYFUNCTION("""COMPUTED_VALUE"""),"65g")</f>
        <v>65g</v>
      </c>
      <c r="E605" s="3" t="str">
        <f>IFERROR(__xludf.DUMMYFUNCTION("""COMPUTED_VALUE"""),"Erro de processo")</f>
        <v>Erro de processo</v>
      </c>
      <c r="F605" s="3" t="str">
        <f>IFERROR(__xludf.DUMMYFUNCTION("""COMPUTED_VALUE"""),"Jonathan")</f>
        <v>Jonathan</v>
      </c>
      <c r="G605" s="3" t="str">
        <f>IFERROR(__xludf.DUMMYFUNCTION("""COMPUTED_VALUE"""),"Passou do ponto (ficou dura)")</f>
        <v>Passou do ponto (ficou dura)</v>
      </c>
      <c r="I605" s="4"/>
    </row>
    <row r="606">
      <c r="A606" s="2">
        <f>IFERROR(__xludf.DUMMYFUNCTION("""COMPUTED_VALUE"""),46030.0)</f>
        <v>46030</v>
      </c>
      <c r="B606" s="3" t="str">
        <f>IFERROR(__xludf.DUMMYFUNCTION("""COMPUTED_VALUE"""),"Copo shot")</f>
        <v>Copo shot</v>
      </c>
      <c r="C606" s="3" t="str">
        <f>IFERROR(__xludf.DUMMYFUNCTION("""COMPUTED_VALUE"""),"Utensílio")</f>
        <v>Utensílio</v>
      </c>
      <c r="D606" s="3">
        <f>IFERROR(__xludf.DUMMYFUNCTION("""COMPUTED_VALUE"""),1.0)</f>
        <v>1</v>
      </c>
      <c r="E606" s="3" t="str">
        <f>IFERROR(__xludf.DUMMYFUNCTION("""COMPUTED_VALUE"""),"Quebra")</f>
        <v>Quebra</v>
      </c>
      <c r="F606" s="3" t="str">
        <f>IFERROR(__xludf.DUMMYFUNCTION("""COMPUTED_VALUE"""),"Edna")</f>
        <v>Edna</v>
      </c>
      <c r="G606" s="3" t="str">
        <f>IFERROR(__xludf.DUMMYFUNCTION("""COMPUTED_VALUE""")," ")</f>
        <v> </v>
      </c>
      <c r="I606" s="4"/>
    </row>
    <row r="607">
      <c r="A607" s="2">
        <f>IFERROR(__xludf.DUMMYFUNCTION("""COMPUTED_VALUE"""),46030.0)</f>
        <v>46030</v>
      </c>
      <c r="B607" s="3" t="str">
        <f>IFERROR(__xludf.DUMMYFUNCTION("""COMPUTED_VALUE"""),"Bolo cenoura")</f>
        <v>Bolo cenoura</v>
      </c>
      <c r="C607" s="3" t="str">
        <f>IFERROR(__xludf.DUMMYFUNCTION("""COMPUTED_VALUE"""),"Produto final")</f>
        <v>Produto final</v>
      </c>
      <c r="D607" s="3">
        <f>IFERROR(__xludf.DUMMYFUNCTION("""COMPUTED_VALUE"""),1.0)</f>
        <v>1</v>
      </c>
      <c r="E607" s="3" t="str">
        <f>IFERROR(__xludf.DUMMYFUNCTION("""COMPUTED_VALUE"""),"Lançamento errado")</f>
        <v>Lançamento errado</v>
      </c>
      <c r="F607" s="3" t="str">
        <f>IFERROR(__xludf.DUMMYFUNCTION("""COMPUTED_VALUE"""),"Patrícia")</f>
        <v>Patrícia</v>
      </c>
      <c r="G607" s="3" t="str">
        <f>IFERROR(__xludf.DUMMYFUNCTION("""COMPUTED_VALUE"""),"Erro de pedido ")</f>
        <v>Erro de pedido </v>
      </c>
      <c r="I607" s="4"/>
    </row>
    <row r="608">
      <c r="A608" s="2">
        <f>IFERROR(__xludf.DUMMYFUNCTION("""COMPUTED_VALUE"""),46031.0)</f>
        <v>46031</v>
      </c>
      <c r="B608" s="3" t="str">
        <f>IFERROR(__xludf.DUMMYFUNCTION("""COMPUTED_VALUE"""),"Ad requeijão ")</f>
        <v>Ad requeijão </v>
      </c>
      <c r="C608" s="3" t="str">
        <f>IFERROR(__xludf.DUMMYFUNCTION("""COMPUTED_VALUE"""),"Produto final")</f>
        <v>Produto final</v>
      </c>
      <c r="D608" s="3" t="str">
        <f>IFERROR(__xludf.DUMMYFUNCTION("""COMPUTED_VALUE"""),"20 g ")</f>
        <v>20 g </v>
      </c>
      <c r="E608" s="3" t="str">
        <f>IFERROR(__xludf.DUMMYFUNCTION("""COMPUTED_VALUE"""),"Saiu sem pagar")</f>
        <v>Saiu sem pagar</v>
      </c>
      <c r="F608" s="3" t="str">
        <f>IFERROR(__xludf.DUMMYFUNCTION("""COMPUTED_VALUE"""),"Ana Júlia")</f>
        <v>Ana Júlia</v>
      </c>
      <c r="G608" s="3" t="str">
        <f>IFERROR(__xludf.DUMMYFUNCTION("""COMPUTED_VALUE"""),"Cliente se recusou a pagar alegando não ter sido orientada do mesmo antes ")</f>
        <v>Cliente se recusou a pagar alegando não ter sido orientada do mesmo antes </v>
      </c>
      <c r="I608" s="4"/>
    </row>
    <row r="609">
      <c r="A609" s="2">
        <f>IFERROR(__xludf.DUMMYFUNCTION("""COMPUTED_VALUE"""),46032.0)</f>
        <v>46032</v>
      </c>
      <c r="B609" s="3" t="str">
        <f>IFERROR(__xludf.DUMMYFUNCTION("""COMPUTED_VALUE"""),"Bolo Maçã ")</f>
        <v>Bolo Maçã </v>
      </c>
      <c r="C609" s="3" t="str">
        <f>IFERROR(__xludf.DUMMYFUNCTION("""COMPUTED_VALUE"""),"Produto final")</f>
        <v>Produto final</v>
      </c>
      <c r="D609" s="3">
        <f>IFERROR(__xludf.DUMMYFUNCTION("""COMPUTED_VALUE"""),1.0)</f>
        <v>1</v>
      </c>
      <c r="E609" s="3" t="str">
        <f>IFERROR(__xludf.DUMMYFUNCTION("""COMPUTED_VALUE"""),"Erro de processo")</f>
        <v>Erro de processo</v>
      </c>
      <c r="F609" s="3" t="str">
        <f>IFERROR(__xludf.DUMMYFUNCTION("""COMPUTED_VALUE"""),"Francisca")</f>
        <v>Francisca</v>
      </c>
      <c r="G609" s="3" t="str">
        <f>IFERROR(__xludf.DUMMYFUNCTION("""COMPUTED_VALUE"""),"Fatia pequena")</f>
        <v>Fatia pequena</v>
      </c>
      <c r="I609" s="4"/>
    </row>
    <row r="610">
      <c r="A610" s="2">
        <f>IFERROR(__xludf.DUMMYFUNCTION("""COMPUTED_VALUE"""),46032.0)</f>
        <v>46032</v>
      </c>
      <c r="B610" s="3" t="str">
        <f>IFERROR(__xludf.DUMMYFUNCTION("""COMPUTED_VALUE"""),"Torta banoffe")</f>
        <v>Torta banoffe</v>
      </c>
      <c r="C610" s="3" t="str">
        <f>IFERROR(__xludf.DUMMYFUNCTION("""COMPUTED_VALUE"""),"Produto final")</f>
        <v>Produto final</v>
      </c>
      <c r="D610" s="3">
        <f>IFERROR(__xludf.DUMMYFUNCTION("""COMPUTED_VALUE"""),1.0)</f>
        <v>1</v>
      </c>
      <c r="E610" s="3" t="str">
        <f>IFERROR(__xludf.DUMMYFUNCTION("""COMPUTED_VALUE"""),"Erro de processo")</f>
        <v>Erro de processo</v>
      </c>
      <c r="F610" s="3" t="str">
        <f>IFERROR(__xludf.DUMMYFUNCTION("""COMPUTED_VALUE"""),"Francisca")</f>
        <v>Francisca</v>
      </c>
      <c r="G610" s="3" t="str">
        <f>IFERROR(__xludf.DUMMYFUNCTION("""COMPUTED_VALUE"""),"Fatia pequena")</f>
        <v>Fatia pequena</v>
      </c>
      <c r="I610" s="4"/>
    </row>
    <row r="611">
      <c r="A611" s="2">
        <f>IFERROR(__xludf.DUMMYFUNCTION("""COMPUTED_VALUE"""),46033.0)</f>
        <v>46033</v>
      </c>
      <c r="B611" s="3" t="str">
        <f>IFERROR(__xludf.DUMMYFUNCTION("""COMPUTED_VALUE"""),"Mocha ")</f>
        <v>Mocha </v>
      </c>
      <c r="C611" s="3" t="str">
        <f>IFERROR(__xludf.DUMMYFUNCTION("""COMPUTED_VALUE"""),"Produto final")</f>
        <v>Produto final</v>
      </c>
      <c r="D611" s="3">
        <f>IFERROR(__xludf.DUMMYFUNCTION("""COMPUTED_VALUE"""),1.0)</f>
        <v>1</v>
      </c>
      <c r="E611" s="3" t="str">
        <f>IFERROR(__xludf.DUMMYFUNCTION("""COMPUTED_VALUE"""),"Erro de processo")</f>
        <v>Erro de processo</v>
      </c>
      <c r="F611" s="3" t="str">
        <f>IFERROR(__xludf.DUMMYFUNCTION("""COMPUTED_VALUE"""),"Paulo")</f>
        <v>Paulo</v>
      </c>
      <c r="G611" s="3" t="str">
        <f>IFERROR(__xludf.DUMMYFUNCTION("""COMPUTED_VALUE"""),"Lançado errado ")</f>
        <v>Lançado errado </v>
      </c>
      <c r="I611" s="4"/>
    </row>
    <row r="612">
      <c r="A612" s="2">
        <f>IFERROR(__xludf.DUMMYFUNCTION("""COMPUTED_VALUE"""),46033.0)</f>
        <v>46033</v>
      </c>
      <c r="B612" s="3" t="str">
        <f>IFERROR(__xludf.DUMMYFUNCTION("""COMPUTED_VALUE"""),"Express s / avelã s")</f>
        <v>Express s / avelã s</v>
      </c>
      <c r="C612" s="3" t="str">
        <f>IFERROR(__xludf.DUMMYFUNCTION("""COMPUTED_VALUE"""),"Produto final")</f>
        <v>Produto final</v>
      </c>
      <c r="D612" s="3">
        <f>IFERROR(__xludf.DUMMYFUNCTION("""COMPUTED_VALUE"""),2.0)</f>
        <v>2</v>
      </c>
      <c r="E612" s="3" t="str">
        <f>IFERROR(__xludf.DUMMYFUNCTION("""COMPUTED_VALUE"""),"Saiu sem pagar")</f>
        <v>Saiu sem pagar</v>
      </c>
      <c r="F612" s="3" t="str">
        <f>IFERROR(__xludf.DUMMYFUNCTION("""COMPUTED_VALUE"""),"Paulo")</f>
        <v>Paulo</v>
      </c>
      <c r="G612" s="3" t="str">
        <f>IFERROR(__xludf.DUMMYFUNCTION("""COMPUTED_VALUE"""),"O mesmo não alega não ter percebido que não tinhão pago ")</f>
        <v>O mesmo não alega não ter percebido que não tinhão pago </v>
      </c>
      <c r="I612" s="4"/>
    </row>
    <row r="613">
      <c r="A613" s="2">
        <f>IFERROR(__xludf.DUMMYFUNCTION("""COMPUTED_VALUE"""),46034.0)</f>
        <v>46034</v>
      </c>
      <c r="B613" s="3" t="str">
        <f>IFERROR(__xludf.DUMMYFUNCTION("""COMPUTED_VALUE"""),"Tapioca")</f>
        <v>Tapioca</v>
      </c>
      <c r="C613" s="3" t="str">
        <f>IFERROR(__xludf.DUMMYFUNCTION("""COMPUTED_VALUE"""),"Insumo")</f>
        <v>Insumo</v>
      </c>
      <c r="D613" s="3" t="str">
        <f>IFERROR(__xludf.DUMMYFUNCTION("""COMPUTED_VALUE"""),"65g")</f>
        <v>65g</v>
      </c>
      <c r="E613" s="3" t="str">
        <f>IFERROR(__xludf.DUMMYFUNCTION("""COMPUTED_VALUE"""),"Erro de processo")</f>
        <v>Erro de processo</v>
      </c>
      <c r="F613" s="3" t="str">
        <f>IFERROR(__xludf.DUMMYFUNCTION("""COMPUTED_VALUE"""),"Jonathan")</f>
        <v>Jonathan</v>
      </c>
      <c r="G613" s="3" t="str">
        <f>IFERROR(__xludf.DUMMYFUNCTION("""COMPUTED_VALUE"""),"Ficou mole")</f>
        <v>Ficou mole</v>
      </c>
      <c r="I613" s="4"/>
    </row>
    <row r="614">
      <c r="A614" s="2">
        <f>IFERROR(__xludf.DUMMYFUNCTION("""COMPUTED_VALUE"""),46035.0)</f>
        <v>46035</v>
      </c>
      <c r="B614" s="3" t="str">
        <f>IFERROR(__xludf.DUMMYFUNCTION("""COMPUTED_VALUE"""),"Leiteira plástica")</f>
        <v>Leiteira plástica</v>
      </c>
      <c r="C614" s="3" t="str">
        <f>IFERROR(__xludf.DUMMYFUNCTION("""COMPUTED_VALUE"""),"Utensílio")</f>
        <v>Utensílio</v>
      </c>
      <c r="D614" s="3">
        <f>IFERROR(__xludf.DUMMYFUNCTION("""COMPUTED_VALUE"""),1.0)</f>
        <v>1</v>
      </c>
      <c r="E614" s="3" t="str">
        <f>IFERROR(__xludf.DUMMYFUNCTION("""COMPUTED_VALUE"""),"Quebra")</f>
        <v>Quebra</v>
      </c>
      <c r="F614" s="3" t="str">
        <f>IFERROR(__xludf.DUMMYFUNCTION("""COMPUTED_VALUE"""),"Rafael")</f>
        <v>Rafael</v>
      </c>
      <c r="G614" s="3" t="str">
        <f>IFERROR(__xludf.DUMMYFUNCTION("""COMPUTED_VALUE"""),"Rachada")</f>
        <v>Rachada</v>
      </c>
      <c r="I614" s="4"/>
    </row>
    <row r="615">
      <c r="A615" s="2">
        <f>IFERROR(__xludf.DUMMYFUNCTION("""COMPUTED_VALUE"""),46037.0)</f>
        <v>46037</v>
      </c>
      <c r="B615" s="3" t="str">
        <f>IFERROR(__xludf.DUMMYFUNCTION("""COMPUTED_VALUE"""),"Frango milanesa")</f>
        <v>Frango milanesa</v>
      </c>
      <c r="C615" s="3" t="str">
        <f>IFERROR(__xludf.DUMMYFUNCTION("""COMPUTED_VALUE"""),"Insumo")</f>
        <v>Insumo</v>
      </c>
      <c r="D615" s="3">
        <f>IFERROR(__xludf.DUMMYFUNCTION("""COMPUTED_VALUE"""),1.0)</f>
        <v>1</v>
      </c>
      <c r="E615" s="3" t="str">
        <f>IFERROR(__xludf.DUMMYFUNCTION("""COMPUTED_VALUE"""),"Erro de processo")</f>
        <v>Erro de processo</v>
      </c>
      <c r="F615" s="3" t="str">
        <f>IFERROR(__xludf.DUMMYFUNCTION("""COMPUTED_VALUE"""),"Ana Júlia")</f>
        <v>Ana Júlia</v>
      </c>
      <c r="G615" s="3" t="str">
        <f>IFERROR(__xludf.DUMMYFUNCTION("""COMPUTED_VALUE"""),"Deixou cair. ")</f>
        <v>Deixou cair. </v>
      </c>
      <c r="I615" s="4"/>
    </row>
    <row r="616">
      <c r="A616" s="2">
        <f>IFERROR(__xludf.DUMMYFUNCTION("""COMPUTED_VALUE"""),46037.0)</f>
        <v>46037</v>
      </c>
      <c r="B616" s="3" t="str">
        <f>IFERROR(__xludf.DUMMYFUNCTION("""COMPUTED_VALUE"""),"Porção pão de queijo")</f>
        <v>Porção pão de queijo</v>
      </c>
      <c r="C616" s="3" t="str">
        <f>IFERROR(__xludf.DUMMYFUNCTION("""COMPUTED_VALUE"""),"Produto final")</f>
        <v>Produto final</v>
      </c>
      <c r="D616" s="3">
        <f>IFERROR(__xludf.DUMMYFUNCTION("""COMPUTED_VALUE"""),1.0)</f>
        <v>1</v>
      </c>
      <c r="E616" s="3" t="str">
        <f>IFERROR(__xludf.DUMMYFUNCTION("""COMPUTED_VALUE"""),"Venceu (Validade)")</f>
        <v>Venceu (Validade)</v>
      </c>
      <c r="F616" s="3" t="str">
        <f>IFERROR(__xludf.DUMMYFUNCTION("""COMPUTED_VALUE"""),"Melissa")</f>
        <v>Melissa</v>
      </c>
      <c r="G616" s="3" t="str">
        <f>IFERROR(__xludf.DUMMYFUNCTION("""COMPUTED_VALUE"""),"Vencido na geladeira.  ")</f>
        <v>Vencido na geladeira.  </v>
      </c>
      <c r="I616" s="4"/>
    </row>
    <row r="617">
      <c r="A617" s="2">
        <f>IFERROR(__xludf.DUMMYFUNCTION("""COMPUTED_VALUE"""),46037.0)</f>
        <v>46037</v>
      </c>
      <c r="B617" s="3" t="str">
        <f>IFERROR(__xludf.DUMMYFUNCTION("""COMPUTED_VALUE"""),"Copo P")</f>
        <v>Copo P</v>
      </c>
      <c r="C617" s="3" t="str">
        <f>IFERROR(__xludf.DUMMYFUNCTION("""COMPUTED_VALUE"""),"Utensílio")</f>
        <v>Utensílio</v>
      </c>
      <c r="D617" s="3">
        <f>IFERROR(__xludf.DUMMYFUNCTION("""COMPUTED_VALUE"""),1.0)</f>
        <v>1</v>
      </c>
      <c r="E617" s="3" t="str">
        <f>IFERROR(__xludf.DUMMYFUNCTION("""COMPUTED_VALUE"""),"Quebra")</f>
        <v>Quebra</v>
      </c>
      <c r="F617" s="3" t="str">
        <f>IFERROR(__xludf.DUMMYFUNCTION("""COMPUTED_VALUE"""),"Rafael")</f>
        <v>Rafael</v>
      </c>
      <c r="G617" s="3" t="str">
        <f>IFERROR(__xludf.DUMMYFUNCTION("""COMPUTED_VALUE"""),"Quebrou no manuseio ")</f>
        <v>Quebrou no manuseio </v>
      </c>
      <c r="I617" s="4"/>
    </row>
    <row r="618">
      <c r="A618" s="2">
        <f>IFERROR(__xludf.DUMMYFUNCTION("""COMPUTED_VALUE"""),46037.0)</f>
        <v>46037</v>
      </c>
      <c r="B618" s="3" t="str">
        <f>IFERROR(__xludf.DUMMYFUNCTION("""COMPUTED_VALUE"""),"Folheado Napolli")</f>
        <v>Folheado Napolli</v>
      </c>
      <c r="C618" s="3" t="str">
        <f>IFERROR(__xludf.DUMMYFUNCTION("""COMPUTED_VALUE"""),"Produto final")</f>
        <v>Produto final</v>
      </c>
      <c r="D618" s="3">
        <f>IFERROR(__xludf.DUMMYFUNCTION("""COMPUTED_VALUE"""),1.0)</f>
        <v>1</v>
      </c>
      <c r="E618" s="3" t="str">
        <f>IFERROR(__xludf.DUMMYFUNCTION("""COMPUTED_VALUE"""),"Erro de processo")</f>
        <v>Erro de processo</v>
      </c>
      <c r="F618" s="3" t="str">
        <f>IFERROR(__xludf.DUMMYFUNCTION("""COMPUTED_VALUE"""),"Rafael")</f>
        <v>Rafael</v>
      </c>
      <c r="G618" s="3" t="str">
        <f>IFERROR(__xludf.DUMMYFUNCTION("""COMPUTED_VALUE"""),"Quebrado. ")</f>
        <v>Quebrado. </v>
      </c>
      <c r="I618" s="4"/>
    </row>
    <row r="619">
      <c r="A619" s="2">
        <f>IFERROR(__xludf.DUMMYFUNCTION("""COMPUTED_VALUE"""),46037.0)</f>
        <v>46037</v>
      </c>
      <c r="B619" s="3" t="str">
        <f>IFERROR(__xludf.DUMMYFUNCTION("""COMPUTED_VALUE"""),"Copo G")</f>
        <v>Copo G</v>
      </c>
      <c r="C619" s="3" t="str">
        <f>IFERROR(__xludf.DUMMYFUNCTION("""COMPUTED_VALUE"""),"Utensílio")</f>
        <v>Utensílio</v>
      </c>
      <c r="D619" s="3">
        <f>IFERROR(__xludf.DUMMYFUNCTION("""COMPUTED_VALUE"""),1.0)</f>
        <v>1</v>
      </c>
      <c r="E619" s="3" t="str">
        <f>IFERROR(__xludf.DUMMYFUNCTION("""COMPUTED_VALUE"""),"Quebra")</f>
        <v>Quebra</v>
      </c>
      <c r="F619" s="3" t="str">
        <f>IFERROR(__xludf.DUMMYFUNCTION("""COMPUTED_VALUE"""),"Brunna")</f>
        <v>Brunna</v>
      </c>
      <c r="G619" s="3" t="str">
        <f>IFERROR(__xludf.DUMMYFUNCTION("""COMPUTED_VALUE"""),"Quebrado na máquina. ")</f>
        <v>Quebrado na máquina. </v>
      </c>
      <c r="I619" s="4"/>
    </row>
    <row r="620">
      <c r="A620" s="2">
        <f>IFERROR(__xludf.DUMMYFUNCTION("""COMPUTED_VALUE"""),46038.0)</f>
        <v>46038</v>
      </c>
      <c r="B620" s="3" t="str">
        <f>IFERROR(__xludf.DUMMYFUNCTION("""COMPUTED_VALUE"""),"Torta cappuccino")</f>
        <v>Torta cappuccino</v>
      </c>
      <c r="C620" s="3" t="str">
        <f>IFERROR(__xludf.DUMMYFUNCTION("""COMPUTED_VALUE"""),"Produto final")</f>
        <v>Produto final</v>
      </c>
      <c r="D620" s="3">
        <f>IFERROR(__xludf.DUMMYFUNCTION("""COMPUTED_VALUE"""),1.0)</f>
        <v>1</v>
      </c>
      <c r="E620" s="3" t="str">
        <f>IFERROR(__xludf.DUMMYFUNCTION("""COMPUTED_VALUE"""),"Cliente")</f>
        <v>Cliente</v>
      </c>
      <c r="F620" s="3" t="str">
        <f>IFERROR(__xludf.DUMMYFUNCTION("""COMPUTED_VALUE"""),"Edna")</f>
        <v>Edna</v>
      </c>
      <c r="G620" s="3" t="str">
        <f>IFERROR(__xludf.DUMMYFUNCTION("""COMPUTED_VALUE"""),"Cliente não gostou e devolveu. ")</f>
        <v>Cliente não gostou e devolveu. </v>
      </c>
      <c r="I620" s="4"/>
    </row>
    <row r="621">
      <c r="A621" s="2">
        <f>IFERROR(__xludf.DUMMYFUNCTION("""COMPUTED_VALUE"""),46038.0)</f>
        <v>46038</v>
      </c>
      <c r="B621" s="3" t="str">
        <f>IFERROR(__xludf.DUMMYFUNCTION("""COMPUTED_VALUE"""),"Palha Italiana")</f>
        <v>Palha Italiana</v>
      </c>
      <c r="C621" s="3" t="str">
        <f>IFERROR(__xludf.DUMMYFUNCTION("""COMPUTED_VALUE"""),"Produto final")</f>
        <v>Produto final</v>
      </c>
      <c r="D621" s="3">
        <f>IFERROR(__xludf.DUMMYFUNCTION("""COMPUTED_VALUE"""),1.0)</f>
        <v>1</v>
      </c>
      <c r="E621" s="3" t="str">
        <f>IFERROR(__xludf.DUMMYFUNCTION("""COMPUTED_VALUE"""),"Erro de processo")</f>
        <v>Erro de processo</v>
      </c>
      <c r="F621" s="3" t="str">
        <f>IFERROR(__xludf.DUMMYFUNCTION("""COMPUTED_VALUE"""),"Jonathan")</f>
        <v>Jonathan</v>
      </c>
      <c r="G621" s="3" t="str">
        <f>IFERROR(__xludf.DUMMYFUNCTION("""COMPUTED_VALUE"""),"Deixou cair")</f>
        <v>Deixou cair</v>
      </c>
      <c r="I621" s="4"/>
    </row>
    <row r="622">
      <c r="A622" s="2">
        <f>IFERROR(__xludf.DUMMYFUNCTION("""COMPUTED_VALUE"""),46038.0)</f>
        <v>46038</v>
      </c>
      <c r="B622" s="3" t="str">
        <f>IFERROR(__xludf.DUMMYFUNCTION("""COMPUTED_VALUE"""),"Pão de queijo porção ")</f>
        <v>Pão de queijo porção </v>
      </c>
      <c r="C622" s="3" t="str">
        <f>IFERROR(__xludf.DUMMYFUNCTION("""COMPUTED_VALUE"""),"Produto final")</f>
        <v>Produto final</v>
      </c>
      <c r="D622" s="3">
        <f>IFERROR(__xludf.DUMMYFUNCTION("""COMPUTED_VALUE"""),3.0)</f>
        <v>3</v>
      </c>
      <c r="E622" s="3" t="str">
        <f>IFERROR(__xludf.DUMMYFUNCTION("""COMPUTED_VALUE"""),"Venceu (Validade)")</f>
        <v>Venceu (Validade)</v>
      </c>
      <c r="F622" s="3" t="str">
        <f>IFERROR(__xludf.DUMMYFUNCTION("""COMPUTED_VALUE"""),"Francisca")</f>
        <v>Francisca</v>
      </c>
      <c r="G622" s="3" t="str">
        <f>IFERROR(__xludf.DUMMYFUNCTION("""COMPUTED_VALUE"""),"Vencido na geladeira. ")</f>
        <v>Vencido na geladeira. </v>
      </c>
      <c r="I622" s="4"/>
    </row>
    <row r="623">
      <c r="A623" s="2">
        <f>IFERROR(__xludf.DUMMYFUNCTION("""COMPUTED_VALUE"""),46038.0)</f>
        <v>46038</v>
      </c>
      <c r="B623" s="3" t="str">
        <f>IFERROR(__xludf.DUMMYFUNCTION("""COMPUTED_VALUE"""),"Copo grande")</f>
        <v>Copo grande</v>
      </c>
      <c r="C623" s="3" t="str">
        <f>IFERROR(__xludf.DUMMYFUNCTION("""COMPUTED_VALUE"""),"Utensílio")</f>
        <v>Utensílio</v>
      </c>
      <c r="D623" s="3">
        <f>IFERROR(__xludf.DUMMYFUNCTION("""COMPUTED_VALUE"""),1.0)</f>
        <v>1</v>
      </c>
      <c r="E623" s="3" t="str">
        <f>IFERROR(__xludf.DUMMYFUNCTION("""COMPUTED_VALUE"""),"Quebra")</f>
        <v>Quebra</v>
      </c>
      <c r="F623" s="3" t="str">
        <f>IFERROR(__xludf.DUMMYFUNCTION("""COMPUTED_VALUE"""),"Jonathan")</f>
        <v>Jonathan</v>
      </c>
      <c r="G623" s="3" t="str">
        <f>IFERROR(__xludf.DUMMYFUNCTION("""COMPUTED_VALUE"""),"Quebrou durante lavagem. ")</f>
        <v>Quebrou durante lavagem. </v>
      </c>
      <c r="I623" s="4"/>
    </row>
    <row r="624">
      <c r="A624" s="2">
        <f>IFERROR(__xludf.DUMMYFUNCTION("""COMPUTED_VALUE"""),46038.0)</f>
        <v>46038</v>
      </c>
      <c r="B624" s="3" t="str">
        <f>IFERROR(__xludf.DUMMYFUNCTION("""COMPUTED_VALUE"""),"Mop")</f>
        <v>Mop</v>
      </c>
      <c r="C624" s="3" t="str">
        <f>IFERROR(__xludf.DUMMYFUNCTION("""COMPUTED_VALUE"""),"Utensílio")</f>
        <v>Utensílio</v>
      </c>
      <c r="D624" s="3">
        <f>IFERROR(__xludf.DUMMYFUNCTION("""COMPUTED_VALUE"""),1.0)</f>
        <v>1</v>
      </c>
      <c r="E624" s="3" t="str">
        <f>IFERROR(__xludf.DUMMYFUNCTION("""COMPUTED_VALUE"""),"Outro")</f>
        <v>Outro</v>
      </c>
      <c r="F624" s="3" t="str">
        <f>IFERROR(__xludf.DUMMYFUNCTION("""COMPUTED_VALUE"""),"Alex")</f>
        <v>Alex</v>
      </c>
      <c r="G624" s="3" t="str">
        <f>IFERROR(__xludf.DUMMYFUNCTION("""COMPUTED_VALUE"""),"Substituído ")</f>
        <v>Substituído </v>
      </c>
      <c r="I624" s="4"/>
    </row>
    <row r="625">
      <c r="A625" s="2">
        <f>IFERROR(__xludf.DUMMYFUNCTION("""COMPUTED_VALUE"""),46039.0)</f>
        <v>46039</v>
      </c>
      <c r="B625" s="3" t="str">
        <f>IFERROR(__xludf.DUMMYFUNCTION("""COMPUTED_VALUE"""),"Tostex ciabatta")</f>
        <v>Tostex ciabatta</v>
      </c>
      <c r="C625" s="3" t="str">
        <f>IFERROR(__xludf.DUMMYFUNCTION("""COMPUTED_VALUE"""),"Produto final")</f>
        <v>Produto final</v>
      </c>
      <c r="D625" s="3">
        <f>IFERROR(__xludf.DUMMYFUNCTION("""COMPUTED_VALUE"""),1.0)</f>
        <v>1</v>
      </c>
      <c r="E625" s="3" t="str">
        <f>IFERROR(__xludf.DUMMYFUNCTION("""COMPUTED_VALUE"""),"Erro de processo")</f>
        <v>Erro de processo</v>
      </c>
      <c r="F625" s="3" t="str">
        <f>IFERROR(__xludf.DUMMYFUNCTION("""COMPUTED_VALUE"""),"Vanessa")</f>
        <v>Vanessa</v>
      </c>
      <c r="G625" s="3" t="str">
        <f>IFERROR(__xludf.DUMMYFUNCTION("""COMPUTED_VALUE"""),"Deixou queimar")</f>
        <v>Deixou queimar</v>
      </c>
      <c r="I625" s="4"/>
    </row>
    <row r="626">
      <c r="A626" s="2">
        <f>IFERROR(__xludf.DUMMYFUNCTION("""COMPUTED_VALUE"""),46039.0)</f>
        <v>46039</v>
      </c>
      <c r="B626" s="3" t="str">
        <f>IFERROR(__xludf.DUMMYFUNCTION("""COMPUTED_VALUE"""),"Tostex queijo pizza")</f>
        <v>Tostex queijo pizza</v>
      </c>
      <c r="C626" s="3" t="str">
        <f>IFERROR(__xludf.DUMMYFUNCTION("""COMPUTED_VALUE"""),"Produto final")</f>
        <v>Produto final</v>
      </c>
      <c r="D626" s="3">
        <f>IFERROR(__xludf.DUMMYFUNCTION("""COMPUTED_VALUE"""),1.0)</f>
        <v>1</v>
      </c>
      <c r="E626" s="3" t="str">
        <f>IFERROR(__xludf.DUMMYFUNCTION("""COMPUTED_VALUE"""),"Lançamento errado")</f>
        <v>Lançamento errado</v>
      </c>
      <c r="F626" s="3" t="str">
        <f>IFERROR(__xludf.DUMMYFUNCTION("""COMPUTED_VALUE"""),"Paulo")</f>
        <v>Paulo</v>
      </c>
      <c r="G626" s="3" t="str">
        <f>IFERROR(__xludf.DUMMYFUNCTION("""COMPUTED_VALUE"""),"Lançou um a mais")</f>
        <v>Lançou um a mais</v>
      </c>
      <c r="I626" s="4"/>
    </row>
    <row r="627">
      <c r="A627" s="2">
        <f>IFERROR(__xludf.DUMMYFUNCTION("""COMPUTED_VALUE"""),46039.0)</f>
        <v>46039</v>
      </c>
      <c r="B627" s="3" t="str">
        <f>IFERROR(__xludf.DUMMYFUNCTION("""COMPUTED_VALUE"""),"Nutella Gateau")</f>
        <v>Nutella Gateau</v>
      </c>
      <c r="C627" s="3" t="str">
        <f>IFERROR(__xludf.DUMMYFUNCTION("""COMPUTED_VALUE"""),"Produto final")</f>
        <v>Produto final</v>
      </c>
      <c r="D627" s="3">
        <f>IFERROR(__xludf.DUMMYFUNCTION("""COMPUTED_VALUE"""),1.0)</f>
        <v>1</v>
      </c>
      <c r="E627" s="3" t="str">
        <f>IFERROR(__xludf.DUMMYFUNCTION("""COMPUTED_VALUE"""),"Erro de processo")</f>
        <v>Erro de processo</v>
      </c>
      <c r="F627" s="3" t="str">
        <f>IFERROR(__xludf.DUMMYFUNCTION("""COMPUTED_VALUE"""),"Vanessa")</f>
        <v>Vanessa</v>
      </c>
      <c r="G627" s="3" t="str">
        <f>IFERROR(__xludf.DUMMYFUNCTION("""COMPUTED_VALUE"""),"Fez errado ")</f>
        <v>Fez errado </v>
      </c>
      <c r="I627" s="4"/>
    </row>
    <row r="628">
      <c r="A628" s="2">
        <f>IFERROR(__xludf.DUMMYFUNCTION("""COMPUTED_VALUE"""),46040.0)</f>
        <v>46040</v>
      </c>
      <c r="B628" s="3" t="str">
        <f>IFERROR(__xludf.DUMMYFUNCTION("""COMPUTED_VALUE"""),"Croissant Nutella")</f>
        <v>Croissant Nutella</v>
      </c>
      <c r="C628" s="3" t="str">
        <f>IFERROR(__xludf.DUMMYFUNCTION("""COMPUTED_VALUE"""),"Produto final")</f>
        <v>Produto final</v>
      </c>
      <c r="D628" s="3">
        <f>IFERROR(__xludf.DUMMYFUNCTION("""COMPUTED_VALUE"""),1.0)</f>
        <v>1</v>
      </c>
      <c r="E628" s="3" t="str">
        <f>IFERROR(__xludf.DUMMYFUNCTION("""COMPUTED_VALUE"""),"Erro de processo")</f>
        <v>Erro de processo</v>
      </c>
      <c r="F628" s="3" t="str">
        <f>IFERROR(__xludf.DUMMYFUNCTION("""COMPUTED_VALUE"""),"Francisca")</f>
        <v>Francisca</v>
      </c>
      <c r="G628" s="3" t="str">
        <f>IFERROR(__xludf.DUMMYFUNCTION("""COMPUTED_VALUE"""),"Fez errado")</f>
        <v>Fez errado</v>
      </c>
      <c r="I628" s="4"/>
    </row>
    <row r="629">
      <c r="A629" s="2">
        <f>IFERROR(__xludf.DUMMYFUNCTION("""COMPUTED_VALUE"""),46040.0)</f>
        <v>46040</v>
      </c>
      <c r="B629" s="3" t="str">
        <f>IFERROR(__xludf.DUMMYFUNCTION("""COMPUTED_VALUE"""),"Copo shot")</f>
        <v>Copo shot</v>
      </c>
      <c r="C629" s="3" t="str">
        <f>IFERROR(__xludf.DUMMYFUNCTION("""COMPUTED_VALUE"""),"Utensílio")</f>
        <v>Utensílio</v>
      </c>
      <c r="D629" s="3">
        <f>IFERROR(__xludf.DUMMYFUNCTION("""COMPUTED_VALUE"""),1.0)</f>
        <v>1</v>
      </c>
      <c r="E629" s="3" t="str">
        <f>IFERROR(__xludf.DUMMYFUNCTION("""COMPUTED_VALUE"""),"Quebra")</f>
        <v>Quebra</v>
      </c>
      <c r="F629" s="3" t="str">
        <f>IFERROR(__xludf.DUMMYFUNCTION("""COMPUTED_VALUE"""),"Pâmela")</f>
        <v>Pâmela</v>
      </c>
      <c r="G629" s="3" t="str">
        <f>IFERROR(__xludf.DUMMYFUNCTION("""COMPUTED_VALUE"""),"Encontrou quebrado")</f>
        <v>Encontrou quebrado</v>
      </c>
      <c r="I629" s="4"/>
    </row>
    <row r="630">
      <c r="A630" s="2">
        <f>IFERROR(__xludf.DUMMYFUNCTION("""COMPUTED_VALUE"""),46042.0)</f>
        <v>46042</v>
      </c>
      <c r="B630" s="3" t="str">
        <f>IFERROR(__xludf.DUMMYFUNCTION("""COMPUTED_VALUE"""),"Café Latte gelado")</f>
        <v>Café Latte gelado</v>
      </c>
      <c r="C630" s="3" t="str">
        <f>IFERROR(__xludf.DUMMYFUNCTION("""COMPUTED_VALUE"""),"Produto final")</f>
        <v>Produto final</v>
      </c>
      <c r="D630" s="3">
        <f>IFERROR(__xludf.DUMMYFUNCTION("""COMPUTED_VALUE"""),1.0)</f>
        <v>1</v>
      </c>
      <c r="E630" s="3" t="str">
        <f>IFERROR(__xludf.DUMMYFUNCTION("""COMPUTED_VALUE"""),"Lançamento errado")</f>
        <v>Lançamento errado</v>
      </c>
      <c r="F630" s="3" t="str">
        <f>IFERROR(__xludf.DUMMYFUNCTION("""COMPUTED_VALUE"""),"Patrícia")</f>
        <v>Patrícia</v>
      </c>
      <c r="G630" s="3" t="str">
        <f>IFERROR(__xludf.DUMMYFUNCTION("""COMPUTED_VALUE""")," ")</f>
        <v> </v>
      </c>
      <c r="I630" s="4"/>
    </row>
    <row r="631">
      <c r="A631" s="2">
        <f>IFERROR(__xludf.DUMMYFUNCTION("""COMPUTED_VALUE"""),46042.0)</f>
        <v>46042</v>
      </c>
      <c r="B631" s="3" t="str">
        <f>IFERROR(__xludf.DUMMYFUNCTION("""COMPUTED_VALUE"""),"Chá Erva Cidreira")</f>
        <v>Chá Erva Cidreira</v>
      </c>
      <c r="C631" s="3" t="str">
        <f>IFERROR(__xludf.DUMMYFUNCTION("""COMPUTED_VALUE"""),"Produto final")</f>
        <v>Produto final</v>
      </c>
      <c r="D631" s="3">
        <f>IFERROR(__xludf.DUMMYFUNCTION("""COMPUTED_VALUE"""),1.0)</f>
        <v>1</v>
      </c>
      <c r="E631" s="3" t="str">
        <f>IFERROR(__xludf.DUMMYFUNCTION("""COMPUTED_VALUE"""),"Erro de processo")</f>
        <v>Erro de processo</v>
      </c>
      <c r="F631" s="3" t="str">
        <f>IFERROR(__xludf.DUMMYFUNCTION("""COMPUTED_VALUE"""),"Patrícia")</f>
        <v>Patrícia</v>
      </c>
      <c r="G631" s="3" t="str">
        <f>IFERROR(__xludf.DUMMYFUNCTION("""COMPUTED_VALUE"""),"Chá já estava na mesa mas não foi avisado ")</f>
        <v>Chá já estava na mesa mas não foi avisado </v>
      </c>
      <c r="I631" s="4"/>
    </row>
    <row r="632">
      <c r="A632" s="2">
        <f>IFERROR(__xludf.DUMMYFUNCTION("""COMPUTED_VALUE"""),46042.0)</f>
        <v>46042</v>
      </c>
      <c r="B632" s="3" t="str">
        <f>IFERROR(__xludf.DUMMYFUNCTION("""COMPUTED_VALUE"""),"Suco abacaxi com hortelã ")</f>
        <v>Suco abacaxi com hortelã </v>
      </c>
      <c r="C632" s="3" t="str">
        <f>IFERROR(__xludf.DUMMYFUNCTION("""COMPUTED_VALUE"""),"Produto final")</f>
        <v>Produto final</v>
      </c>
      <c r="D632" s="3">
        <f>IFERROR(__xludf.DUMMYFUNCTION("""COMPUTED_VALUE"""),1.0)</f>
        <v>1</v>
      </c>
      <c r="E632" s="3" t="str">
        <f>IFERROR(__xludf.DUMMYFUNCTION("""COMPUTED_VALUE"""),"Cliente")</f>
        <v>Cliente</v>
      </c>
      <c r="F632" s="3" t="str">
        <f>IFERROR(__xludf.DUMMYFUNCTION("""COMPUTED_VALUE"""),"Edna")</f>
        <v>Edna</v>
      </c>
      <c r="G632" s="3" t="str">
        <f>IFERROR(__xludf.DUMMYFUNCTION("""COMPUTED_VALUE"""),"Cliente alegou que o gosto de hortelã estava muito forte. ")</f>
        <v>Cliente alegou que o gosto de hortelã estava muito forte. </v>
      </c>
      <c r="I632" s="4"/>
    </row>
    <row r="633">
      <c r="A633" s="2">
        <f>IFERROR(__xludf.DUMMYFUNCTION("""COMPUTED_VALUE"""),46043.0)</f>
        <v>46043</v>
      </c>
      <c r="B633" s="3" t="str">
        <f>IFERROR(__xludf.DUMMYFUNCTION("""COMPUTED_VALUE"""),"Empada de palmito ")</f>
        <v>Empada de palmito </v>
      </c>
      <c r="C633" s="3" t="str">
        <f>IFERROR(__xludf.DUMMYFUNCTION("""COMPUTED_VALUE"""),"Produto final")</f>
        <v>Produto final</v>
      </c>
      <c r="D633" s="3">
        <f>IFERROR(__xludf.DUMMYFUNCTION("""COMPUTED_VALUE"""),1.0)</f>
        <v>1</v>
      </c>
      <c r="E633" s="3" t="str">
        <f>IFERROR(__xludf.DUMMYFUNCTION("""COMPUTED_VALUE"""),"Venceu (Validade)")</f>
        <v>Venceu (Validade)</v>
      </c>
      <c r="F633" s="3" t="str">
        <f>IFERROR(__xludf.DUMMYFUNCTION("""COMPUTED_VALUE"""),"Melissa")</f>
        <v>Melissa</v>
      </c>
      <c r="G633" s="3" t="str">
        <f>IFERROR(__xludf.DUMMYFUNCTION("""COMPUTED_VALUE"""),"Estava mofada ")</f>
        <v>Estava mofada </v>
      </c>
      <c r="I633" s="4"/>
    </row>
    <row r="634">
      <c r="A634" s="2">
        <f>IFERROR(__xludf.DUMMYFUNCTION("""COMPUTED_VALUE"""),46044.0)</f>
        <v>46044</v>
      </c>
      <c r="B634" s="3" t="str">
        <f>IFERROR(__xludf.DUMMYFUNCTION("""COMPUTED_VALUE"""),"Torta banoffe")</f>
        <v>Torta banoffe</v>
      </c>
      <c r="C634" s="3" t="str">
        <f>IFERROR(__xludf.DUMMYFUNCTION("""COMPUTED_VALUE"""),"Produto final")</f>
        <v>Produto final</v>
      </c>
      <c r="D634" s="3">
        <f>IFERROR(__xludf.DUMMYFUNCTION("""COMPUTED_VALUE"""),1.0)</f>
        <v>1</v>
      </c>
      <c r="E634" s="3" t="str">
        <f>IFERROR(__xludf.DUMMYFUNCTION("""COMPUTED_VALUE"""),"Erro de processo")</f>
        <v>Erro de processo</v>
      </c>
      <c r="F634" s="3" t="str">
        <f>IFERROR(__xludf.DUMMYFUNCTION("""COMPUTED_VALUE"""),"Edna")</f>
        <v>Edna</v>
      </c>
      <c r="G634" s="3" t="str">
        <f>IFERROR(__xludf.DUMMYFUNCTION("""COMPUTED_VALUE"""),"Fatia pequena. ")</f>
        <v>Fatia pequena. </v>
      </c>
      <c r="I634" s="4"/>
    </row>
    <row r="635">
      <c r="A635" s="2">
        <f>IFERROR(__xludf.DUMMYFUNCTION("""COMPUTED_VALUE"""),46045.0)</f>
        <v>46045</v>
      </c>
      <c r="B635" s="3" t="str">
        <f>IFERROR(__xludf.DUMMYFUNCTION("""COMPUTED_VALUE"""),"Ninho com Nutella ")</f>
        <v>Ninho com Nutella </v>
      </c>
      <c r="C635" s="3" t="str">
        <f>IFERROR(__xludf.DUMMYFUNCTION("""COMPUTED_VALUE"""),"Produto final")</f>
        <v>Produto final</v>
      </c>
      <c r="D635" s="3">
        <f>IFERROR(__xludf.DUMMYFUNCTION("""COMPUTED_VALUE"""),1.0)</f>
        <v>1</v>
      </c>
      <c r="E635" s="3" t="str">
        <f>IFERROR(__xludf.DUMMYFUNCTION("""COMPUTED_VALUE"""),"Erro de processo")</f>
        <v>Erro de processo</v>
      </c>
      <c r="F635" s="3" t="str">
        <f>IFERROR(__xludf.DUMMYFUNCTION("""COMPUTED_VALUE"""),"Melissa")</f>
        <v>Melissa</v>
      </c>
      <c r="G635" s="3" t="str">
        <f>IFERROR(__xludf.DUMMYFUNCTION("""COMPUTED_VALUE"""),"Enviou para a mesa a torta errada")</f>
        <v>Enviou para a mesa a torta errada</v>
      </c>
      <c r="I635" s="4"/>
    </row>
    <row r="636">
      <c r="A636" s="2">
        <f>IFERROR(__xludf.DUMMYFUNCTION("""COMPUTED_VALUE"""),46045.0)</f>
        <v>46045</v>
      </c>
      <c r="B636" s="3" t="str">
        <f>IFERROR(__xludf.DUMMYFUNCTION("""COMPUTED_VALUE"""),"Espresso simples")</f>
        <v>Espresso simples</v>
      </c>
      <c r="C636" s="3" t="str">
        <f>IFERROR(__xludf.DUMMYFUNCTION("""COMPUTED_VALUE"""),"Produto final")</f>
        <v>Produto final</v>
      </c>
      <c r="D636" s="3">
        <f>IFERROR(__xludf.DUMMYFUNCTION("""COMPUTED_VALUE"""),1.0)</f>
        <v>1</v>
      </c>
      <c r="E636" s="3" t="str">
        <f>IFERROR(__xludf.DUMMYFUNCTION("""COMPUTED_VALUE"""),"Cliente")</f>
        <v>Cliente</v>
      </c>
      <c r="F636" s="3" t="str">
        <f>IFERROR(__xludf.DUMMYFUNCTION("""COMPUTED_VALUE"""),"Ana Júlia")</f>
        <v>Ana Júlia</v>
      </c>
      <c r="G636" s="3" t="str">
        <f>IFERROR(__xludf.DUMMYFUNCTION("""COMPUTED_VALUE"""),"Cliente solicitou troca por cappuccino")</f>
        <v>Cliente solicitou troca por cappuccino</v>
      </c>
      <c r="I636" s="4"/>
    </row>
    <row r="637">
      <c r="A637" s="2">
        <f>IFERROR(__xludf.DUMMYFUNCTION("""COMPUTED_VALUE"""),46045.0)</f>
        <v>46045</v>
      </c>
      <c r="B637" s="3" t="str">
        <f>IFERROR(__xludf.DUMMYFUNCTION("""COMPUTED_VALUE"""),"Torta sweetpie ")</f>
        <v>Torta sweetpie </v>
      </c>
      <c r="C637" s="3" t="str">
        <f>IFERROR(__xludf.DUMMYFUNCTION("""COMPUTED_VALUE"""),"Produto final")</f>
        <v>Produto final</v>
      </c>
      <c r="D637" s="3">
        <f>IFERROR(__xludf.DUMMYFUNCTION("""COMPUTED_VALUE"""),1.0)</f>
        <v>1</v>
      </c>
      <c r="E637" s="3" t="str">
        <f>IFERROR(__xludf.DUMMYFUNCTION("""COMPUTED_VALUE"""),"Lançamento errado")</f>
        <v>Lançamento errado</v>
      </c>
      <c r="F637" s="3" t="str">
        <f>IFERROR(__xludf.DUMMYFUNCTION("""COMPUTED_VALUE"""),"Rafael")</f>
        <v>Rafael</v>
      </c>
      <c r="G637" s="3" t="str">
        <f>IFERROR(__xludf.DUMMYFUNCTION("""COMPUTED_VALUE"""),"Lançado errado")</f>
        <v>Lançado errado</v>
      </c>
      <c r="I637" s="4"/>
    </row>
    <row r="638">
      <c r="A638" s="2">
        <f>IFERROR(__xludf.DUMMYFUNCTION("""COMPUTED_VALUE"""),46046.0)</f>
        <v>46046</v>
      </c>
      <c r="B638" s="3" t="str">
        <f>IFERROR(__xludf.DUMMYFUNCTION("""COMPUTED_VALUE"""),"Penne funghi ")</f>
        <v>Penne funghi </v>
      </c>
      <c r="C638" s="3" t="str">
        <f>IFERROR(__xludf.DUMMYFUNCTION("""COMPUTED_VALUE"""),"Produto final")</f>
        <v>Produto final</v>
      </c>
      <c r="D638" s="3">
        <f>IFERROR(__xludf.DUMMYFUNCTION("""COMPUTED_VALUE"""),1.0)</f>
        <v>1</v>
      </c>
      <c r="E638" s="3" t="str">
        <f>IFERROR(__xludf.DUMMYFUNCTION("""COMPUTED_VALUE"""),"Erro de processo")</f>
        <v>Erro de processo</v>
      </c>
      <c r="F638" s="3" t="str">
        <f>IFERROR(__xludf.DUMMYFUNCTION("""COMPUTED_VALUE"""),"Jonathan")</f>
        <v>Jonathan</v>
      </c>
      <c r="G638" s="3" t="str">
        <f>IFERROR(__xludf.DUMMYFUNCTION("""COMPUTED_VALUE"""),"Fez errado ")</f>
        <v>Fez errado </v>
      </c>
      <c r="I638" s="4"/>
    </row>
    <row r="639">
      <c r="A639" s="2">
        <f>IFERROR(__xludf.DUMMYFUNCTION("""COMPUTED_VALUE"""),46046.0)</f>
        <v>46046</v>
      </c>
      <c r="B639" s="3" t="str">
        <f>IFERROR(__xludf.DUMMYFUNCTION("""COMPUTED_VALUE"""),"Suco de laranja com acerola ")</f>
        <v>Suco de laranja com acerola </v>
      </c>
      <c r="C639" s="3" t="str">
        <f>IFERROR(__xludf.DUMMYFUNCTION("""COMPUTED_VALUE"""),"Produto final")</f>
        <v>Produto final</v>
      </c>
      <c r="D639" s="3">
        <f>IFERROR(__xludf.DUMMYFUNCTION("""COMPUTED_VALUE"""),1.0)</f>
        <v>1</v>
      </c>
      <c r="E639" s="3" t="str">
        <f>IFERROR(__xludf.DUMMYFUNCTION("""COMPUTED_VALUE"""),"Erro de processo")</f>
        <v>Erro de processo</v>
      </c>
      <c r="F639" s="3" t="str">
        <f>IFERROR(__xludf.DUMMYFUNCTION("""COMPUTED_VALUE"""),"Edna")</f>
        <v>Edna</v>
      </c>
      <c r="G639" s="3" t="str">
        <f>IFERROR(__xludf.DUMMYFUNCTION("""COMPUTED_VALUE"""),"Fez errado ")</f>
        <v>Fez errado </v>
      </c>
      <c r="I639" s="4"/>
    </row>
    <row r="640">
      <c r="A640" s="2">
        <f>IFERROR(__xludf.DUMMYFUNCTION("""COMPUTED_VALUE"""),46046.0)</f>
        <v>46046</v>
      </c>
      <c r="B640" s="3" t="str">
        <f>IFERROR(__xludf.DUMMYFUNCTION("""COMPUTED_VALUE"""),"Tapioca ")</f>
        <v>Tapioca </v>
      </c>
      <c r="C640" s="3" t="str">
        <f>IFERROR(__xludf.DUMMYFUNCTION("""COMPUTED_VALUE"""),"Produto final")</f>
        <v>Produto final</v>
      </c>
      <c r="D640" s="3" t="str">
        <f>IFERROR(__xludf.DUMMYFUNCTION("""COMPUTED_VALUE"""),"140g")</f>
        <v>140g</v>
      </c>
      <c r="E640" s="3" t="str">
        <f>IFERROR(__xludf.DUMMYFUNCTION("""COMPUTED_VALUE"""),"Erro de processo")</f>
        <v>Erro de processo</v>
      </c>
      <c r="F640" s="3" t="str">
        <f>IFERROR(__xludf.DUMMYFUNCTION("""COMPUTED_VALUE"""),"Jonathan")</f>
        <v>Jonathan</v>
      </c>
      <c r="G640" s="3" t="str">
        <f>IFERROR(__xludf.DUMMYFUNCTION("""COMPUTED_VALUE"""),"Quebrou a massa ")</f>
        <v>Quebrou a massa </v>
      </c>
      <c r="I640" s="4"/>
    </row>
    <row r="641">
      <c r="A641" s="2">
        <f>IFERROR(__xludf.DUMMYFUNCTION("""COMPUTED_VALUE"""),46047.0)</f>
        <v>46047</v>
      </c>
      <c r="B641" s="3" t="str">
        <f>IFERROR(__xludf.DUMMYFUNCTION("""COMPUTED_VALUE"""),"Copo shot")</f>
        <v>Copo shot</v>
      </c>
      <c r="C641" s="3" t="str">
        <f>IFERROR(__xludf.DUMMYFUNCTION("""COMPUTED_VALUE"""),"Utensílio")</f>
        <v>Utensílio</v>
      </c>
      <c r="D641" s="3">
        <f>IFERROR(__xludf.DUMMYFUNCTION("""COMPUTED_VALUE"""),1.0)</f>
        <v>1</v>
      </c>
      <c r="E641" s="3" t="str">
        <f>IFERROR(__xludf.DUMMYFUNCTION("""COMPUTED_VALUE"""),"Quebra")</f>
        <v>Quebra</v>
      </c>
      <c r="F641" s="3" t="str">
        <f>IFERROR(__xludf.DUMMYFUNCTION("""COMPUTED_VALUE"""),"Rafael")</f>
        <v>Rafael</v>
      </c>
      <c r="G641" s="3" t="str">
        <f>IFERROR(__xludf.DUMMYFUNCTION("""COMPUTED_VALUE"""),"Cliente deixou cair no chão ")</f>
        <v>Cliente deixou cair no chão </v>
      </c>
      <c r="I641" s="4"/>
    </row>
    <row r="642">
      <c r="A642" s="2">
        <f>IFERROR(__xludf.DUMMYFUNCTION("""COMPUTED_VALUE"""),46048.0)</f>
        <v>46048</v>
      </c>
      <c r="B642" s="3" t="str">
        <f>IFERROR(__xludf.DUMMYFUNCTION("""COMPUTED_VALUE"""),"Coca cola normal")</f>
        <v>Coca cola normal</v>
      </c>
      <c r="C642" s="3" t="str">
        <f>IFERROR(__xludf.DUMMYFUNCTION("""COMPUTED_VALUE"""),"Produto final")</f>
        <v>Produto final</v>
      </c>
      <c r="D642" s="3">
        <f>IFERROR(__xludf.DUMMYFUNCTION("""COMPUTED_VALUE"""),1.0)</f>
        <v>1</v>
      </c>
      <c r="E642" s="3" t="str">
        <f>IFERROR(__xludf.DUMMYFUNCTION("""COMPUTED_VALUE"""),"Erro de processo")</f>
        <v>Erro de processo</v>
      </c>
      <c r="F642" s="3" t="str">
        <f>IFERROR(__xludf.DUMMYFUNCTION("""COMPUTED_VALUE"""),"Edna")</f>
        <v>Edna</v>
      </c>
      <c r="G642" s="3" t="str">
        <f>IFERROR(__xludf.DUMMYFUNCTION("""COMPUTED_VALUE"""),"Deixou cair no chão e furou a lata. ")</f>
        <v>Deixou cair no chão e furou a lata. </v>
      </c>
      <c r="I642" s="4"/>
    </row>
    <row r="643">
      <c r="A643" s="2">
        <f>IFERROR(__xludf.DUMMYFUNCTION("""COMPUTED_VALUE"""),46048.0)</f>
        <v>46048</v>
      </c>
      <c r="B643" s="3" t="str">
        <f>IFERROR(__xludf.DUMMYFUNCTION("""COMPUTED_VALUE"""),"Heineken")</f>
        <v>Heineken</v>
      </c>
      <c r="C643" s="3" t="str">
        <f>IFERROR(__xludf.DUMMYFUNCTION("""COMPUTED_VALUE"""),"Produto final")</f>
        <v>Produto final</v>
      </c>
      <c r="D643" s="3">
        <f>IFERROR(__xludf.DUMMYFUNCTION("""COMPUTED_VALUE"""),1.0)</f>
        <v>1</v>
      </c>
      <c r="E643" s="3" t="str">
        <f>IFERROR(__xludf.DUMMYFUNCTION("""COMPUTED_VALUE"""),"Erro de processo")</f>
        <v>Erro de processo</v>
      </c>
      <c r="F643" s="3" t="str">
        <f>IFERROR(__xludf.DUMMYFUNCTION("""COMPUTED_VALUE"""),"Patrícia")</f>
        <v>Patrícia</v>
      </c>
      <c r="G643" s="3" t="str">
        <f>IFERROR(__xludf.DUMMYFUNCTION("""COMPUTED_VALUE"""),"Deixou cair")</f>
        <v>Deixou cair</v>
      </c>
      <c r="I643" s="4"/>
    </row>
    <row r="644">
      <c r="A644" s="2">
        <f>IFERROR(__xludf.DUMMYFUNCTION("""COMPUTED_VALUE"""),46049.0)</f>
        <v>46049</v>
      </c>
      <c r="B644" s="3" t="str">
        <f>IFERROR(__xludf.DUMMYFUNCTION("""COMPUTED_VALUE"""),"Torta cheesecake ")</f>
        <v>Torta cheesecake </v>
      </c>
      <c r="C644" s="3" t="str">
        <f>IFERROR(__xludf.DUMMYFUNCTION("""COMPUTED_VALUE"""),"Produto final")</f>
        <v>Produto final</v>
      </c>
      <c r="D644" s="3">
        <f>IFERROR(__xludf.DUMMYFUNCTION("""COMPUTED_VALUE"""),1.0)</f>
        <v>1</v>
      </c>
      <c r="E644" s="3" t="str">
        <f>IFERROR(__xludf.DUMMYFUNCTION("""COMPUTED_VALUE"""),"Venceu (Validade)")</f>
        <v>Venceu (Validade)</v>
      </c>
      <c r="F644" s="3" t="str">
        <f>IFERROR(__xludf.DUMMYFUNCTION("""COMPUTED_VALUE"""),"Melissa")</f>
        <v>Melissa</v>
      </c>
      <c r="G644" s="3" t="str">
        <f>IFERROR(__xludf.DUMMYFUNCTION("""COMPUTED_VALUE"""),"Estava azeda ")</f>
        <v>Estava azeda </v>
      </c>
      <c r="I644" s="4"/>
    </row>
    <row r="645">
      <c r="A645" s="2">
        <f>IFERROR(__xludf.DUMMYFUNCTION("""COMPUTED_VALUE"""),46049.0)</f>
        <v>46049</v>
      </c>
      <c r="B645" s="3" t="str">
        <f>IFERROR(__xludf.DUMMYFUNCTION("""COMPUTED_VALUE"""),"Croissant ")</f>
        <v>Croissant </v>
      </c>
      <c r="C645" s="3" t="str">
        <f>IFERROR(__xludf.DUMMYFUNCTION("""COMPUTED_VALUE"""),"Produto final")</f>
        <v>Produto final</v>
      </c>
      <c r="D645" s="3">
        <f>IFERROR(__xludf.DUMMYFUNCTION("""COMPUTED_VALUE"""),1.0)</f>
        <v>1</v>
      </c>
      <c r="E645" s="3" t="str">
        <f>IFERROR(__xludf.DUMMYFUNCTION("""COMPUTED_VALUE"""),"Erro de processo")</f>
        <v>Erro de processo</v>
      </c>
      <c r="F645" s="3" t="str">
        <f>IFERROR(__xludf.DUMMYFUNCTION("""COMPUTED_VALUE"""),"Melissa")</f>
        <v>Melissa</v>
      </c>
      <c r="G645" s="3" t="str">
        <f>IFERROR(__xludf.DUMMYFUNCTION("""COMPUTED_VALUE"""),"Caiu no chão ")</f>
        <v>Caiu no chão </v>
      </c>
      <c r="I645" s="4"/>
    </row>
    <row r="646">
      <c r="A646" s="2">
        <f>IFERROR(__xludf.DUMMYFUNCTION("""COMPUTED_VALUE"""),46050.0)</f>
        <v>46050</v>
      </c>
      <c r="B646" s="3" t="str">
        <f>IFERROR(__xludf.DUMMYFUNCTION("""COMPUTED_VALUE"""),"Alface")</f>
        <v>Alface</v>
      </c>
      <c r="C646" s="3" t="str">
        <f>IFERROR(__xludf.DUMMYFUNCTION("""COMPUTED_VALUE"""),"Hortifruti")</f>
        <v>Hortifruti</v>
      </c>
      <c r="D646" s="3" t="str">
        <f>IFERROR(__xludf.DUMMYFUNCTION("""COMPUTED_VALUE"""),"56g")</f>
        <v>56g</v>
      </c>
      <c r="E646" s="3" t="str">
        <f>IFERROR(__xludf.DUMMYFUNCTION("""COMPUTED_VALUE"""),"Venceu (Validade)")</f>
        <v>Venceu (Validade)</v>
      </c>
      <c r="F646" s="3" t="str">
        <f>IFERROR(__xludf.DUMMYFUNCTION("""COMPUTED_VALUE"""),"Jonathan")</f>
        <v>Jonathan</v>
      </c>
      <c r="G646" s="3" t="str">
        <f>IFERROR(__xludf.DUMMYFUNCTION("""COMPUTED_VALUE""")," ")</f>
        <v> </v>
      </c>
      <c r="I646" s="4"/>
    </row>
    <row r="647">
      <c r="A647" s="3"/>
      <c r="B647" s="3"/>
      <c r="C647" s="3"/>
      <c r="D647" s="3"/>
      <c r="E647" s="3"/>
      <c r="F647" s="3"/>
      <c r="G647" s="3"/>
      <c r="I647" s="4"/>
    </row>
    <row r="648">
      <c r="A648" s="3"/>
      <c r="B648" s="3"/>
      <c r="C648" s="3"/>
      <c r="D648" s="3"/>
      <c r="E648" s="3"/>
      <c r="F648" s="3"/>
      <c r="G648" s="3"/>
      <c r="I648" s="4"/>
    </row>
    <row r="649">
      <c r="A649" s="3"/>
      <c r="B649" s="3"/>
      <c r="C649" s="3"/>
      <c r="D649" s="3"/>
      <c r="E649" s="3"/>
      <c r="F649" s="3"/>
      <c r="G649" s="3"/>
      <c r="I649" s="4"/>
    </row>
    <row r="650">
      <c r="A650" s="3"/>
      <c r="B650" s="3"/>
      <c r="C650" s="3"/>
      <c r="D650" s="3"/>
      <c r="E650" s="3"/>
      <c r="F650" s="3"/>
      <c r="G650" s="3"/>
      <c r="I650" s="4"/>
    </row>
    <row r="651">
      <c r="A651" s="3"/>
      <c r="B651" s="3"/>
      <c r="C651" s="3"/>
      <c r="D651" s="3"/>
      <c r="E651" s="3"/>
      <c r="F651" s="3"/>
      <c r="G651" s="3"/>
      <c r="I651" s="4"/>
    </row>
    <row r="652">
      <c r="A652" s="3"/>
      <c r="B652" s="3"/>
      <c r="C652" s="3"/>
      <c r="D652" s="3"/>
      <c r="E652" s="3"/>
      <c r="F652" s="3"/>
      <c r="G652" s="3"/>
      <c r="I652" s="4"/>
    </row>
    <row r="653">
      <c r="A653" s="3"/>
      <c r="B653" s="3"/>
      <c r="C653" s="3"/>
      <c r="D653" s="3"/>
      <c r="E653" s="3"/>
      <c r="F653" s="3"/>
      <c r="G653" s="3"/>
      <c r="I653" s="4"/>
    </row>
    <row r="654">
      <c r="A654" s="3"/>
      <c r="B654" s="3"/>
      <c r="C654" s="3"/>
      <c r="D654" s="3"/>
      <c r="E654" s="3"/>
      <c r="F654" s="3"/>
      <c r="G654" s="3"/>
      <c r="I654" s="4"/>
    </row>
    <row r="655">
      <c r="A655" s="3"/>
      <c r="B655" s="3"/>
      <c r="C655" s="3"/>
      <c r="D655" s="3"/>
      <c r="E655" s="3"/>
      <c r="F655" s="3"/>
      <c r="G655" s="3"/>
      <c r="I655" s="4"/>
    </row>
    <row r="656">
      <c r="A656" s="3"/>
      <c r="B656" s="3"/>
      <c r="C656" s="3"/>
      <c r="D656" s="3"/>
      <c r="E656" s="3"/>
      <c r="F656" s="3"/>
      <c r="G656" s="3"/>
      <c r="I656" s="4"/>
    </row>
    <row r="657">
      <c r="A657" s="3"/>
      <c r="B657" s="3"/>
      <c r="C657" s="3"/>
      <c r="D657" s="3"/>
      <c r="E657" s="3"/>
      <c r="F657" s="3"/>
      <c r="G657" s="3"/>
      <c r="I657" s="4"/>
    </row>
    <row r="658">
      <c r="A658" s="3"/>
      <c r="B658" s="3"/>
      <c r="C658" s="3"/>
      <c r="D658" s="3"/>
      <c r="E658" s="3"/>
      <c r="F658" s="3"/>
      <c r="G658" s="3"/>
      <c r="I658" s="4"/>
    </row>
    <row r="659">
      <c r="A659" s="3"/>
      <c r="B659" s="3"/>
      <c r="C659" s="3"/>
      <c r="D659" s="3"/>
      <c r="E659" s="3"/>
      <c r="F659" s="3"/>
      <c r="G659" s="3"/>
      <c r="I659" s="4"/>
    </row>
    <row r="660">
      <c r="A660" s="3"/>
      <c r="B660" s="3"/>
      <c r="C660" s="3"/>
      <c r="D660" s="3"/>
      <c r="E660" s="3"/>
      <c r="F660" s="3"/>
      <c r="G660" s="3"/>
      <c r="I660" s="4"/>
    </row>
    <row r="661">
      <c r="A661" s="3"/>
      <c r="B661" s="3"/>
      <c r="C661" s="3"/>
      <c r="D661" s="3"/>
      <c r="E661" s="3"/>
      <c r="F661" s="3"/>
      <c r="G661" s="3"/>
      <c r="I661" s="4"/>
    </row>
    <row r="662">
      <c r="A662" s="3"/>
      <c r="B662" s="3"/>
      <c r="C662" s="3"/>
      <c r="D662" s="3"/>
      <c r="E662" s="3"/>
      <c r="F662" s="3"/>
      <c r="G662" s="3"/>
      <c r="I662" s="4"/>
    </row>
    <row r="663">
      <c r="A663" s="3"/>
      <c r="B663" s="3"/>
      <c r="C663" s="3"/>
      <c r="D663" s="3"/>
      <c r="E663" s="3"/>
      <c r="F663" s="3"/>
      <c r="G663" s="3"/>
      <c r="I663" s="4"/>
    </row>
    <row r="664">
      <c r="A664" s="3"/>
      <c r="B664" s="3"/>
      <c r="C664" s="3"/>
      <c r="D664" s="3"/>
      <c r="E664" s="3"/>
      <c r="F664" s="3"/>
      <c r="G664" s="3"/>
      <c r="I664" s="4"/>
    </row>
    <row r="665">
      <c r="A665" s="3"/>
      <c r="B665" s="3"/>
      <c r="C665" s="3"/>
      <c r="D665" s="3"/>
      <c r="E665" s="3"/>
      <c r="F665" s="3"/>
      <c r="G665" s="3"/>
      <c r="I665" s="4"/>
    </row>
    <row r="666">
      <c r="A666" s="3"/>
      <c r="B666" s="3"/>
      <c r="C666" s="3"/>
      <c r="D666" s="3"/>
      <c r="E666" s="3"/>
      <c r="F666" s="3"/>
      <c r="G666" s="3"/>
      <c r="I666" s="4"/>
    </row>
    <row r="667">
      <c r="A667" s="3"/>
      <c r="B667" s="3"/>
      <c r="C667" s="3"/>
      <c r="D667" s="3"/>
      <c r="E667" s="3"/>
      <c r="F667" s="3"/>
      <c r="G667" s="3"/>
      <c r="I667" s="4"/>
    </row>
    <row r="668">
      <c r="A668" s="3"/>
      <c r="B668" s="3"/>
      <c r="C668" s="3"/>
      <c r="D668" s="3"/>
      <c r="E668" s="3"/>
      <c r="F668" s="3"/>
      <c r="G668" s="3"/>
      <c r="I668" s="4"/>
    </row>
    <row r="669">
      <c r="A669" s="3"/>
      <c r="B669" s="3"/>
      <c r="C669" s="3"/>
      <c r="D669" s="3"/>
      <c r="E669" s="3"/>
      <c r="F669" s="3"/>
      <c r="G669" s="3"/>
      <c r="I669" s="4"/>
    </row>
    <row r="670">
      <c r="A670" s="3"/>
      <c r="B670" s="3"/>
      <c r="C670" s="3"/>
      <c r="D670" s="3"/>
      <c r="E670" s="3"/>
      <c r="F670" s="3"/>
      <c r="G670" s="3"/>
      <c r="I670" s="4"/>
    </row>
    <row r="671">
      <c r="A671" s="3"/>
      <c r="B671" s="3"/>
      <c r="C671" s="3"/>
      <c r="D671" s="3"/>
      <c r="E671" s="3"/>
      <c r="F671" s="3"/>
      <c r="G671" s="3"/>
      <c r="I671" s="4"/>
    </row>
    <row r="672">
      <c r="A672" s="3"/>
      <c r="B672" s="3"/>
      <c r="C672" s="3"/>
      <c r="D672" s="3"/>
      <c r="E672" s="3"/>
      <c r="F672" s="3"/>
      <c r="G672" s="3"/>
      <c r="I672" s="4"/>
    </row>
    <row r="673">
      <c r="A673" s="3"/>
      <c r="B673" s="3"/>
      <c r="C673" s="3"/>
      <c r="D673" s="3"/>
      <c r="E673" s="3"/>
      <c r="F673" s="3"/>
      <c r="G673" s="3"/>
      <c r="I673" s="4"/>
    </row>
    <row r="674">
      <c r="A674" s="3"/>
      <c r="B674" s="3"/>
      <c r="C674" s="3"/>
      <c r="D674" s="3"/>
      <c r="E674" s="3"/>
      <c r="F674" s="3"/>
      <c r="G674" s="3"/>
      <c r="I674" s="4"/>
    </row>
    <row r="675">
      <c r="A675" s="3"/>
      <c r="B675" s="3"/>
      <c r="C675" s="3"/>
      <c r="D675" s="3"/>
      <c r="E675" s="3"/>
      <c r="F675" s="3"/>
      <c r="G675" s="3"/>
      <c r="I675" s="4"/>
    </row>
    <row r="676">
      <c r="A676" s="3"/>
      <c r="B676" s="3"/>
      <c r="C676" s="3"/>
      <c r="D676" s="3"/>
      <c r="E676" s="3"/>
      <c r="F676" s="3"/>
      <c r="G676" s="3"/>
      <c r="I676" s="4"/>
    </row>
    <row r="677">
      <c r="A677" s="3"/>
      <c r="B677" s="3"/>
      <c r="C677" s="3"/>
      <c r="D677" s="3"/>
      <c r="E677" s="3"/>
      <c r="F677" s="3"/>
      <c r="G677" s="3"/>
      <c r="I677" s="4"/>
    </row>
    <row r="678">
      <c r="A678" s="3"/>
      <c r="B678" s="3"/>
      <c r="C678" s="3"/>
      <c r="D678" s="3"/>
      <c r="E678" s="3"/>
      <c r="F678" s="3"/>
      <c r="G678" s="3"/>
      <c r="I678" s="4"/>
    </row>
    <row r="679">
      <c r="A679" s="3"/>
      <c r="B679" s="3"/>
      <c r="C679" s="3"/>
      <c r="D679" s="3"/>
      <c r="E679" s="3"/>
      <c r="F679" s="3"/>
      <c r="G679" s="3"/>
      <c r="I679" s="4"/>
    </row>
    <row r="680">
      <c r="A680" s="3"/>
      <c r="B680" s="3"/>
      <c r="C680" s="3"/>
      <c r="D680" s="3"/>
      <c r="E680" s="3"/>
      <c r="F680" s="3"/>
      <c r="G680" s="3"/>
      <c r="I680" s="4"/>
    </row>
    <row r="681">
      <c r="A681" s="3"/>
      <c r="B681" s="3"/>
      <c r="C681" s="3"/>
      <c r="D681" s="3"/>
      <c r="E681" s="3"/>
      <c r="F681" s="3"/>
      <c r="G681" s="3"/>
      <c r="I681" s="4"/>
    </row>
    <row r="682">
      <c r="A682" s="3"/>
      <c r="B682" s="3"/>
      <c r="C682" s="3"/>
      <c r="D682" s="3"/>
      <c r="E682" s="3"/>
      <c r="F682" s="3"/>
      <c r="G682" s="3"/>
      <c r="I682" s="4"/>
    </row>
    <row r="683">
      <c r="A683" s="3"/>
      <c r="B683" s="3"/>
      <c r="C683" s="3"/>
      <c r="D683" s="3"/>
      <c r="E683" s="3"/>
      <c r="F683" s="3"/>
      <c r="G683" s="3"/>
      <c r="I683" s="4"/>
    </row>
    <row r="684">
      <c r="A684" s="3"/>
      <c r="B684" s="3"/>
      <c r="C684" s="3"/>
      <c r="D684" s="3"/>
      <c r="E684" s="3"/>
      <c r="F684" s="3"/>
      <c r="G684" s="3"/>
      <c r="I684" s="4"/>
    </row>
    <row r="685">
      <c r="A685" s="3"/>
      <c r="B685" s="3"/>
      <c r="C685" s="3"/>
      <c r="D685" s="3"/>
      <c r="E685" s="3"/>
      <c r="F685" s="3"/>
      <c r="G685" s="3"/>
      <c r="I685" s="4"/>
    </row>
    <row r="686">
      <c r="A686" s="3"/>
      <c r="B686" s="3"/>
      <c r="C686" s="3"/>
      <c r="D686" s="3"/>
      <c r="E686" s="3"/>
      <c r="F686" s="3"/>
      <c r="G686" s="3"/>
      <c r="I686" s="4"/>
    </row>
    <row r="687">
      <c r="A687" s="3"/>
      <c r="B687" s="3"/>
      <c r="C687" s="3"/>
      <c r="D687" s="3"/>
      <c r="E687" s="3"/>
      <c r="F687" s="3"/>
      <c r="G687" s="3"/>
      <c r="I687" s="4"/>
    </row>
    <row r="688">
      <c r="A688" s="3"/>
      <c r="B688" s="3"/>
      <c r="C688" s="3"/>
      <c r="D688" s="3"/>
      <c r="E688" s="3"/>
      <c r="F688" s="3"/>
      <c r="G688" s="3"/>
      <c r="I688" s="4"/>
    </row>
    <row r="689">
      <c r="A689" s="3"/>
      <c r="B689" s="3"/>
      <c r="C689" s="3"/>
      <c r="D689" s="3"/>
      <c r="E689" s="3"/>
      <c r="F689" s="3"/>
      <c r="G689" s="3"/>
      <c r="I689" s="4"/>
    </row>
    <row r="690">
      <c r="A690" s="3"/>
      <c r="B690" s="3"/>
      <c r="C690" s="3"/>
      <c r="D690" s="3"/>
      <c r="E690" s="3"/>
      <c r="F690" s="3"/>
      <c r="G690" s="3"/>
      <c r="I690" s="4"/>
    </row>
    <row r="691">
      <c r="A691" s="3"/>
      <c r="B691" s="3"/>
      <c r="C691" s="3"/>
      <c r="D691" s="3"/>
      <c r="E691" s="3"/>
      <c r="F691" s="3"/>
      <c r="G691" s="3"/>
      <c r="I691" s="4"/>
    </row>
    <row r="692">
      <c r="A692" s="3"/>
      <c r="B692" s="3"/>
      <c r="C692" s="3"/>
      <c r="D692" s="3"/>
      <c r="E692" s="3"/>
      <c r="F692" s="3"/>
      <c r="G692" s="3"/>
      <c r="I692" s="4"/>
    </row>
    <row r="693">
      <c r="A693" s="3"/>
      <c r="B693" s="3"/>
      <c r="C693" s="3"/>
      <c r="D693" s="3"/>
      <c r="E693" s="3"/>
      <c r="F693" s="3"/>
      <c r="G693" s="3"/>
      <c r="I693" s="4"/>
    </row>
    <row r="694">
      <c r="A694" s="3"/>
      <c r="B694" s="3"/>
      <c r="C694" s="3"/>
      <c r="D694" s="3"/>
      <c r="E694" s="3"/>
      <c r="F694" s="3"/>
      <c r="G694" s="3"/>
      <c r="I694" s="4"/>
    </row>
    <row r="695">
      <c r="A695" s="3"/>
      <c r="B695" s="3"/>
      <c r="C695" s="3"/>
      <c r="D695" s="3"/>
      <c r="E695" s="3"/>
      <c r="F695" s="3"/>
      <c r="G695" s="3"/>
      <c r="I695" s="4"/>
    </row>
    <row r="696">
      <c r="A696" s="3"/>
      <c r="B696" s="3"/>
      <c r="C696" s="3"/>
      <c r="D696" s="3"/>
      <c r="E696" s="3"/>
      <c r="F696" s="3"/>
      <c r="G696" s="3"/>
      <c r="I696" s="4"/>
    </row>
    <row r="697">
      <c r="A697" s="3"/>
      <c r="B697" s="3"/>
      <c r="C697" s="3"/>
      <c r="D697" s="3"/>
      <c r="E697" s="3"/>
      <c r="F697" s="3"/>
      <c r="G697" s="3"/>
      <c r="I697" s="4"/>
    </row>
    <row r="698">
      <c r="A698" s="3"/>
      <c r="B698" s="3"/>
      <c r="C698" s="3"/>
      <c r="D698" s="3"/>
      <c r="E698" s="3"/>
      <c r="F698" s="3"/>
      <c r="G698" s="3"/>
      <c r="I698" s="4"/>
    </row>
    <row r="699">
      <c r="A699" s="3"/>
      <c r="B699" s="3"/>
      <c r="C699" s="3"/>
      <c r="D699" s="3"/>
      <c r="E699" s="3"/>
      <c r="F699" s="3"/>
      <c r="G699" s="3"/>
      <c r="I699" s="4"/>
    </row>
    <row r="700">
      <c r="A700" s="3"/>
      <c r="B700" s="3"/>
      <c r="C700" s="3"/>
      <c r="D700" s="3"/>
      <c r="E700" s="3"/>
      <c r="F700" s="3"/>
      <c r="G700" s="3"/>
      <c r="I700" s="4"/>
    </row>
    <row r="701">
      <c r="A701" s="3"/>
      <c r="B701" s="3"/>
      <c r="C701" s="3"/>
      <c r="D701" s="3"/>
      <c r="E701" s="3"/>
      <c r="F701" s="3"/>
      <c r="G701" s="3"/>
      <c r="I701" s="4"/>
    </row>
    <row r="702">
      <c r="A702" s="3"/>
      <c r="B702" s="3"/>
      <c r="C702" s="3"/>
      <c r="D702" s="3"/>
      <c r="E702" s="3"/>
      <c r="F702" s="3"/>
      <c r="G702" s="3"/>
      <c r="I702" s="4"/>
    </row>
    <row r="703">
      <c r="A703" s="3"/>
      <c r="B703" s="3"/>
      <c r="C703" s="3"/>
      <c r="D703" s="3"/>
      <c r="E703" s="3"/>
      <c r="F703" s="3"/>
      <c r="G703" s="3"/>
      <c r="I703" s="4"/>
    </row>
    <row r="704">
      <c r="A704" s="3"/>
      <c r="B704" s="3"/>
      <c r="C704" s="3"/>
      <c r="D704" s="3"/>
      <c r="E704" s="3"/>
      <c r="F704" s="3"/>
      <c r="G704" s="3"/>
      <c r="I704" s="4"/>
    </row>
    <row r="705">
      <c r="A705" s="3"/>
      <c r="B705" s="3"/>
      <c r="C705" s="3"/>
      <c r="D705" s="3"/>
      <c r="E705" s="3"/>
      <c r="F705" s="3"/>
      <c r="G705" s="3"/>
      <c r="I705" s="4"/>
    </row>
    <row r="706">
      <c r="A706" s="3"/>
      <c r="B706" s="3"/>
      <c r="C706" s="3"/>
      <c r="D706" s="3"/>
      <c r="E706" s="3"/>
      <c r="F706" s="3"/>
      <c r="G706" s="3"/>
      <c r="I706" s="4"/>
    </row>
    <row r="707">
      <c r="A707" s="3"/>
      <c r="B707" s="3"/>
      <c r="C707" s="3"/>
      <c r="D707" s="3"/>
      <c r="E707" s="3"/>
      <c r="F707" s="3"/>
      <c r="G707" s="3"/>
      <c r="I707" s="4"/>
    </row>
    <row r="708">
      <c r="A708" s="3"/>
      <c r="B708" s="3"/>
      <c r="C708" s="3"/>
      <c r="D708" s="3"/>
      <c r="E708" s="3"/>
      <c r="F708" s="3"/>
      <c r="G708" s="3"/>
      <c r="I708" s="4"/>
    </row>
    <row r="709">
      <c r="A709" s="3"/>
      <c r="B709" s="3"/>
      <c r="C709" s="3"/>
      <c r="D709" s="3"/>
      <c r="E709" s="3"/>
      <c r="F709" s="3"/>
      <c r="G709" s="3"/>
      <c r="I709" s="4"/>
    </row>
    <row r="710">
      <c r="A710" s="3"/>
      <c r="B710" s="3"/>
      <c r="C710" s="3"/>
      <c r="D710" s="3"/>
      <c r="E710" s="3"/>
      <c r="F710" s="3"/>
      <c r="G710" s="3"/>
      <c r="I710" s="4"/>
    </row>
    <row r="711">
      <c r="A711" s="3"/>
      <c r="B711" s="3"/>
      <c r="C711" s="3"/>
      <c r="D711" s="3"/>
      <c r="E711" s="3"/>
      <c r="F711" s="3"/>
      <c r="G711" s="3"/>
      <c r="I711" s="4"/>
    </row>
    <row r="712">
      <c r="A712" s="3"/>
      <c r="B712" s="3"/>
      <c r="C712" s="3"/>
      <c r="D712" s="3"/>
      <c r="E712" s="3"/>
      <c r="F712" s="3"/>
      <c r="G712" s="3"/>
      <c r="I712" s="4"/>
    </row>
    <row r="713">
      <c r="A713" s="3"/>
      <c r="B713" s="3"/>
      <c r="C713" s="3"/>
      <c r="D713" s="3"/>
      <c r="E713" s="3"/>
      <c r="F713" s="3"/>
      <c r="G713" s="3"/>
      <c r="I713" s="4"/>
    </row>
    <row r="714">
      <c r="A714" s="3"/>
      <c r="B714" s="3"/>
      <c r="C714" s="3"/>
      <c r="D714" s="3"/>
      <c r="E714" s="3"/>
      <c r="F714" s="3"/>
      <c r="G714" s="3"/>
      <c r="I714" s="4"/>
    </row>
    <row r="715">
      <c r="A715" s="3"/>
      <c r="B715" s="3"/>
      <c r="C715" s="3"/>
      <c r="D715" s="3"/>
      <c r="E715" s="3"/>
      <c r="F715" s="3"/>
      <c r="G715" s="3"/>
      <c r="I715" s="4"/>
    </row>
    <row r="716">
      <c r="A716" s="3"/>
      <c r="B716" s="3"/>
      <c r="C716" s="3"/>
      <c r="D716" s="3"/>
      <c r="E716" s="3"/>
      <c r="F716" s="3"/>
      <c r="G716" s="3"/>
      <c r="I716" s="4"/>
    </row>
    <row r="717">
      <c r="A717" s="3"/>
      <c r="B717" s="3"/>
      <c r="C717" s="3"/>
      <c r="D717" s="3"/>
      <c r="E717" s="3"/>
      <c r="F717" s="3"/>
      <c r="G717" s="3"/>
      <c r="I717" s="4"/>
    </row>
    <row r="718">
      <c r="A718" s="3"/>
      <c r="B718" s="3"/>
      <c r="C718" s="3"/>
      <c r="D718" s="3"/>
      <c r="E718" s="3"/>
      <c r="F718" s="3"/>
      <c r="G718" s="3"/>
      <c r="I718" s="4"/>
    </row>
    <row r="719">
      <c r="A719" s="3"/>
      <c r="B719" s="3"/>
      <c r="C719" s="3"/>
      <c r="D719" s="3"/>
      <c r="E719" s="3"/>
      <c r="F719" s="3"/>
      <c r="G719" s="3"/>
      <c r="I719" s="4"/>
    </row>
    <row r="720">
      <c r="A720" s="3"/>
      <c r="B720" s="3"/>
      <c r="C720" s="3"/>
      <c r="D720" s="3"/>
      <c r="E720" s="3"/>
      <c r="F720" s="3"/>
      <c r="G720" s="3"/>
      <c r="I720" s="4"/>
    </row>
    <row r="721">
      <c r="A721" s="3"/>
      <c r="B721" s="3"/>
      <c r="C721" s="3"/>
      <c r="D721" s="3"/>
      <c r="E721" s="3"/>
      <c r="F721" s="3"/>
      <c r="G721" s="3"/>
      <c r="I721" s="4"/>
    </row>
    <row r="722">
      <c r="A722" s="3"/>
      <c r="B722" s="3"/>
      <c r="C722" s="3"/>
      <c r="D722" s="3"/>
      <c r="E722" s="3"/>
      <c r="F722" s="3"/>
      <c r="G722" s="3"/>
      <c r="I722" s="4"/>
    </row>
    <row r="723">
      <c r="A723" s="3"/>
      <c r="B723" s="3"/>
      <c r="C723" s="3"/>
      <c r="D723" s="3"/>
      <c r="E723" s="3"/>
      <c r="F723" s="3"/>
      <c r="G723" s="3"/>
      <c r="I723" s="4"/>
    </row>
    <row r="724">
      <c r="A724" s="3"/>
      <c r="B724" s="3"/>
      <c r="C724" s="3"/>
      <c r="D724" s="3"/>
      <c r="E724" s="3"/>
      <c r="F724" s="3"/>
      <c r="G724" s="3"/>
      <c r="I724" s="4"/>
    </row>
    <row r="725">
      <c r="A725" s="3"/>
      <c r="B725" s="3"/>
      <c r="C725" s="3"/>
      <c r="D725" s="3"/>
      <c r="E725" s="3"/>
      <c r="F725" s="3"/>
      <c r="G725" s="3"/>
      <c r="I725" s="4"/>
    </row>
    <row r="726">
      <c r="A726" s="3"/>
      <c r="B726" s="3"/>
      <c r="C726" s="3"/>
      <c r="D726" s="3"/>
      <c r="E726" s="3"/>
      <c r="F726" s="3"/>
      <c r="G726" s="3"/>
      <c r="I726" s="4"/>
    </row>
    <row r="727">
      <c r="A727" s="3"/>
      <c r="B727" s="3"/>
      <c r="C727" s="3"/>
      <c r="D727" s="3"/>
      <c r="E727" s="3"/>
      <c r="F727" s="3"/>
      <c r="G727" s="3"/>
      <c r="I727" s="4"/>
    </row>
    <row r="728">
      <c r="A728" s="3"/>
      <c r="B728" s="3"/>
      <c r="C728" s="3"/>
      <c r="D728" s="3"/>
      <c r="E728" s="3"/>
      <c r="F728" s="3"/>
      <c r="G728" s="3"/>
      <c r="I728" s="4"/>
    </row>
    <row r="729">
      <c r="A729" s="3"/>
      <c r="B729" s="3"/>
      <c r="C729" s="3"/>
      <c r="D729" s="3"/>
      <c r="E729" s="3"/>
      <c r="F729" s="3"/>
      <c r="G729" s="3"/>
      <c r="I729" s="4"/>
    </row>
    <row r="730">
      <c r="A730" s="3"/>
      <c r="B730" s="3"/>
      <c r="C730" s="3"/>
      <c r="D730" s="3"/>
      <c r="E730" s="3"/>
      <c r="F730" s="3"/>
      <c r="G730" s="3"/>
      <c r="I730" s="4"/>
    </row>
    <row r="731">
      <c r="A731" s="3"/>
      <c r="B731" s="3"/>
      <c r="C731" s="3"/>
      <c r="D731" s="3"/>
      <c r="E731" s="3"/>
      <c r="F731" s="3"/>
      <c r="G731" s="3"/>
      <c r="I731" s="4"/>
    </row>
    <row r="732">
      <c r="A732" s="3"/>
      <c r="B732" s="3"/>
      <c r="C732" s="3"/>
      <c r="D732" s="3"/>
      <c r="E732" s="3"/>
      <c r="F732" s="3"/>
      <c r="G732" s="3"/>
      <c r="I732" s="4"/>
    </row>
    <row r="733">
      <c r="A733" s="3"/>
      <c r="B733" s="3"/>
      <c r="C733" s="3"/>
      <c r="D733" s="3"/>
      <c r="E733" s="3"/>
      <c r="F733" s="3"/>
      <c r="G733" s="3"/>
      <c r="I733" s="4"/>
    </row>
    <row r="734">
      <c r="A734" s="3"/>
      <c r="B734" s="3"/>
      <c r="C734" s="3"/>
      <c r="D734" s="3"/>
      <c r="E734" s="3"/>
      <c r="F734" s="3"/>
      <c r="G734" s="3"/>
      <c r="I734" s="4"/>
    </row>
    <row r="735">
      <c r="A735" s="3"/>
      <c r="B735" s="3"/>
      <c r="C735" s="3"/>
      <c r="D735" s="3"/>
      <c r="E735" s="3"/>
      <c r="F735" s="3"/>
      <c r="G735" s="3"/>
      <c r="I735" s="4"/>
    </row>
    <row r="736">
      <c r="A736" s="3"/>
      <c r="B736" s="3"/>
      <c r="C736" s="3"/>
      <c r="D736" s="3"/>
      <c r="E736" s="3"/>
      <c r="F736" s="3"/>
      <c r="G736" s="3"/>
      <c r="I736" s="4"/>
    </row>
    <row r="737">
      <c r="A737" s="3"/>
      <c r="B737" s="3"/>
      <c r="C737" s="3"/>
      <c r="D737" s="3"/>
      <c r="E737" s="3"/>
      <c r="F737" s="3"/>
      <c r="G737" s="3"/>
      <c r="I737" s="4"/>
    </row>
    <row r="738">
      <c r="A738" s="3"/>
      <c r="B738" s="3"/>
      <c r="C738" s="3"/>
      <c r="D738" s="3"/>
      <c r="E738" s="3"/>
      <c r="F738" s="3"/>
      <c r="G738" s="3"/>
      <c r="I738" s="4"/>
    </row>
    <row r="739">
      <c r="A739" s="3"/>
      <c r="B739" s="3"/>
      <c r="C739" s="3"/>
      <c r="D739" s="3"/>
      <c r="E739" s="3"/>
      <c r="F739" s="3"/>
      <c r="G739" s="3"/>
      <c r="I739" s="4"/>
    </row>
    <row r="740">
      <c r="A740" s="3"/>
      <c r="B740" s="3"/>
      <c r="C740" s="3"/>
      <c r="D740" s="3"/>
      <c r="E740" s="3"/>
      <c r="F740" s="3"/>
      <c r="G740" s="3"/>
      <c r="I740" s="4"/>
    </row>
    <row r="741">
      <c r="A741" s="3"/>
      <c r="B741" s="3"/>
      <c r="C741" s="3"/>
      <c r="D741" s="3"/>
      <c r="E741" s="3"/>
      <c r="F741" s="3"/>
      <c r="G741" s="3"/>
      <c r="I741" s="4"/>
    </row>
    <row r="742">
      <c r="A742" s="3"/>
      <c r="B742" s="3"/>
      <c r="C742" s="3"/>
      <c r="D742" s="3"/>
      <c r="E742" s="3"/>
      <c r="F742" s="3"/>
      <c r="G742" s="3"/>
      <c r="I742" s="4"/>
    </row>
    <row r="743">
      <c r="A743" s="3"/>
      <c r="B743" s="3"/>
      <c r="C743" s="3"/>
      <c r="D743" s="3"/>
      <c r="E743" s="3"/>
      <c r="F743" s="3"/>
      <c r="G743" s="3"/>
      <c r="I743" s="4"/>
    </row>
    <row r="744">
      <c r="A744" s="3"/>
      <c r="B744" s="3"/>
      <c r="C744" s="3"/>
      <c r="D744" s="3"/>
      <c r="E744" s="3"/>
      <c r="F744" s="3"/>
      <c r="G744" s="3"/>
      <c r="I744" s="4"/>
    </row>
    <row r="745">
      <c r="A745" s="3"/>
      <c r="B745" s="3"/>
      <c r="C745" s="3"/>
      <c r="D745" s="3"/>
      <c r="E745" s="3"/>
      <c r="F745" s="3"/>
      <c r="G745" s="3"/>
      <c r="I745" s="4"/>
    </row>
    <row r="746">
      <c r="A746" s="3"/>
      <c r="B746" s="3"/>
      <c r="C746" s="3"/>
      <c r="D746" s="3"/>
      <c r="E746" s="3"/>
      <c r="F746" s="3"/>
      <c r="G746" s="3"/>
      <c r="I746" s="4"/>
    </row>
    <row r="747">
      <c r="A747" s="3"/>
      <c r="B747" s="3"/>
      <c r="C747" s="3"/>
      <c r="D747" s="3"/>
      <c r="E747" s="3"/>
      <c r="F747" s="3"/>
      <c r="G747" s="3"/>
      <c r="I747" s="4"/>
    </row>
    <row r="748">
      <c r="A748" s="3"/>
      <c r="B748" s="3"/>
      <c r="C748" s="3"/>
      <c r="D748" s="3"/>
      <c r="E748" s="3"/>
      <c r="F748" s="3"/>
      <c r="G748" s="3"/>
      <c r="I748" s="4"/>
    </row>
    <row r="749">
      <c r="A749" s="3"/>
      <c r="B749" s="3"/>
      <c r="C749" s="3"/>
      <c r="D749" s="3"/>
      <c r="E749" s="3"/>
      <c r="F749" s="3"/>
      <c r="G749" s="3"/>
      <c r="I749" s="4"/>
    </row>
    <row r="750">
      <c r="A750" s="3"/>
      <c r="B750" s="3"/>
      <c r="C750" s="3"/>
      <c r="D750" s="3"/>
      <c r="E750" s="3"/>
      <c r="F750" s="3"/>
      <c r="G750" s="3"/>
      <c r="I750" s="4"/>
    </row>
    <row r="751">
      <c r="A751" s="3"/>
      <c r="B751" s="3"/>
      <c r="C751" s="3"/>
      <c r="D751" s="3"/>
      <c r="E751" s="3"/>
      <c r="F751" s="3"/>
      <c r="G751" s="3"/>
      <c r="I751" s="4"/>
    </row>
    <row r="752">
      <c r="A752" s="3"/>
      <c r="B752" s="3"/>
      <c r="C752" s="3"/>
      <c r="D752" s="3"/>
      <c r="E752" s="3"/>
      <c r="F752" s="3"/>
      <c r="G752" s="3"/>
      <c r="I752" s="4"/>
    </row>
    <row r="753">
      <c r="A753" s="3"/>
      <c r="B753" s="3"/>
      <c r="C753" s="3"/>
      <c r="D753" s="3"/>
      <c r="E753" s="3"/>
      <c r="F753" s="3"/>
      <c r="G753" s="3"/>
      <c r="I753" s="4"/>
    </row>
    <row r="754">
      <c r="A754" s="3"/>
      <c r="B754" s="3"/>
      <c r="C754" s="3"/>
      <c r="D754" s="3"/>
      <c r="E754" s="3"/>
      <c r="F754" s="3"/>
      <c r="G754" s="3"/>
      <c r="I754" s="4"/>
    </row>
    <row r="755">
      <c r="A755" s="3"/>
      <c r="B755" s="3"/>
      <c r="C755" s="3"/>
      <c r="D755" s="3"/>
      <c r="E755" s="3"/>
      <c r="F755" s="3"/>
      <c r="G755" s="3"/>
      <c r="I755" s="4"/>
    </row>
    <row r="756">
      <c r="A756" s="3"/>
      <c r="B756" s="3"/>
      <c r="C756" s="3"/>
      <c r="D756" s="3"/>
      <c r="E756" s="3"/>
      <c r="F756" s="3"/>
      <c r="G756" s="3"/>
      <c r="I756" s="4"/>
    </row>
    <row r="757">
      <c r="A757" s="3"/>
      <c r="B757" s="3"/>
      <c r="C757" s="3"/>
      <c r="D757" s="3"/>
      <c r="E757" s="3"/>
      <c r="F757" s="3"/>
      <c r="G757" s="3"/>
      <c r="I757" s="4"/>
    </row>
    <row r="758">
      <c r="A758" s="3"/>
      <c r="B758" s="3"/>
      <c r="C758" s="3"/>
      <c r="D758" s="3"/>
      <c r="E758" s="3"/>
      <c r="F758" s="3"/>
      <c r="G758" s="3"/>
      <c r="I758" s="4"/>
    </row>
    <row r="759">
      <c r="A759" s="3"/>
      <c r="B759" s="3"/>
      <c r="C759" s="3"/>
      <c r="D759" s="3"/>
      <c r="E759" s="3"/>
      <c r="F759" s="3"/>
      <c r="G759" s="3"/>
      <c r="I759" s="4"/>
    </row>
    <row r="760">
      <c r="A760" s="3"/>
      <c r="B760" s="3"/>
      <c r="C760" s="3"/>
      <c r="D760" s="3"/>
      <c r="E760" s="3"/>
      <c r="F760" s="3"/>
      <c r="G760" s="3"/>
      <c r="I760" s="4"/>
    </row>
    <row r="761">
      <c r="A761" s="3"/>
      <c r="B761" s="3"/>
      <c r="C761" s="3"/>
      <c r="D761" s="3"/>
      <c r="E761" s="3"/>
      <c r="F761" s="3"/>
      <c r="G761" s="3"/>
      <c r="I761" s="4"/>
    </row>
    <row r="762">
      <c r="A762" s="3"/>
      <c r="B762" s="3"/>
      <c r="C762" s="3"/>
      <c r="D762" s="3"/>
      <c r="E762" s="3"/>
      <c r="F762" s="3"/>
      <c r="G762" s="3"/>
      <c r="I762" s="4"/>
    </row>
    <row r="763">
      <c r="A763" s="3"/>
      <c r="B763" s="3"/>
      <c r="C763" s="3"/>
      <c r="D763" s="3"/>
      <c r="E763" s="3"/>
      <c r="F763" s="3"/>
      <c r="G763" s="3"/>
      <c r="I763" s="4"/>
    </row>
    <row r="764">
      <c r="A764" s="3"/>
      <c r="B764" s="3"/>
      <c r="C764" s="3"/>
      <c r="D764" s="3"/>
      <c r="E764" s="3"/>
      <c r="F764" s="3"/>
      <c r="G764" s="3"/>
      <c r="I764" s="4"/>
    </row>
    <row r="765">
      <c r="A765" s="3"/>
      <c r="B765" s="3"/>
      <c r="C765" s="3"/>
      <c r="D765" s="3"/>
      <c r="E765" s="3"/>
      <c r="F765" s="3"/>
      <c r="G765" s="3"/>
      <c r="I765" s="4"/>
    </row>
    <row r="766">
      <c r="A766" s="3"/>
      <c r="B766" s="3"/>
      <c r="C766" s="3"/>
      <c r="D766" s="3"/>
      <c r="E766" s="3"/>
      <c r="F766" s="3"/>
      <c r="G766" s="3"/>
      <c r="I766" s="4"/>
    </row>
    <row r="767">
      <c r="A767" s="3"/>
      <c r="B767" s="3"/>
      <c r="C767" s="3"/>
      <c r="D767" s="3"/>
      <c r="E767" s="3"/>
      <c r="F767" s="3"/>
      <c r="G767" s="3"/>
      <c r="I767" s="4"/>
    </row>
    <row r="768">
      <c r="A768" s="3"/>
      <c r="B768" s="3"/>
      <c r="C768" s="3"/>
      <c r="D768" s="3"/>
      <c r="E768" s="3"/>
      <c r="F768" s="3"/>
      <c r="G768" s="3"/>
      <c r="I768" s="4"/>
    </row>
    <row r="769">
      <c r="A769" s="3"/>
      <c r="B769" s="3"/>
      <c r="C769" s="3"/>
      <c r="D769" s="3"/>
      <c r="E769" s="3"/>
      <c r="F769" s="3"/>
      <c r="G769" s="3"/>
      <c r="I769" s="4"/>
    </row>
    <row r="770">
      <c r="A770" s="3"/>
      <c r="B770" s="3"/>
      <c r="C770" s="3"/>
      <c r="D770" s="3"/>
      <c r="E770" s="3"/>
      <c r="F770" s="3"/>
      <c r="G770" s="3"/>
      <c r="I770" s="4"/>
    </row>
    <row r="771">
      <c r="A771" s="3"/>
      <c r="B771" s="3"/>
      <c r="C771" s="3"/>
      <c r="D771" s="3"/>
      <c r="E771" s="3"/>
      <c r="F771" s="3"/>
      <c r="G771" s="3"/>
      <c r="I771" s="4"/>
    </row>
    <row r="772">
      <c r="A772" s="3"/>
      <c r="B772" s="3"/>
      <c r="C772" s="3"/>
      <c r="D772" s="3"/>
      <c r="E772" s="3"/>
      <c r="F772" s="3"/>
      <c r="G772" s="3"/>
      <c r="I772" s="4"/>
    </row>
    <row r="773">
      <c r="A773" s="3"/>
      <c r="B773" s="3"/>
      <c r="C773" s="3"/>
      <c r="D773" s="3"/>
      <c r="E773" s="3"/>
      <c r="F773" s="3"/>
      <c r="G773" s="3"/>
      <c r="I773" s="4"/>
    </row>
    <row r="774">
      <c r="A774" s="3"/>
      <c r="B774" s="3"/>
      <c r="C774" s="3"/>
      <c r="D774" s="3"/>
      <c r="E774" s="3"/>
      <c r="F774" s="3"/>
      <c r="G774" s="3"/>
      <c r="I774" s="4"/>
    </row>
    <row r="775">
      <c r="A775" s="3"/>
      <c r="B775" s="3"/>
      <c r="C775" s="3"/>
      <c r="D775" s="3"/>
      <c r="E775" s="3"/>
      <c r="F775" s="3"/>
      <c r="G775" s="3"/>
      <c r="I775" s="4"/>
    </row>
    <row r="776">
      <c r="A776" s="3"/>
      <c r="B776" s="3"/>
      <c r="C776" s="3"/>
      <c r="D776" s="3"/>
      <c r="E776" s="3"/>
      <c r="F776" s="3"/>
      <c r="G776" s="3"/>
      <c r="I776" s="4"/>
    </row>
    <row r="777">
      <c r="A777" s="3"/>
      <c r="B777" s="3"/>
      <c r="C777" s="3"/>
      <c r="D777" s="3"/>
      <c r="E777" s="3"/>
      <c r="F777" s="3"/>
      <c r="G777" s="3"/>
      <c r="I777" s="4"/>
    </row>
    <row r="778">
      <c r="A778" s="3"/>
      <c r="B778" s="3"/>
      <c r="C778" s="3"/>
      <c r="D778" s="3"/>
      <c r="E778" s="3"/>
      <c r="F778" s="3"/>
      <c r="G778" s="3"/>
      <c r="I778" s="4"/>
    </row>
    <row r="779">
      <c r="A779" s="3"/>
      <c r="B779" s="3"/>
      <c r="C779" s="3"/>
      <c r="D779" s="3"/>
      <c r="E779" s="3"/>
      <c r="F779" s="3"/>
      <c r="G779" s="3"/>
      <c r="I779" s="4"/>
    </row>
    <row r="780">
      <c r="A780" s="3"/>
      <c r="B780" s="3"/>
      <c r="C780" s="3"/>
      <c r="D780" s="3"/>
      <c r="E780" s="3"/>
      <c r="F780" s="3"/>
      <c r="G780" s="3"/>
      <c r="I780" s="4"/>
    </row>
    <row r="781">
      <c r="A781" s="3"/>
      <c r="B781" s="3"/>
      <c r="C781" s="3"/>
      <c r="D781" s="3"/>
      <c r="E781" s="3"/>
      <c r="F781" s="3"/>
      <c r="G781" s="3"/>
      <c r="I781" s="4"/>
    </row>
    <row r="782">
      <c r="A782" s="3"/>
      <c r="B782" s="3"/>
      <c r="C782" s="3"/>
      <c r="D782" s="3"/>
      <c r="E782" s="3"/>
      <c r="F782" s="3"/>
      <c r="G782" s="3"/>
      <c r="I782" s="4"/>
    </row>
    <row r="783">
      <c r="A783" s="3"/>
      <c r="B783" s="3"/>
      <c r="C783" s="3"/>
      <c r="D783" s="3"/>
      <c r="E783" s="3"/>
      <c r="F783" s="3"/>
      <c r="G783" s="3"/>
      <c r="I783" s="4"/>
    </row>
    <row r="784">
      <c r="A784" s="3"/>
      <c r="B784" s="3"/>
      <c r="C784" s="3"/>
      <c r="D784" s="3"/>
      <c r="E784" s="3"/>
      <c r="F784" s="3"/>
      <c r="G784" s="3"/>
      <c r="I784" s="4"/>
    </row>
    <row r="785">
      <c r="A785" s="3"/>
      <c r="B785" s="3"/>
      <c r="C785" s="3"/>
      <c r="D785" s="3"/>
      <c r="E785" s="3"/>
      <c r="F785" s="3"/>
      <c r="G785" s="3"/>
      <c r="I785" s="4"/>
    </row>
    <row r="786">
      <c r="A786" s="3"/>
      <c r="B786" s="3"/>
      <c r="C786" s="3"/>
      <c r="D786" s="3"/>
      <c r="E786" s="3"/>
      <c r="F786" s="3"/>
      <c r="G786" s="3"/>
      <c r="I786" s="4"/>
    </row>
    <row r="787">
      <c r="A787" s="3"/>
      <c r="B787" s="3"/>
      <c r="C787" s="3"/>
      <c r="D787" s="3"/>
      <c r="E787" s="3"/>
      <c r="F787" s="3"/>
      <c r="G787" s="3"/>
      <c r="I787" s="4"/>
    </row>
    <row r="788">
      <c r="A788" s="3"/>
      <c r="B788" s="3"/>
      <c r="C788" s="3"/>
      <c r="D788" s="3"/>
      <c r="E788" s="3"/>
      <c r="F788" s="3"/>
      <c r="G788" s="3"/>
      <c r="I788" s="4"/>
    </row>
    <row r="789">
      <c r="A789" s="3"/>
      <c r="B789" s="3"/>
      <c r="C789" s="3"/>
      <c r="D789" s="3"/>
      <c r="E789" s="3"/>
      <c r="F789" s="3"/>
      <c r="G789" s="3"/>
      <c r="I789" s="4"/>
    </row>
    <row r="790">
      <c r="A790" s="3"/>
      <c r="B790" s="3"/>
      <c r="C790" s="3"/>
      <c r="D790" s="3"/>
      <c r="E790" s="3"/>
      <c r="F790" s="3"/>
      <c r="G790" s="3"/>
      <c r="I790" s="4"/>
    </row>
    <row r="791">
      <c r="A791" s="3"/>
      <c r="B791" s="3"/>
      <c r="C791" s="3"/>
      <c r="D791" s="3"/>
      <c r="E791" s="3"/>
      <c r="F791" s="3"/>
      <c r="G791" s="3"/>
      <c r="I791" s="4"/>
    </row>
    <row r="792">
      <c r="A792" s="3"/>
      <c r="B792" s="3"/>
      <c r="C792" s="3"/>
      <c r="D792" s="3"/>
      <c r="E792" s="3"/>
      <c r="F792" s="3"/>
      <c r="G792" s="3"/>
      <c r="I792" s="4"/>
    </row>
    <row r="793">
      <c r="A793" s="3"/>
      <c r="B793" s="3"/>
      <c r="C793" s="3"/>
      <c r="D793" s="3"/>
      <c r="E793" s="3"/>
      <c r="F793" s="3"/>
      <c r="G793" s="3"/>
      <c r="I793" s="4"/>
    </row>
    <row r="794">
      <c r="A794" s="3"/>
      <c r="B794" s="3"/>
      <c r="C794" s="3"/>
      <c r="D794" s="3"/>
      <c r="E794" s="3"/>
      <c r="F794" s="3"/>
      <c r="G794" s="3"/>
      <c r="I794" s="4"/>
    </row>
    <row r="795">
      <c r="A795" s="3"/>
      <c r="B795" s="3"/>
      <c r="C795" s="3"/>
      <c r="D795" s="3"/>
      <c r="E795" s="3"/>
      <c r="F795" s="3"/>
      <c r="G795" s="3"/>
      <c r="I795" s="4"/>
    </row>
    <row r="796">
      <c r="A796" s="3"/>
      <c r="B796" s="3"/>
      <c r="C796" s="3"/>
      <c r="D796" s="3"/>
      <c r="E796" s="3"/>
      <c r="F796" s="3"/>
      <c r="G796" s="3"/>
      <c r="I796" s="4"/>
    </row>
    <row r="797">
      <c r="A797" s="3"/>
      <c r="B797" s="3"/>
      <c r="C797" s="3"/>
      <c r="D797" s="3"/>
      <c r="E797" s="3"/>
      <c r="F797" s="3"/>
      <c r="G797" s="3"/>
      <c r="I797" s="4"/>
    </row>
    <row r="798">
      <c r="A798" s="3"/>
      <c r="B798" s="3"/>
      <c r="C798" s="3"/>
      <c r="D798" s="3"/>
      <c r="E798" s="3"/>
      <c r="F798" s="3"/>
      <c r="G798" s="3"/>
      <c r="I798" s="4"/>
    </row>
    <row r="799">
      <c r="A799" s="3"/>
      <c r="B799" s="3"/>
      <c r="C799" s="3"/>
      <c r="D799" s="3"/>
      <c r="E799" s="3"/>
      <c r="F799" s="3"/>
      <c r="G799" s="3"/>
      <c r="I799" s="4"/>
    </row>
    <row r="800">
      <c r="A800" s="3"/>
      <c r="B800" s="3"/>
      <c r="C800" s="3"/>
      <c r="D800" s="3"/>
      <c r="E800" s="3"/>
      <c r="F800" s="3"/>
      <c r="G800" s="3"/>
      <c r="I800" s="4"/>
    </row>
    <row r="801">
      <c r="A801" s="3"/>
      <c r="B801" s="3"/>
      <c r="C801" s="3"/>
      <c r="D801" s="3"/>
      <c r="E801" s="3"/>
      <c r="F801" s="3"/>
      <c r="G801" s="3"/>
      <c r="I801" s="4"/>
    </row>
    <row r="802">
      <c r="A802" s="3"/>
      <c r="B802" s="3"/>
      <c r="C802" s="3"/>
      <c r="D802" s="3"/>
      <c r="E802" s="3"/>
      <c r="F802" s="3"/>
      <c r="G802" s="3"/>
      <c r="I802" s="4"/>
    </row>
    <row r="803">
      <c r="A803" s="3"/>
      <c r="B803" s="3"/>
      <c r="C803" s="3"/>
      <c r="D803" s="3"/>
      <c r="E803" s="3"/>
      <c r="F803" s="3"/>
      <c r="G803" s="3"/>
      <c r="I803" s="4"/>
    </row>
    <row r="804">
      <c r="A804" s="3"/>
      <c r="B804" s="3"/>
      <c r="C804" s="3"/>
      <c r="D804" s="3"/>
      <c r="E804" s="3"/>
      <c r="F804" s="3"/>
      <c r="G804" s="3"/>
      <c r="I804" s="4"/>
    </row>
    <row r="805">
      <c r="A805" s="3"/>
      <c r="B805" s="3"/>
      <c r="C805" s="3"/>
      <c r="D805" s="3"/>
      <c r="E805" s="3"/>
      <c r="F805" s="3"/>
      <c r="G805" s="3"/>
      <c r="I805" s="4"/>
    </row>
    <row r="806">
      <c r="A806" s="3"/>
      <c r="B806" s="3"/>
      <c r="C806" s="3"/>
      <c r="D806" s="3"/>
      <c r="E806" s="3"/>
      <c r="F806" s="3"/>
      <c r="G806" s="3"/>
      <c r="I806" s="4"/>
    </row>
    <row r="807">
      <c r="A807" s="3"/>
      <c r="B807" s="3"/>
      <c r="C807" s="3"/>
      <c r="D807" s="3"/>
      <c r="E807" s="3"/>
      <c r="F807" s="3"/>
      <c r="G807" s="3"/>
      <c r="I807" s="4"/>
    </row>
    <row r="808">
      <c r="A808" s="3"/>
      <c r="B808" s="3"/>
      <c r="C808" s="3"/>
      <c r="D808" s="3"/>
      <c r="E808" s="3"/>
      <c r="F808" s="3"/>
      <c r="G808" s="3"/>
      <c r="I808" s="4"/>
    </row>
    <row r="809">
      <c r="A809" s="3"/>
      <c r="B809" s="3"/>
      <c r="C809" s="3"/>
      <c r="D809" s="3"/>
      <c r="E809" s="3"/>
      <c r="F809" s="3"/>
      <c r="G809" s="3"/>
      <c r="I809" s="4"/>
    </row>
    <row r="810">
      <c r="A810" s="3"/>
      <c r="B810" s="3"/>
      <c r="C810" s="3"/>
      <c r="D810" s="3"/>
      <c r="E810" s="3"/>
      <c r="F810" s="3"/>
      <c r="G810" s="3"/>
      <c r="I810" s="4"/>
    </row>
    <row r="811">
      <c r="A811" s="3"/>
      <c r="B811" s="3"/>
      <c r="C811" s="3"/>
      <c r="D811" s="3"/>
      <c r="E811" s="3"/>
      <c r="F811" s="3"/>
      <c r="G811" s="3"/>
      <c r="I811" s="4"/>
    </row>
    <row r="812">
      <c r="A812" s="3"/>
      <c r="B812" s="3"/>
      <c r="C812" s="3"/>
      <c r="D812" s="3"/>
      <c r="E812" s="3"/>
      <c r="F812" s="3"/>
      <c r="G812" s="3"/>
      <c r="I812" s="4"/>
    </row>
    <row r="813">
      <c r="A813" s="3"/>
      <c r="B813" s="3"/>
      <c r="C813" s="3"/>
      <c r="D813" s="3"/>
      <c r="E813" s="3"/>
      <c r="F813" s="3"/>
      <c r="G813" s="3"/>
      <c r="I813" s="4"/>
    </row>
    <row r="814">
      <c r="A814" s="3"/>
      <c r="B814" s="3"/>
      <c r="C814" s="3"/>
      <c r="D814" s="3"/>
      <c r="E814" s="3"/>
      <c r="F814" s="3"/>
      <c r="G814" s="3"/>
      <c r="I814" s="4"/>
    </row>
    <row r="815">
      <c r="A815" s="3"/>
      <c r="B815" s="3"/>
      <c r="C815" s="3"/>
      <c r="D815" s="3"/>
      <c r="E815" s="3"/>
      <c r="F815" s="3"/>
      <c r="G815" s="3"/>
      <c r="I815" s="4"/>
    </row>
    <row r="816">
      <c r="A816" s="3"/>
      <c r="B816" s="3"/>
      <c r="C816" s="3"/>
      <c r="D816" s="3"/>
      <c r="E816" s="3"/>
      <c r="F816" s="3"/>
      <c r="G816" s="3"/>
      <c r="I816" s="4"/>
    </row>
    <row r="817">
      <c r="A817" s="3"/>
      <c r="B817" s="3"/>
      <c r="C817" s="3"/>
      <c r="D817" s="3"/>
      <c r="E817" s="3"/>
      <c r="F817" s="3"/>
      <c r="G817" s="3"/>
      <c r="I817" s="4"/>
    </row>
    <row r="818">
      <c r="A818" s="3"/>
      <c r="B818" s="3"/>
      <c r="C818" s="3"/>
      <c r="D818" s="3"/>
      <c r="E818" s="3"/>
      <c r="F818" s="3"/>
      <c r="G818" s="3"/>
      <c r="I818" s="4"/>
    </row>
    <row r="819">
      <c r="A819" s="3"/>
      <c r="B819" s="3"/>
      <c r="C819" s="3"/>
      <c r="D819" s="3"/>
      <c r="E819" s="3"/>
      <c r="F819" s="3"/>
      <c r="G819" s="3"/>
      <c r="I819" s="4"/>
    </row>
    <row r="820">
      <c r="A820" s="3"/>
      <c r="B820" s="3"/>
      <c r="C820" s="3"/>
      <c r="D820" s="3"/>
      <c r="E820" s="3"/>
      <c r="F820" s="3"/>
      <c r="G820" s="3"/>
      <c r="I820" s="4"/>
    </row>
    <row r="821">
      <c r="A821" s="3"/>
      <c r="B821" s="3"/>
      <c r="C821" s="3"/>
      <c r="D821" s="3"/>
      <c r="E821" s="3"/>
      <c r="F821" s="3"/>
      <c r="G821" s="3"/>
      <c r="I821" s="4"/>
    </row>
    <row r="822">
      <c r="A822" s="3"/>
      <c r="B822" s="3"/>
      <c r="C822" s="3"/>
      <c r="D822" s="3"/>
      <c r="E822" s="3"/>
      <c r="F822" s="3"/>
      <c r="G822" s="3"/>
      <c r="I822" s="4"/>
    </row>
    <row r="823">
      <c r="A823" s="3"/>
      <c r="B823" s="3"/>
      <c r="C823" s="3"/>
      <c r="D823" s="3"/>
      <c r="E823" s="3"/>
      <c r="F823" s="3"/>
      <c r="G823" s="3"/>
      <c r="I823" s="4"/>
    </row>
    <row r="824">
      <c r="A824" s="3"/>
      <c r="B824" s="3"/>
      <c r="C824" s="3"/>
      <c r="D824" s="3"/>
      <c r="E824" s="3"/>
      <c r="F824" s="3"/>
      <c r="G824" s="3"/>
      <c r="I824" s="4"/>
    </row>
    <row r="825">
      <c r="A825" s="3"/>
      <c r="B825" s="3"/>
      <c r="C825" s="3"/>
      <c r="D825" s="3"/>
      <c r="E825" s="3"/>
      <c r="F825" s="3"/>
      <c r="G825" s="3"/>
      <c r="I825" s="4"/>
    </row>
    <row r="826">
      <c r="A826" s="3"/>
      <c r="B826" s="3"/>
      <c r="C826" s="3"/>
      <c r="D826" s="3"/>
      <c r="E826" s="3"/>
      <c r="F826" s="3"/>
      <c r="G826" s="3"/>
      <c r="I826" s="4"/>
    </row>
    <row r="827">
      <c r="A827" s="3"/>
      <c r="B827" s="3"/>
      <c r="C827" s="3"/>
      <c r="D827" s="3"/>
      <c r="E827" s="3"/>
      <c r="F827" s="3"/>
      <c r="G827" s="3"/>
      <c r="I827" s="4"/>
    </row>
    <row r="828">
      <c r="A828" s="3"/>
      <c r="B828" s="3"/>
      <c r="C828" s="3"/>
      <c r="D828" s="3"/>
      <c r="E828" s="3"/>
      <c r="F828" s="3"/>
      <c r="G828" s="3"/>
      <c r="I828" s="4"/>
    </row>
    <row r="829">
      <c r="A829" s="3"/>
      <c r="B829" s="3"/>
      <c r="C829" s="3"/>
      <c r="D829" s="3"/>
      <c r="E829" s="3"/>
      <c r="F829" s="3"/>
      <c r="G829" s="3"/>
      <c r="I829" s="4"/>
    </row>
    <row r="830">
      <c r="A830" s="3"/>
      <c r="B830" s="3"/>
      <c r="C830" s="3"/>
      <c r="D830" s="3"/>
      <c r="E830" s="3"/>
      <c r="F830" s="3"/>
      <c r="G830" s="3"/>
      <c r="I830" s="4"/>
    </row>
    <row r="831">
      <c r="A831" s="3"/>
      <c r="B831" s="3"/>
      <c r="C831" s="3"/>
      <c r="D831" s="3"/>
      <c r="E831" s="3"/>
      <c r="F831" s="3"/>
      <c r="G831" s="3"/>
      <c r="I831" s="4"/>
    </row>
    <row r="832">
      <c r="A832" s="3"/>
      <c r="B832" s="3"/>
      <c r="C832" s="3"/>
      <c r="D832" s="3"/>
      <c r="E832" s="3"/>
      <c r="F832" s="3"/>
      <c r="G832" s="3"/>
      <c r="I832" s="4"/>
    </row>
    <row r="833">
      <c r="A833" s="3"/>
      <c r="B833" s="3"/>
      <c r="C833" s="3"/>
      <c r="D833" s="3"/>
      <c r="E833" s="3"/>
      <c r="F833" s="3"/>
      <c r="G833" s="3"/>
      <c r="I833" s="4"/>
    </row>
    <row r="834">
      <c r="A834" s="3"/>
      <c r="B834" s="3"/>
      <c r="C834" s="3"/>
      <c r="D834" s="3"/>
      <c r="E834" s="3"/>
      <c r="F834" s="3"/>
      <c r="G834" s="3"/>
      <c r="I834" s="4"/>
    </row>
    <row r="835">
      <c r="A835" s="3"/>
      <c r="B835" s="3"/>
      <c r="C835" s="3"/>
      <c r="D835" s="3"/>
      <c r="E835" s="3"/>
      <c r="F835" s="3"/>
      <c r="G835" s="3"/>
      <c r="I835" s="4"/>
    </row>
    <row r="836">
      <c r="A836" s="3"/>
      <c r="B836" s="3"/>
      <c r="C836" s="3"/>
      <c r="D836" s="3"/>
      <c r="E836" s="3"/>
      <c r="F836" s="3"/>
      <c r="G836" s="3"/>
      <c r="I836" s="4"/>
    </row>
    <row r="837">
      <c r="A837" s="3"/>
      <c r="B837" s="3"/>
      <c r="C837" s="3"/>
      <c r="D837" s="3"/>
      <c r="E837" s="3"/>
      <c r="F837" s="3"/>
      <c r="G837" s="3"/>
      <c r="I837" s="4"/>
    </row>
    <row r="838">
      <c r="A838" s="3"/>
      <c r="B838" s="3"/>
      <c r="C838" s="3"/>
      <c r="D838" s="3"/>
      <c r="E838" s="3"/>
      <c r="F838" s="3"/>
      <c r="G838" s="3"/>
      <c r="I838" s="4"/>
    </row>
    <row r="839">
      <c r="A839" s="3"/>
      <c r="B839" s="3"/>
      <c r="C839" s="3"/>
      <c r="D839" s="3"/>
      <c r="E839" s="3"/>
      <c r="F839" s="3"/>
      <c r="G839" s="3"/>
      <c r="I839" s="4"/>
    </row>
    <row r="840">
      <c r="A840" s="3"/>
      <c r="B840" s="3"/>
      <c r="C840" s="3"/>
      <c r="D840" s="3"/>
      <c r="E840" s="3"/>
      <c r="F840" s="3"/>
      <c r="G840" s="3"/>
      <c r="I840" s="4"/>
    </row>
    <row r="841">
      <c r="A841" s="3"/>
      <c r="B841" s="3"/>
      <c r="C841" s="3"/>
      <c r="D841" s="3"/>
      <c r="E841" s="3"/>
      <c r="F841" s="3"/>
      <c r="G841" s="3"/>
      <c r="I841" s="4"/>
    </row>
    <row r="842">
      <c r="A842" s="3"/>
      <c r="B842" s="3"/>
      <c r="C842" s="3"/>
      <c r="D842" s="3"/>
      <c r="E842" s="3"/>
      <c r="F842" s="3"/>
      <c r="G842" s="3"/>
      <c r="I842" s="4"/>
    </row>
    <row r="843">
      <c r="A843" s="3"/>
      <c r="B843" s="3"/>
      <c r="C843" s="3"/>
      <c r="D843" s="3"/>
      <c r="E843" s="3"/>
      <c r="F843" s="3"/>
      <c r="G843" s="3"/>
      <c r="I843" s="4"/>
    </row>
    <row r="844">
      <c r="A844" s="3"/>
      <c r="B844" s="3"/>
      <c r="C844" s="3"/>
      <c r="D844" s="3"/>
      <c r="E844" s="3"/>
      <c r="F844" s="3"/>
      <c r="G844" s="3"/>
      <c r="I844" s="4"/>
    </row>
    <row r="845">
      <c r="A845" s="3"/>
      <c r="B845" s="3"/>
      <c r="C845" s="3"/>
      <c r="D845" s="3"/>
      <c r="E845" s="3"/>
      <c r="F845" s="3"/>
      <c r="G845" s="3"/>
      <c r="I845" s="4"/>
    </row>
    <row r="846">
      <c r="A846" s="3"/>
      <c r="B846" s="3"/>
      <c r="C846" s="3"/>
      <c r="D846" s="3"/>
      <c r="E846" s="3"/>
      <c r="F846" s="3"/>
      <c r="G846" s="3"/>
      <c r="I846" s="4"/>
    </row>
    <row r="847">
      <c r="A847" s="3"/>
      <c r="B847" s="3"/>
      <c r="C847" s="3"/>
      <c r="D847" s="3"/>
      <c r="E847" s="3"/>
      <c r="F847" s="3"/>
      <c r="G847" s="3"/>
      <c r="I847" s="4"/>
    </row>
    <row r="848">
      <c r="A848" s="3"/>
      <c r="B848" s="3"/>
      <c r="C848" s="3"/>
      <c r="D848" s="3"/>
      <c r="E848" s="3"/>
      <c r="F848" s="3"/>
      <c r="G848" s="3"/>
      <c r="I848" s="4"/>
    </row>
    <row r="849">
      <c r="A849" s="3"/>
      <c r="B849" s="3"/>
      <c r="C849" s="3"/>
      <c r="D849" s="3"/>
      <c r="E849" s="3"/>
      <c r="F849" s="3"/>
      <c r="G849" s="3"/>
      <c r="I849" s="4"/>
    </row>
    <row r="850">
      <c r="A850" s="3"/>
      <c r="B850" s="3"/>
      <c r="C850" s="3"/>
      <c r="D850" s="3"/>
      <c r="E850" s="3"/>
      <c r="F850" s="3"/>
      <c r="G850" s="3"/>
      <c r="I850" s="4"/>
    </row>
    <row r="851">
      <c r="A851" s="3"/>
      <c r="B851" s="3"/>
      <c r="C851" s="3"/>
      <c r="D851" s="3"/>
      <c r="E851" s="3"/>
      <c r="F851" s="3"/>
      <c r="G851" s="3"/>
      <c r="I851" s="4"/>
    </row>
    <row r="852">
      <c r="A852" s="3"/>
      <c r="B852" s="3"/>
      <c r="C852" s="3"/>
      <c r="D852" s="3"/>
      <c r="E852" s="3"/>
      <c r="F852" s="3"/>
      <c r="G852" s="3"/>
      <c r="I852" s="4"/>
    </row>
    <row r="853">
      <c r="A853" s="3"/>
      <c r="B853" s="3"/>
      <c r="C853" s="3"/>
      <c r="D853" s="3"/>
      <c r="E853" s="3"/>
      <c r="F853" s="3"/>
      <c r="G853" s="3"/>
      <c r="I853" s="4"/>
    </row>
    <row r="854">
      <c r="A854" s="3"/>
      <c r="B854" s="3"/>
      <c r="C854" s="3"/>
      <c r="D854" s="3"/>
      <c r="E854" s="3"/>
      <c r="F854" s="3"/>
      <c r="G854" s="3"/>
      <c r="I854" s="4"/>
    </row>
    <row r="855">
      <c r="A855" s="3"/>
      <c r="B855" s="3"/>
      <c r="C855" s="3"/>
      <c r="D855" s="3"/>
      <c r="E855" s="3"/>
      <c r="F855" s="3"/>
      <c r="G855" s="3"/>
      <c r="I855" s="4"/>
    </row>
    <row r="856">
      <c r="A856" s="3"/>
      <c r="B856" s="3"/>
      <c r="C856" s="3"/>
      <c r="D856" s="3"/>
      <c r="E856" s="3"/>
      <c r="F856" s="3"/>
      <c r="G856" s="3"/>
      <c r="I856" s="4"/>
    </row>
    <row r="857">
      <c r="A857" s="3"/>
      <c r="B857" s="3"/>
      <c r="C857" s="3"/>
      <c r="D857" s="3"/>
      <c r="E857" s="3"/>
      <c r="F857" s="3"/>
      <c r="G857" s="3"/>
      <c r="I857" s="4"/>
    </row>
    <row r="858">
      <c r="A858" s="3"/>
      <c r="B858" s="3"/>
      <c r="C858" s="3"/>
      <c r="D858" s="3"/>
      <c r="E858" s="3"/>
      <c r="F858" s="3"/>
      <c r="G858" s="3"/>
      <c r="I858" s="4"/>
    </row>
    <row r="859">
      <c r="A859" s="3"/>
      <c r="B859" s="3"/>
      <c r="C859" s="3"/>
      <c r="D859" s="3"/>
      <c r="E859" s="3"/>
      <c r="F859" s="3"/>
      <c r="G859" s="3"/>
      <c r="I859" s="4"/>
    </row>
    <row r="860">
      <c r="A860" s="3"/>
      <c r="B860" s="3"/>
      <c r="C860" s="3"/>
      <c r="D860" s="3"/>
      <c r="E860" s="3"/>
      <c r="F860" s="3"/>
      <c r="G860" s="3"/>
      <c r="I860" s="4"/>
    </row>
    <row r="861">
      <c r="A861" s="3"/>
      <c r="B861" s="3"/>
      <c r="C861" s="3"/>
      <c r="D861" s="3"/>
      <c r="E861" s="3"/>
      <c r="F861" s="3"/>
      <c r="G861" s="3"/>
      <c r="I861" s="4"/>
    </row>
    <row r="862">
      <c r="A862" s="3"/>
      <c r="B862" s="3"/>
      <c r="C862" s="3"/>
      <c r="D862" s="3"/>
      <c r="E862" s="3"/>
      <c r="F862" s="3"/>
      <c r="G862" s="3"/>
      <c r="I862" s="4"/>
    </row>
    <row r="863">
      <c r="A863" s="3"/>
      <c r="B863" s="3"/>
      <c r="C863" s="3"/>
      <c r="D863" s="3"/>
      <c r="E863" s="3"/>
      <c r="F863" s="3"/>
      <c r="G863" s="3"/>
      <c r="I863" s="4"/>
    </row>
    <row r="864">
      <c r="A864" s="3"/>
      <c r="B864" s="3"/>
      <c r="C864" s="3"/>
      <c r="D864" s="3"/>
      <c r="E864" s="3"/>
      <c r="F864" s="3"/>
      <c r="G864" s="3"/>
      <c r="I864" s="4"/>
    </row>
    <row r="865">
      <c r="A865" s="3"/>
      <c r="B865" s="3"/>
      <c r="C865" s="3"/>
      <c r="D865" s="3"/>
      <c r="E865" s="3"/>
      <c r="F865" s="3"/>
      <c r="G865" s="3"/>
      <c r="I865" s="4"/>
    </row>
    <row r="866">
      <c r="A866" s="3"/>
      <c r="B866" s="3"/>
      <c r="C866" s="3"/>
      <c r="D866" s="3"/>
      <c r="E866" s="3"/>
      <c r="F866" s="3"/>
      <c r="G866" s="3"/>
      <c r="I866" s="4"/>
    </row>
    <row r="867">
      <c r="A867" s="3"/>
      <c r="B867" s="3"/>
      <c r="C867" s="3"/>
      <c r="D867" s="3"/>
      <c r="E867" s="3"/>
      <c r="F867" s="3"/>
      <c r="G867" s="3"/>
      <c r="I867" s="4"/>
    </row>
    <row r="868">
      <c r="A868" s="3"/>
      <c r="B868" s="3"/>
      <c r="C868" s="3"/>
      <c r="D868" s="3"/>
      <c r="E868" s="3"/>
      <c r="F868" s="3"/>
      <c r="G868" s="3"/>
      <c r="I868" s="4"/>
    </row>
    <row r="869">
      <c r="A869" s="3"/>
      <c r="B869" s="3"/>
      <c r="C869" s="3"/>
      <c r="D869" s="3"/>
      <c r="E869" s="3"/>
      <c r="F869" s="3"/>
      <c r="G869" s="3"/>
      <c r="I869" s="4"/>
    </row>
    <row r="870">
      <c r="A870" s="3"/>
      <c r="B870" s="3"/>
      <c r="C870" s="3"/>
      <c r="D870" s="3"/>
      <c r="E870" s="3"/>
      <c r="F870" s="3"/>
      <c r="G870" s="3"/>
      <c r="I870" s="4"/>
    </row>
    <row r="871">
      <c r="A871" s="3"/>
      <c r="B871" s="3"/>
      <c r="C871" s="3"/>
      <c r="D871" s="3"/>
      <c r="E871" s="3"/>
      <c r="F871" s="3"/>
      <c r="G871" s="3"/>
      <c r="I871" s="4"/>
    </row>
    <row r="872">
      <c r="A872" s="3"/>
      <c r="B872" s="3"/>
      <c r="C872" s="3"/>
      <c r="D872" s="3"/>
      <c r="E872" s="3"/>
      <c r="F872" s="3"/>
      <c r="G872" s="3"/>
      <c r="I872" s="4"/>
    </row>
    <row r="873">
      <c r="A873" s="3"/>
      <c r="B873" s="3"/>
      <c r="C873" s="3"/>
      <c r="D873" s="3"/>
      <c r="E873" s="3"/>
      <c r="F873" s="3"/>
      <c r="G873" s="3"/>
      <c r="I873" s="4"/>
    </row>
    <row r="874">
      <c r="A874" s="3"/>
      <c r="B874" s="3"/>
      <c r="C874" s="3"/>
      <c r="D874" s="3"/>
      <c r="E874" s="3"/>
      <c r="F874" s="3"/>
      <c r="G874" s="3"/>
      <c r="I874" s="4"/>
    </row>
    <row r="875">
      <c r="A875" s="3"/>
      <c r="B875" s="3"/>
      <c r="C875" s="3"/>
      <c r="D875" s="3"/>
      <c r="E875" s="3"/>
      <c r="F875" s="3"/>
      <c r="G875" s="3"/>
      <c r="I875" s="4"/>
    </row>
    <row r="876">
      <c r="A876" s="3"/>
      <c r="B876" s="3"/>
      <c r="C876" s="3"/>
      <c r="D876" s="3"/>
      <c r="E876" s="3"/>
      <c r="F876" s="3"/>
      <c r="G876" s="3"/>
      <c r="I876" s="4"/>
    </row>
    <row r="877">
      <c r="A877" s="3"/>
      <c r="B877" s="3"/>
      <c r="C877" s="3"/>
      <c r="D877" s="3"/>
      <c r="E877" s="3"/>
      <c r="F877" s="3"/>
      <c r="G877" s="3"/>
      <c r="I877" s="4"/>
    </row>
    <row r="878">
      <c r="A878" s="3"/>
      <c r="B878" s="3"/>
      <c r="C878" s="3"/>
      <c r="D878" s="3"/>
      <c r="E878" s="3"/>
      <c r="F878" s="3"/>
      <c r="G878" s="3"/>
      <c r="I878" s="4"/>
    </row>
    <row r="879">
      <c r="A879" s="3"/>
      <c r="B879" s="3"/>
      <c r="C879" s="3"/>
      <c r="D879" s="3"/>
      <c r="E879" s="3"/>
      <c r="F879" s="3"/>
      <c r="G879" s="3"/>
      <c r="I879" s="4"/>
    </row>
    <row r="880">
      <c r="A880" s="3"/>
      <c r="B880" s="3"/>
      <c r="C880" s="3"/>
      <c r="D880" s="3"/>
      <c r="E880" s="3"/>
      <c r="F880" s="3"/>
      <c r="G880" s="3"/>
      <c r="I880" s="4"/>
    </row>
    <row r="881">
      <c r="A881" s="3"/>
      <c r="B881" s="3"/>
      <c r="C881" s="3"/>
      <c r="D881" s="3"/>
      <c r="E881" s="3"/>
      <c r="F881" s="3"/>
      <c r="G881" s="3"/>
      <c r="I881" s="4"/>
    </row>
    <row r="882">
      <c r="A882" s="3"/>
      <c r="B882" s="3"/>
      <c r="C882" s="3"/>
      <c r="D882" s="3"/>
      <c r="E882" s="3"/>
      <c r="F882" s="3"/>
      <c r="G882" s="3"/>
      <c r="I882" s="4"/>
    </row>
    <row r="883">
      <c r="A883" s="3"/>
      <c r="B883" s="3"/>
      <c r="C883" s="3"/>
      <c r="D883" s="3"/>
      <c r="E883" s="3"/>
      <c r="F883" s="3"/>
      <c r="G883" s="3"/>
      <c r="I883" s="4"/>
    </row>
    <row r="884">
      <c r="A884" s="3"/>
      <c r="B884" s="3"/>
      <c r="C884" s="3"/>
      <c r="D884" s="3"/>
      <c r="E884" s="3"/>
      <c r="F884" s="3"/>
      <c r="G884" s="3"/>
      <c r="I884" s="4"/>
    </row>
    <row r="885">
      <c r="A885" s="3"/>
      <c r="B885" s="3"/>
      <c r="C885" s="3"/>
      <c r="D885" s="3"/>
      <c r="E885" s="3"/>
      <c r="F885" s="3"/>
      <c r="G885" s="3"/>
      <c r="I885" s="4"/>
    </row>
    <row r="886">
      <c r="A886" s="3"/>
      <c r="B886" s="3"/>
      <c r="C886" s="3"/>
      <c r="D886" s="3"/>
      <c r="E886" s="3"/>
      <c r="F886" s="3"/>
      <c r="G886" s="3"/>
      <c r="I886" s="4"/>
    </row>
    <row r="887">
      <c r="A887" s="3"/>
      <c r="B887" s="3"/>
      <c r="C887" s="3"/>
      <c r="D887" s="3"/>
      <c r="E887" s="3"/>
      <c r="F887" s="3"/>
      <c r="G887" s="3"/>
      <c r="I887" s="4"/>
    </row>
    <row r="888">
      <c r="A888" s="3"/>
      <c r="B888" s="3"/>
      <c r="C888" s="3"/>
      <c r="D888" s="3"/>
      <c r="E888" s="3"/>
      <c r="F888" s="3"/>
      <c r="G888" s="3"/>
      <c r="I888" s="4"/>
    </row>
    <row r="889">
      <c r="A889" s="3"/>
      <c r="B889" s="3"/>
      <c r="C889" s="3"/>
      <c r="D889" s="3"/>
      <c r="E889" s="3"/>
      <c r="F889" s="3"/>
      <c r="G889" s="3"/>
      <c r="I889" s="4"/>
    </row>
    <row r="890">
      <c r="A890" s="3"/>
      <c r="B890" s="3"/>
      <c r="C890" s="3"/>
      <c r="D890" s="3"/>
      <c r="E890" s="3"/>
      <c r="F890" s="3"/>
      <c r="G890" s="3"/>
      <c r="I890" s="4"/>
    </row>
    <row r="891">
      <c r="A891" s="3"/>
      <c r="B891" s="3"/>
      <c r="C891" s="3"/>
      <c r="D891" s="3"/>
      <c r="E891" s="3"/>
      <c r="F891" s="3"/>
      <c r="G891" s="3"/>
      <c r="I891" s="4"/>
    </row>
    <row r="892">
      <c r="A892" s="3"/>
      <c r="B892" s="3"/>
      <c r="C892" s="3"/>
      <c r="D892" s="3"/>
      <c r="E892" s="3"/>
      <c r="F892" s="3"/>
      <c r="G892" s="3"/>
      <c r="I892" s="4"/>
    </row>
    <row r="893">
      <c r="A893" s="3"/>
      <c r="B893" s="3"/>
      <c r="C893" s="3"/>
      <c r="D893" s="3"/>
      <c r="E893" s="3"/>
      <c r="F893" s="3"/>
      <c r="G893" s="3"/>
      <c r="I893" s="4"/>
    </row>
    <row r="894">
      <c r="A894" s="3"/>
      <c r="B894" s="3"/>
      <c r="C894" s="3"/>
      <c r="D894" s="3"/>
      <c r="E894" s="3"/>
      <c r="F894" s="3"/>
      <c r="G894" s="3"/>
      <c r="I894" s="4"/>
    </row>
    <row r="895">
      <c r="A895" s="3"/>
      <c r="B895" s="3"/>
      <c r="C895" s="3"/>
      <c r="D895" s="3"/>
      <c r="E895" s="3"/>
      <c r="F895" s="3"/>
      <c r="G895" s="3"/>
      <c r="I895" s="4"/>
    </row>
    <row r="896">
      <c r="A896" s="3"/>
      <c r="B896" s="3"/>
      <c r="C896" s="3"/>
      <c r="D896" s="3"/>
      <c r="E896" s="3"/>
      <c r="F896" s="3"/>
      <c r="G896" s="3"/>
      <c r="I896" s="4"/>
    </row>
    <row r="897">
      <c r="A897" s="3"/>
      <c r="B897" s="3"/>
      <c r="C897" s="3"/>
      <c r="D897" s="3"/>
      <c r="E897" s="3"/>
      <c r="F897" s="3"/>
      <c r="G897" s="3"/>
      <c r="I897" s="4"/>
    </row>
    <row r="898">
      <c r="A898" s="3"/>
      <c r="B898" s="3"/>
      <c r="C898" s="3"/>
      <c r="D898" s="3"/>
      <c r="E898" s="3"/>
      <c r="F898" s="3"/>
      <c r="G898" s="3"/>
      <c r="I898" s="4"/>
    </row>
    <row r="899">
      <c r="A899" s="3"/>
      <c r="B899" s="3"/>
      <c r="C899" s="3"/>
      <c r="D899" s="3"/>
      <c r="E899" s="3"/>
      <c r="F899" s="3"/>
      <c r="G899" s="3"/>
      <c r="I899" s="4"/>
    </row>
    <row r="900">
      <c r="A900" s="3"/>
      <c r="B900" s="3"/>
      <c r="C900" s="3"/>
      <c r="D900" s="3"/>
      <c r="E900" s="3"/>
      <c r="F900" s="3"/>
      <c r="G900" s="3"/>
      <c r="I900" s="4"/>
    </row>
    <row r="901">
      <c r="A901" s="3"/>
      <c r="B901" s="3"/>
      <c r="C901" s="3"/>
      <c r="D901" s="3"/>
      <c r="E901" s="3"/>
      <c r="F901" s="3"/>
      <c r="G901" s="3"/>
      <c r="I901" s="4"/>
    </row>
    <row r="902">
      <c r="A902" s="3"/>
      <c r="B902" s="3"/>
      <c r="C902" s="3"/>
      <c r="D902" s="3"/>
      <c r="E902" s="3"/>
      <c r="F902" s="3"/>
      <c r="G902" s="3"/>
      <c r="I902" s="4"/>
    </row>
    <row r="903">
      <c r="A903" s="3"/>
      <c r="B903" s="3"/>
      <c r="C903" s="3"/>
      <c r="D903" s="3"/>
      <c r="E903" s="3"/>
      <c r="F903" s="3"/>
      <c r="G903" s="3"/>
      <c r="I903" s="4"/>
    </row>
    <row r="904">
      <c r="A904" s="3"/>
      <c r="B904" s="3"/>
      <c r="C904" s="3"/>
      <c r="D904" s="3"/>
      <c r="E904" s="3"/>
      <c r="F904" s="3"/>
      <c r="G904" s="3"/>
      <c r="I904" s="4"/>
    </row>
    <row r="905">
      <c r="A905" s="3"/>
      <c r="B905" s="3"/>
      <c r="C905" s="3"/>
      <c r="D905" s="3"/>
      <c r="E905" s="3"/>
      <c r="F905" s="3"/>
      <c r="G905" s="3"/>
      <c r="I905" s="4"/>
    </row>
    <row r="906">
      <c r="A906" s="3"/>
      <c r="B906" s="3"/>
      <c r="C906" s="3"/>
      <c r="D906" s="3"/>
      <c r="E906" s="3"/>
      <c r="F906" s="3"/>
      <c r="G906" s="3"/>
      <c r="I906" s="4"/>
    </row>
    <row r="907">
      <c r="A907" s="3"/>
      <c r="B907" s="3"/>
      <c r="C907" s="3"/>
      <c r="D907" s="3"/>
      <c r="E907" s="3"/>
      <c r="F907" s="3"/>
      <c r="G907" s="3"/>
      <c r="I907" s="4"/>
    </row>
    <row r="908">
      <c r="A908" s="3"/>
      <c r="B908" s="3"/>
      <c r="C908" s="3"/>
      <c r="D908" s="3"/>
      <c r="E908" s="3"/>
      <c r="F908" s="3"/>
      <c r="G908" s="3"/>
      <c r="I908" s="4"/>
    </row>
    <row r="909">
      <c r="A909" s="3"/>
      <c r="B909" s="3"/>
      <c r="C909" s="3"/>
      <c r="D909" s="3"/>
      <c r="E909" s="3"/>
      <c r="F909" s="3"/>
      <c r="G909" s="3"/>
      <c r="I909" s="4"/>
    </row>
    <row r="910">
      <c r="A910" s="3"/>
      <c r="B910" s="3"/>
      <c r="C910" s="3"/>
      <c r="D910" s="3"/>
      <c r="E910" s="3"/>
      <c r="F910" s="3"/>
      <c r="G910" s="3"/>
      <c r="I910" s="4"/>
    </row>
    <row r="911">
      <c r="A911" s="3"/>
      <c r="B911" s="3"/>
      <c r="C911" s="3"/>
      <c r="D911" s="3"/>
      <c r="E911" s="3"/>
      <c r="F911" s="3"/>
      <c r="G911" s="3"/>
      <c r="I911" s="4"/>
    </row>
    <row r="912">
      <c r="A912" s="3"/>
      <c r="B912" s="3"/>
      <c r="C912" s="3"/>
      <c r="D912" s="3"/>
      <c r="E912" s="3"/>
      <c r="F912" s="3"/>
      <c r="G912" s="3"/>
      <c r="I912" s="4"/>
    </row>
    <row r="913">
      <c r="A913" s="3"/>
      <c r="B913" s="3"/>
      <c r="C913" s="3"/>
      <c r="D913" s="3"/>
      <c r="E913" s="3"/>
      <c r="F913" s="3"/>
      <c r="G913" s="3"/>
      <c r="I913" s="4"/>
    </row>
    <row r="914">
      <c r="A914" s="3"/>
      <c r="B914" s="3"/>
      <c r="C914" s="3"/>
      <c r="D914" s="3"/>
      <c r="E914" s="3"/>
      <c r="F914" s="3"/>
      <c r="G914" s="3"/>
      <c r="I914" s="4"/>
    </row>
    <row r="915">
      <c r="A915" s="3"/>
      <c r="B915" s="3"/>
      <c r="C915" s="3"/>
      <c r="D915" s="3"/>
      <c r="E915" s="3"/>
      <c r="F915" s="3"/>
      <c r="G915" s="3"/>
      <c r="I915" s="4"/>
    </row>
    <row r="916">
      <c r="A916" s="3"/>
      <c r="B916" s="3"/>
      <c r="C916" s="3"/>
      <c r="D916" s="3"/>
      <c r="E916" s="3"/>
      <c r="F916" s="3"/>
      <c r="G916" s="3"/>
      <c r="I916" s="4"/>
    </row>
    <row r="917">
      <c r="A917" s="3"/>
      <c r="B917" s="3"/>
      <c r="C917" s="3"/>
      <c r="D917" s="3"/>
      <c r="E917" s="3"/>
      <c r="F917" s="3"/>
      <c r="G917" s="3"/>
      <c r="I917" s="4"/>
    </row>
    <row r="918">
      <c r="A918" s="3"/>
      <c r="B918" s="3"/>
      <c r="C918" s="3"/>
      <c r="D918" s="3"/>
      <c r="E918" s="3"/>
      <c r="F918" s="3"/>
      <c r="G918" s="3"/>
      <c r="I918" s="4"/>
    </row>
    <row r="919">
      <c r="A919" s="3"/>
      <c r="B919" s="3"/>
      <c r="C919" s="3"/>
      <c r="D919" s="3"/>
      <c r="E919" s="3"/>
      <c r="F919" s="3"/>
      <c r="G919" s="3"/>
      <c r="I919" s="4"/>
    </row>
    <row r="920">
      <c r="A920" s="3"/>
      <c r="B920" s="3"/>
      <c r="C920" s="3"/>
      <c r="D920" s="3"/>
      <c r="E920" s="3"/>
      <c r="F920" s="3"/>
      <c r="G920" s="3"/>
      <c r="I920" s="4"/>
    </row>
    <row r="921">
      <c r="A921" s="3"/>
      <c r="B921" s="3"/>
      <c r="C921" s="3"/>
      <c r="D921" s="3"/>
      <c r="E921" s="3"/>
      <c r="F921" s="3"/>
      <c r="G921" s="3"/>
      <c r="I921" s="4"/>
    </row>
    <row r="922">
      <c r="A922" s="3"/>
      <c r="B922" s="3"/>
      <c r="C922" s="3"/>
      <c r="D922" s="3"/>
      <c r="E922" s="3"/>
      <c r="F922" s="3"/>
      <c r="G922" s="3"/>
      <c r="I922" s="4"/>
    </row>
    <row r="923">
      <c r="A923" s="3"/>
      <c r="B923" s="3"/>
      <c r="C923" s="3"/>
      <c r="D923" s="3"/>
      <c r="E923" s="3"/>
      <c r="F923" s="3"/>
      <c r="G923" s="3"/>
      <c r="I923" s="4"/>
    </row>
    <row r="924">
      <c r="A924" s="3"/>
      <c r="B924" s="3"/>
      <c r="C924" s="3"/>
      <c r="D924" s="3"/>
      <c r="E924" s="3"/>
      <c r="F924" s="3"/>
      <c r="G924" s="3"/>
      <c r="I924" s="4"/>
    </row>
    <row r="925">
      <c r="A925" s="3"/>
      <c r="B925" s="3"/>
      <c r="C925" s="3"/>
      <c r="D925" s="3"/>
      <c r="E925" s="3"/>
      <c r="F925" s="3"/>
      <c r="G925" s="3"/>
      <c r="I925" s="4"/>
    </row>
    <row r="926">
      <c r="A926" s="3"/>
      <c r="B926" s="3"/>
      <c r="C926" s="3"/>
      <c r="D926" s="3"/>
      <c r="E926" s="3"/>
      <c r="F926" s="3"/>
      <c r="G926" s="3"/>
      <c r="I926" s="4"/>
    </row>
    <row r="927">
      <c r="A927" s="3"/>
      <c r="B927" s="3"/>
      <c r="C927" s="3"/>
      <c r="D927" s="3"/>
      <c r="E927" s="3"/>
      <c r="F927" s="3"/>
      <c r="G927" s="3"/>
      <c r="I927" s="4"/>
    </row>
    <row r="928">
      <c r="A928" s="3"/>
      <c r="B928" s="3"/>
      <c r="C928" s="3"/>
      <c r="D928" s="3"/>
      <c r="E928" s="3"/>
      <c r="F928" s="3"/>
      <c r="G928" s="3"/>
      <c r="I928" s="4"/>
    </row>
    <row r="929">
      <c r="A929" s="3"/>
      <c r="B929" s="3"/>
      <c r="C929" s="3"/>
      <c r="D929" s="3"/>
      <c r="E929" s="3"/>
      <c r="F929" s="3"/>
      <c r="G929" s="3"/>
      <c r="I929" s="4"/>
    </row>
    <row r="930">
      <c r="A930" s="3"/>
      <c r="B930" s="3"/>
      <c r="C930" s="3"/>
      <c r="D930" s="3"/>
      <c r="E930" s="3"/>
      <c r="F930" s="3"/>
      <c r="G930" s="3"/>
      <c r="I930" s="4"/>
    </row>
    <row r="931">
      <c r="A931" s="3"/>
      <c r="B931" s="3"/>
      <c r="C931" s="3"/>
      <c r="D931" s="3"/>
      <c r="E931" s="3"/>
      <c r="F931" s="3"/>
      <c r="G931" s="3"/>
      <c r="I931" s="4"/>
    </row>
    <row r="932">
      <c r="A932" s="3"/>
      <c r="B932" s="3"/>
      <c r="C932" s="3"/>
      <c r="D932" s="3"/>
      <c r="E932" s="3"/>
      <c r="F932" s="3"/>
      <c r="G932" s="3"/>
      <c r="I932" s="4"/>
    </row>
    <row r="933">
      <c r="A933" s="3"/>
      <c r="B933" s="3"/>
      <c r="C933" s="3"/>
      <c r="D933" s="3"/>
      <c r="E933" s="3"/>
      <c r="F933" s="3"/>
      <c r="G933" s="3"/>
      <c r="I933" s="4"/>
    </row>
    <row r="934">
      <c r="A934" s="3"/>
      <c r="B934" s="3"/>
      <c r="C934" s="3"/>
      <c r="D934" s="3"/>
      <c r="E934" s="3"/>
      <c r="F934" s="3"/>
      <c r="G934" s="3"/>
      <c r="I934" s="4"/>
    </row>
    <row r="935">
      <c r="A935" s="3"/>
      <c r="B935" s="3"/>
      <c r="C935" s="3"/>
      <c r="D935" s="3"/>
      <c r="E935" s="3"/>
      <c r="F935" s="3"/>
      <c r="G935" s="3"/>
      <c r="I935" s="4"/>
    </row>
    <row r="936">
      <c r="A936" s="3"/>
      <c r="B936" s="3"/>
      <c r="C936" s="3"/>
      <c r="D936" s="3"/>
      <c r="E936" s="3"/>
      <c r="F936" s="3"/>
      <c r="G936" s="3"/>
      <c r="I936" s="4"/>
    </row>
    <row r="937">
      <c r="A937" s="3"/>
      <c r="B937" s="3"/>
      <c r="C937" s="3"/>
      <c r="D937" s="3"/>
      <c r="E937" s="3"/>
      <c r="F937" s="3"/>
      <c r="G937" s="3"/>
      <c r="I937" s="4"/>
    </row>
    <row r="938">
      <c r="A938" s="3"/>
      <c r="B938" s="3"/>
      <c r="C938" s="3"/>
      <c r="D938" s="3"/>
      <c r="E938" s="3"/>
      <c r="F938" s="3"/>
      <c r="G938" s="3"/>
      <c r="I938" s="4"/>
    </row>
    <row r="939">
      <c r="A939" s="3"/>
      <c r="B939" s="3"/>
      <c r="C939" s="3"/>
      <c r="D939" s="3"/>
      <c r="E939" s="3"/>
      <c r="F939" s="3"/>
      <c r="G939" s="3"/>
      <c r="I939" s="4"/>
    </row>
    <row r="940">
      <c r="A940" s="3"/>
      <c r="B940" s="3"/>
      <c r="C940" s="3"/>
      <c r="D940" s="3"/>
      <c r="E940" s="3"/>
      <c r="F940" s="3"/>
      <c r="G940" s="3"/>
      <c r="I940" s="4"/>
    </row>
    <row r="941">
      <c r="A941" s="3"/>
      <c r="B941" s="3"/>
      <c r="C941" s="3"/>
      <c r="D941" s="3"/>
      <c r="E941" s="3"/>
      <c r="F941" s="3"/>
      <c r="G941" s="3"/>
      <c r="I941" s="4"/>
    </row>
    <row r="942">
      <c r="A942" s="3"/>
      <c r="B942" s="3"/>
      <c r="C942" s="3"/>
      <c r="D942" s="3"/>
      <c r="E942" s="3"/>
      <c r="F942" s="3"/>
      <c r="G942" s="3"/>
      <c r="I942" s="4"/>
    </row>
    <row r="943">
      <c r="A943" s="3"/>
      <c r="B943" s="3"/>
      <c r="C943" s="3"/>
      <c r="D943" s="3"/>
      <c r="E943" s="3"/>
      <c r="F943" s="3"/>
      <c r="G943" s="3"/>
      <c r="I943" s="4"/>
    </row>
    <row r="944">
      <c r="A944" s="3"/>
      <c r="B944" s="3"/>
      <c r="C944" s="3"/>
      <c r="D944" s="3"/>
      <c r="E944" s="3"/>
      <c r="F944" s="3"/>
      <c r="G944" s="3"/>
      <c r="I944" s="4"/>
    </row>
    <row r="945">
      <c r="A945" s="3"/>
      <c r="B945" s="3"/>
      <c r="C945" s="3"/>
      <c r="D945" s="3"/>
      <c r="E945" s="3"/>
      <c r="F945" s="3"/>
      <c r="G945" s="3"/>
      <c r="I945" s="4"/>
    </row>
    <row r="946">
      <c r="A946" s="3"/>
      <c r="B946" s="3"/>
      <c r="C946" s="3"/>
      <c r="D946" s="3"/>
      <c r="E946" s="3"/>
      <c r="F946" s="3"/>
      <c r="G946" s="3"/>
      <c r="I946" s="4"/>
    </row>
    <row r="947">
      <c r="A947" s="3"/>
      <c r="B947" s="3"/>
      <c r="C947" s="3"/>
      <c r="D947" s="3"/>
      <c r="E947" s="3"/>
      <c r="F947" s="3"/>
      <c r="G947" s="3"/>
      <c r="I947" s="4"/>
    </row>
    <row r="948">
      <c r="A948" s="3"/>
      <c r="B948" s="3"/>
      <c r="C948" s="3"/>
      <c r="D948" s="3"/>
      <c r="E948" s="3"/>
      <c r="F948" s="3"/>
      <c r="G948" s="3"/>
      <c r="I948" s="4"/>
    </row>
    <row r="949">
      <c r="A949" s="3"/>
      <c r="B949" s="3"/>
      <c r="C949" s="3"/>
      <c r="D949" s="3"/>
      <c r="E949" s="3"/>
      <c r="F949" s="3"/>
      <c r="G949" s="3"/>
      <c r="I949" s="4"/>
    </row>
    <row r="950">
      <c r="A950" s="3"/>
      <c r="B950" s="3"/>
      <c r="C950" s="3"/>
      <c r="D950" s="3"/>
      <c r="E950" s="3"/>
      <c r="F950" s="3"/>
      <c r="G950" s="3"/>
      <c r="I950" s="4"/>
    </row>
    <row r="951">
      <c r="A951" s="3"/>
      <c r="B951" s="3"/>
      <c r="C951" s="3"/>
      <c r="D951" s="3"/>
      <c r="E951" s="3"/>
      <c r="F951" s="3"/>
      <c r="G951" s="3"/>
      <c r="I951" s="4"/>
    </row>
    <row r="952">
      <c r="A952" s="3"/>
      <c r="B952" s="3"/>
      <c r="C952" s="3"/>
      <c r="D952" s="3"/>
      <c r="E952" s="3"/>
      <c r="F952" s="3"/>
      <c r="G952" s="3"/>
      <c r="I952" s="4"/>
    </row>
    <row r="953">
      <c r="A953" s="3"/>
      <c r="B953" s="3"/>
      <c r="C953" s="3"/>
      <c r="D953" s="3"/>
      <c r="E953" s="3"/>
      <c r="F953" s="3"/>
      <c r="G953" s="3"/>
      <c r="I953" s="4"/>
    </row>
    <row r="954">
      <c r="A954" s="3"/>
      <c r="B954" s="3"/>
      <c r="C954" s="3"/>
      <c r="D954" s="3"/>
      <c r="E954" s="3"/>
      <c r="F954" s="3"/>
      <c r="G954" s="3"/>
      <c r="I954" s="4"/>
    </row>
    <row r="955">
      <c r="A955" s="3"/>
      <c r="B955" s="3"/>
      <c r="C955" s="3"/>
      <c r="D955" s="3"/>
      <c r="E955" s="3"/>
      <c r="F955" s="3"/>
      <c r="G955" s="3"/>
      <c r="I955" s="4"/>
    </row>
    <row r="956">
      <c r="A956" s="3"/>
      <c r="B956" s="3"/>
      <c r="C956" s="3"/>
      <c r="D956" s="3"/>
      <c r="E956" s="3"/>
      <c r="F956" s="3"/>
      <c r="G956" s="3"/>
      <c r="I956" s="4"/>
    </row>
    <row r="957">
      <c r="A957" s="3"/>
      <c r="B957" s="3"/>
      <c r="C957" s="3"/>
      <c r="D957" s="3"/>
      <c r="E957" s="3"/>
      <c r="F957" s="3"/>
      <c r="G957" s="3"/>
      <c r="I957" s="4"/>
    </row>
    <row r="958">
      <c r="A958" s="3"/>
      <c r="B958" s="3"/>
      <c r="C958" s="3"/>
      <c r="D958" s="3"/>
      <c r="E958" s="3"/>
      <c r="F958" s="3"/>
      <c r="G958" s="3"/>
      <c r="I958" s="4"/>
    </row>
    <row r="959">
      <c r="A959" s="3"/>
      <c r="B959" s="3"/>
      <c r="C959" s="3"/>
      <c r="D959" s="3"/>
      <c r="E959" s="3"/>
      <c r="F959" s="3"/>
      <c r="G959" s="3"/>
      <c r="I959" s="4"/>
    </row>
    <row r="960">
      <c r="A960" s="3"/>
      <c r="B960" s="3"/>
      <c r="C960" s="3"/>
      <c r="D960" s="3"/>
      <c r="E960" s="3"/>
      <c r="F960" s="3"/>
      <c r="G960" s="3"/>
      <c r="I960" s="4"/>
    </row>
    <row r="961">
      <c r="A961" s="3"/>
      <c r="B961" s="3"/>
      <c r="C961" s="3"/>
      <c r="D961" s="3"/>
      <c r="E961" s="3"/>
      <c r="F961" s="3"/>
      <c r="G961" s="3"/>
      <c r="I961" s="4"/>
    </row>
    <row r="962">
      <c r="A962" s="3"/>
      <c r="B962" s="3"/>
      <c r="C962" s="3"/>
      <c r="D962" s="3"/>
      <c r="E962" s="3"/>
      <c r="F962" s="3"/>
      <c r="G962" s="3"/>
      <c r="I962" s="4"/>
    </row>
    <row r="963">
      <c r="A963" s="3"/>
      <c r="B963" s="3"/>
      <c r="C963" s="3"/>
      <c r="D963" s="3"/>
      <c r="E963" s="3"/>
      <c r="F963" s="3"/>
      <c r="G963" s="3"/>
      <c r="I963" s="4"/>
    </row>
    <row r="964">
      <c r="A964" s="3"/>
      <c r="B964" s="3"/>
      <c r="C964" s="3"/>
      <c r="D964" s="3"/>
      <c r="E964" s="3"/>
      <c r="F964" s="3"/>
      <c r="G964" s="3"/>
      <c r="I964" s="4"/>
    </row>
    <row r="965">
      <c r="A965" s="3"/>
      <c r="B965" s="3"/>
      <c r="C965" s="3"/>
      <c r="D965" s="3"/>
      <c r="E965" s="3"/>
      <c r="F965" s="3"/>
      <c r="G965" s="3"/>
      <c r="I965" s="4"/>
    </row>
    <row r="966">
      <c r="A966" s="3"/>
      <c r="B966" s="3"/>
      <c r="C966" s="3"/>
      <c r="D966" s="3"/>
      <c r="E966" s="3"/>
      <c r="F966" s="3"/>
      <c r="G966" s="3"/>
      <c r="I966" s="4"/>
    </row>
    <row r="967">
      <c r="A967" s="3"/>
      <c r="B967" s="3"/>
      <c r="C967" s="3"/>
      <c r="D967" s="3"/>
      <c r="E967" s="3"/>
      <c r="F967" s="3"/>
      <c r="G967" s="3"/>
      <c r="I967" s="4"/>
    </row>
    <row r="968">
      <c r="A968" s="3"/>
      <c r="B968" s="3"/>
      <c r="C968" s="3"/>
      <c r="D968" s="3"/>
      <c r="E968" s="3"/>
      <c r="F968" s="3"/>
      <c r="G968" s="3"/>
      <c r="I968" s="4"/>
    </row>
    <row r="969">
      <c r="A969" s="3"/>
      <c r="B969" s="3"/>
      <c r="C969" s="3"/>
      <c r="D969" s="3"/>
      <c r="E969" s="3"/>
      <c r="F969" s="3"/>
      <c r="G969" s="3"/>
      <c r="I969" s="4"/>
    </row>
    <row r="970">
      <c r="A970" s="3"/>
      <c r="B970" s="3"/>
      <c r="C970" s="3"/>
      <c r="D970" s="3"/>
      <c r="E970" s="3"/>
      <c r="F970" s="3"/>
      <c r="G970" s="3"/>
      <c r="I970" s="4"/>
    </row>
    <row r="971">
      <c r="A971" s="3"/>
      <c r="B971" s="3"/>
      <c r="C971" s="3"/>
      <c r="D971" s="3"/>
      <c r="E971" s="3"/>
      <c r="F971" s="3"/>
      <c r="G971" s="3"/>
      <c r="I971" s="4"/>
    </row>
    <row r="972">
      <c r="A972" s="3"/>
      <c r="B972" s="3"/>
      <c r="C972" s="3"/>
      <c r="D972" s="3"/>
      <c r="E972" s="3"/>
      <c r="F972" s="3"/>
      <c r="G972" s="3"/>
      <c r="I972" s="4"/>
    </row>
    <row r="973">
      <c r="A973" s="3"/>
      <c r="B973" s="3"/>
      <c r="C973" s="3"/>
      <c r="D973" s="3"/>
      <c r="E973" s="3"/>
      <c r="F973" s="3"/>
      <c r="G973" s="3"/>
      <c r="I973" s="4"/>
    </row>
    <row r="974">
      <c r="A974" s="3"/>
      <c r="B974" s="3"/>
      <c r="C974" s="3"/>
      <c r="D974" s="3"/>
      <c r="E974" s="3"/>
      <c r="F974" s="3"/>
      <c r="G974" s="3"/>
      <c r="I974" s="4"/>
    </row>
    <row r="975">
      <c r="A975" s="3"/>
      <c r="B975" s="3"/>
      <c r="C975" s="3"/>
      <c r="D975" s="3"/>
      <c r="E975" s="3"/>
      <c r="F975" s="3"/>
      <c r="G975" s="3"/>
      <c r="I975" s="4"/>
    </row>
    <row r="976">
      <c r="A976" s="3"/>
      <c r="B976" s="3"/>
      <c r="C976" s="3"/>
      <c r="D976" s="3"/>
      <c r="E976" s="3"/>
      <c r="F976" s="3"/>
      <c r="G976" s="3"/>
      <c r="I976" s="4"/>
    </row>
    <row r="977">
      <c r="A977" s="3"/>
      <c r="B977" s="3"/>
      <c r="C977" s="3"/>
      <c r="D977" s="3"/>
      <c r="E977" s="3"/>
      <c r="F977" s="3"/>
      <c r="G977" s="3"/>
      <c r="I977" s="4"/>
    </row>
    <row r="978">
      <c r="A978" s="3"/>
      <c r="B978" s="3"/>
      <c r="C978" s="3"/>
      <c r="D978" s="3"/>
      <c r="E978" s="3"/>
      <c r="F978" s="3"/>
      <c r="G978" s="3"/>
      <c r="I978" s="4"/>
    </row>
    <row r="979">
      <c r="A979" s="3"/>
      <c r="B979" s="3"/>
      <c r="C979" s="3"/>
      <c r="D979" s="3"/>
      <c r="E979" s="3"/>
      <c r="F979" s="3"/>
      <c r="G979" s="3"/>
      <c r="I979" s="4"/>
    </row>
    <row r="980">
      <c r="A980" s="3"/>
      <c r="B980" s="3"/>
      <c r="C980" s="3"/>
      <c r="D980" s="3"/>
      <c r="E980" s="3"/>
      <c r="F980" s="3"/>
      <c r="G980" s="3"/>
      <c r="I980" s="4"/>
    </row>
    <row r="981">
      <c r="A981" s="3"/>
      <c r="B981" s="3"/>
      <c r="C981" s="3"/>
      <c r="D981" s="3"/>
      <c r="E981" s="3"/>
      <c r="F981" s="3"/>
      <c r="G981" s="3"/>
      <c r="I981" s="4"/>
    </row>
    <row r="982">
      <c r="A982" s="3"/>
      <c r="B982" s="3"/>
      <c r="C982" s="3"/>
      <c r="D982" s="3"/>
      <c r="E982" s="3"/>
      <c r="F982" s="3"/>
      <c r="G982" s="3"/>
      <c r="I982" s="4"/>
    </row>
    <row r="983">
      <c r="A983" s="3"/>
      <c r="B983" s="3"/>
      <c r="C983" s="3"/>
      <c r="D983" s="3"/>
      <c r="E983" s="3"/>
      <c r="F983" s="3"/>
      <c r="G983" s="3"/>
      <c r="I983" s="4"/>
    </row>
    <row r="984">
      <c r="A984" s="3"/>
      <c r="B984" s="3"/>
      <c r="C984" s="3"/>
      <c r="D984" s="3"/>
      <c r="E984" s="3"/>
      <c r="F984" s="3"/>
      <c r="G984" s="3"/>
      <c r="I984" s="4"/>
    </row>
    <row r="985">
      <c r="A985" s="3"/>
      <c r="B985" s="3"/>
      <c r="C985" s="3"/>
      <c r="D985" s="3"/>
      <c r="E985" s="3"/>
      <c r="F985" s="3"/>
      <c r="G985" s="3"/>
      <c r="I985" s="4"/>
    </row>
    <row r="986">
      <c r="A986" s="3"/>
      <c r="B986" s="3"/>
      <c r="C986" s="3"/>
      <c r="D986" s="3"/>
      <c r="E986" s="3"/>
      <c r="F986" s="3"/>
      <c r="G986" s="3"/>
      <c r="I986" s="4"/>
    </row>
    <row r="987">
      <c r="A987" s="3"/>
      <c r="B987" s="3"/>
      <c r="C987" s="3"/>
      <c r="D987" s="3"/>
      <c r="E987" s="3"/>
      <c r="F987" s="3"/>
      <c r="G987" s="3"/>
      <c r="I987" s="4"/>
    </row>
    <row r="988">
      <c r="A988" s="3"/>
      <c r="B988" s="3"/>
      <c r="C988" s="3"/>
      <c r="D988" s="3"/>
      <c r="E988" s="3"/>
      <c r="F988" s="3"/>
      <c r="G988" s="3"/>
      <c r="I988" s="4"/>
    </row>
    <row r="989">
      <c r="A989" s="3"/>
      <c r="B989" s="3"/>
      <c r="C989" s="3"/>
      <c r="D989" s="3"/>
      <c r="E989" s="3"/>
      <c r="F989" s="3"/>
      <c r="G989" s="3"/>
      <c r="I989" s="4"/>
    </row>
    <row r="990">
      <c r="A990" s="3"/>
      <c r="B990" s="3"/>
      <c r="C990" s="3"/>
      <c r="D990" s="3"/>
      <c r="E990" s="3"/>
      <c r="F990" s="3"/>
      <c r="G990" s="3"/>
      <c r="I990" s="4"/>
    </row>
    <row r="991">
      <c r="A991" s="3"/>
      <c r="B991" s="3"/>
      <c r="C991" s="3"/>
      <c r="D991" s="3"/>
      <c r="E991" s="3"/>
      <c r="F991" s="3"/>
      <c r="G991" s="3"/>
      <c r="I991" s="4"/>
    </row>
    <row r="992">
      <c r="A992" s="3"/>
      <c r="B992" s="3"/>
      <c r="C992" s="3"/>
      <c r="D992" s="3"/>
      <c r="E992" s="3"/>
      <c r="F992" s="3"/>
      <c r="G992" s="3"/>
      <c r="I992" s="4"/>
    </row>
    <row r="993">
      <c r="A993" s="3"/>
      <c r="B993" s="3"/>
      <c r="C993" s="3"/>
      <c r="D993" s="3"/>
      <c r="E993" s="3"/>
      <c r="F993" s="3"/>
      <c r="G993" s="3"/>
      <c r="I993" s="4"/>
    </row>
    <row r="994">
      <c r="A994" s="3"/>
      <c r="B994" s="3"/>
      <c r="C994" s="3"/>
      <c r="D994" s="3"/>
      <c r="E994" s="3"/>
      <c r="F994" s="3"/>
      <c r="G994" s="3"/>
      <c r="I994" s="4"/>
    </row>
    <row r="995">
      <c r="A995" s="3"/>
      <c r="B995" s="3"/>
      <c r="C995" s="3"/>
      <c r="D995" s="3"/>
      <c r="E995" s="3"/>
      <c r="F995" s="3"/>
      <c r="G995" s="3"/>
      <c r="I995" s="4"/>
    </row>
    <row r="996">
      <c r="A996" s="3"/>
      <c r="B996" s="3"/>
      <c r="C996" s="3"/>
      <c r="D996" s="3"/>
      <c r="E996" s="3"/>
      <c r="F996" s="3"/>
      <c r="G996" s="3"/>
      <c r="I996" s="4"/>
    </row>
    <row r="997">
      <c r="A997" s="3"/>
      <c r="B997" s="3"/>
      <c r="C997" s="3"/>
      <c r="D997" s="3"/>
      <c r="E997" s="3"/>
      <c r="F997" s="3"/>
      <c r="G997" s="3"/>
      <c r="I997" s="4"/>
    </row>
    <row r="998">
      <c r="A998" s="3"/>
      <c r="B998" s="3"/>
      <c r="C998" s="3"/>
      <c r="D998" s="3"/>
      <c r="E998" s="3"/>
      <c r="F998" s="3"/>
      <c r="G998" s="3"/>
      <c r="I998" s="4"/>
    </row>
    <row r="999">
      <c r="A999" s="3"/>
      <c r="B999" s="3"/>
      <c r="C999" s="3"/>
      <c r="D999" s="3"/>
      <c r="E999" s="3"/>
      <c r="F999" s="3"/>
      <c r="G999" s="3"/>
      <c r="I999" s="4"/>
    </row>
    <row r="1000">
      <c r="A1000" s="3"/>
      <c r="B1000" s="3"/>
      <c r="C1000" s="3"/>
      <c r="D1000" s="3"/>
      <c r="E1000" s="3"/>
      <c r="F1000" s="3"/>
      <c r="G1000" s="3"/>
      <c r="I1000" s="4"/>
    </row>
    <row r="1001">
      <c r="A1001" s="3"/>
      <c r="B1001" s="3"/>
      <c r="C1001" s="3"/>
      <c r="D1001" s="3"/>
      <c r="E1001" s="3"/>
      <c r="F1001" s="3"/>
      <c r="G1001" s="3"/>
      <c r="I1001" s="4"/>
    </row>
    <row r="1002">
      <c r="A1002" s="3"/>
      <c r="B1002" s="3"/>
      <c r="C1002" s="3"/>
      <c r="D1002" s="3"/>
      <c r="E1002" s="3"/>
      <c r="F1002" s="3"/>
      <c r="G1002" s="3"/>
      <c r="I1002" s="4"/>
    </row>
    <row r="1003">
      <c r="A1003" s="3"/>
      <c r="B1003" s="3"/>
      <c r="C1003" s="3"/>
      <c r="D1003" s="3"/>
      <c r="E1003" s="3"/>
      <c r="F1003" s="3"/>
      <c r="G1003" s="3"/>
      <c r="I1003" s="4"/>
    </row>
    <row r="1004">
      <c r="A1004" s="3"/>
      <c r="B1004" s="3"/>
      <c r="C1004" s="3"/>
      <c r="D1004" s="3"/>
      <c r="E1004" s="3"/>
      <c r="F1004" s="3"/>
      <c r="G1004" s="3"/>
      <c r="I1004" s="4"/>
    </row>
    <row r="1005">
      <c r="A1005" s="3"/>
      <c r="B1005" s="3"/>
      <c r="C1005" s="3"/>
      <c r="D1005" s="3"/>
      <c r="E1005" s="3"/>
      <c r="F1005" s="3"/>
      <c r="G1005" s="3"/>
      <c r="I1005" s="4"/>
    </row>
    <row r="1006">
      <c r="A1006" s="3"/>
      <c r="B1006" s="3"/>
      <c r="C1006" s="3"/>
      <c r="D1006" s="3"/>
      <c r="E1006" s="3"/>
      <c r="F1006" s="3"/>
      <c r="G1006" s="3"/>
      <c r="I1006" s="4"/>
    </row>
    <row r="1007">
      <c r="A1007" s="3"/>
      <c r="B1007" s="3"/>
      <c r="C1007" s="3"/>
      <c r="D1007" s="3"/>
      <c r="E1007" s="3"/>
      <c r="F1007" s="3"/>
      <c r="G1007" s="3"/>
      <c r="I1007" s="4"/>
    </row>
    <row r="1008">
      <c r="A1008" s="3"/>
      <c r="B1008" s="3"/>
      <c r="C1008" s="3"/>
      <c r="D1008" s="3"/>
      <c r="E1008" s="3"/>
      <c r="F1008" s="3"/>
      <c r="G1008" s="3"/>
      <c r="I1008" s="4"/>
    </row>
    <row r="1009">
      <c r="A1009" s="3"/>
      <c r="B1009" s="3"/>
      <c r="C1009" s="3"/>
      <c r="D1009" s="3"/>
      <c r="E1009" s="3"/>
      <c r="F1009" s="3"/>
      <c r="G1009" s="3"/>
      <c r="I1009" s="4"/>
    </row>
    <row r="1010">
      <c r="A1010" s="3"/>
      <c r="B1010" s="3"/>
      <c r="C1010" s="3"/>
      <c r="D1010" s="3"/>
      <c r="E1010" s="3"/>
      <c r="F1010" s="3"/>
      <c r="G1010" s="3"/>
      <c r="I1010" s="4"/>
    </row>
    <row r="1011">
      <c r="A1011" s="3"/>
      <c r="B1011" s="3"/>
      <c r="C1011" s="3"/>
      <c r="D1011" s="3"/>
      <c r="E1011" s="3"/>
      <c r="F1011" s="3"/>
      <c r="G1011" s="3"/>
      <c r="I1011" s="4"/>
    </row>
    <row r="1012">
      <c r="A1012" s="3"/>
      <c r="B1012" s="3"/>
      <c r="C1012" s="3"/>
      <c r="D1012" s="3"/>
      <c r="E1012" s="3"/>
      <c r="F1012" s="3"/>
      <c r="G1012" s="3"/>
      <c r="I1012" s="4"/>
    </row>
    <row r="1013">
      <c r="A1013" s="3"/>
      <c r="B1013" s="3"/>
      <c r="C1013" s="3"/>
      <c r="D1013" s="3"/>
      <c r="E1013" s="3"/>
      <c r="F1013" s="3"/>
      <c r="G1013" s="3"/>
      <c r="I1013" s="4"/>
    </row>
    <row r="1014">
      <c r="A1014" s="3"/>
      <c r="B1014" s="3"/>
      <c r="C1014" s="3"/>
      <c r="D1014" s="3"/>
      <c r="E1014" s="3"/>
      <c r="F1014" s="3"/>
      <c r="G1014" s="3"/>
      <c r="I1014" s="4"/>
    </row>
    <row r="1015">
      <c r="A1015" s="3"/>
      <c r="B1015" s="3"/>
      <c r="C1015" s="3"/>
      <c r="D1015" s="3"/>
      <c r="E1015" s="3"/>
      <c r="F1015" s="3"/>
      <c r="G1015" s="3"/>
      <c r="I1015" s="4"/>
    </row>
    <row r="1016">
      <c r="A1016" s="3"/>
      <c r="B1016" s="3"/>
      <c r="C1016" s="3"/>
      <c r="D1016" s="3"/>
      <c r="E1016" s="3"/>
      <c r="F1016" s="3"/>
      <c r="G1016" s="3"/>
      <c r="I1016" s="4"/>
    </row>
    <row r="1017">
      <c r="A1017" s="3"/>
      <c r="B1017" s="3"/>
      <c r="C1017" s="3"/>
      <c r="D1017" s="3"/>
      <c r="E1017" s="3"/>
      <c r="F1017" s="3"/>
      <c r="G1017" s="3"/>
      <c r="I1017" s="4"/>
    </row>
    <row r="1018">
      <c r="A1018" s="3"/>
      <c r="B1018" s="3"/>
      <c r="C1018" s="3"/>
      <c r="D1018" s="3"/>
      <c r="E1018" s="3"/>
      <c r="F1018" s="3"/>
      <c r="G1018" s="3"/>
      <c r="I1018" s="4"/>
    </row>
    <row r="1019">
      <c r="A1019" s="3"/>
      <c r="B1019" s="3"/>
      <c r="C1019" s="3"/>
      <c r="D1019" s="3"/>
      <c r="E1019" s="3"/>
      <c r="F1019" s="3"/>
      <c r="G1019" s="3"/>
      <c r="I1019" s="4"/>
    </row>
    <row r="1020">
      <c r="A1020" s="3"/>
      <c r="B1020" s="3"/>
      <c r="C1020" s="3"/>
      <c r="D1020" s="3"/>
      <c r="E1020" s="3"/>
      <c r="F1020" s="3"/>
      <c r="G1020" s="3"/>
      <c r="I1020" s="4"/>
    </row>
    <row r="1021">
      <c r="A1021" s="3"/>
      <c r="B1021" s="3"/>
      <c r="C1021" s="3"/>
      <c r="D1021" s="3"/>
      <c r="E1021" s="3"/>
      <c r="F1021" s="3"/>
      <c r="G1021" s="3"/>
      <c r="I1021" s="4"/>
    </row>
    <row r="1022">
      <c r="A1022" s="3"/>
      <c r="B1022" s="3"/>
      <c r="C1022" s="3"/>
      <c r="D1022" s="3"/>
      <c r="E1022" s="3"/>
      <c r="F1022" s="3"/>
      <c r="G1022" s="3"/>
      <c r="I1022" s="4"/>
    </row>
    <row r="1023">
      <c r="A1023" s="3"/>
      <c r="B1023" s="3"/>
      <c r="C1023" s="3"/>
      <c r="D1023" s="3"/>
      <c r="E1023" s="3"/>
      <c r="F1023" s="3"/>
      <c r="G1023" s="3"/>
      <c r="I1023" s="4"/>
    </row>
    <row r="1024">
      <c r="A1024" s="3"/>
      <c r="B1024" s="3"/>
      <c r="C1024" s="3"/>
      <c r="D1024" s="3"/>
      <c r="E1024" s="3"/>
      <c r="F1024" s="3"/>
      <c r="G1024" s="3"/>
      <c r="I1024" s="4"/>
    </row>
    <row r="1025">
      <c r="A1025" s="3"/>
      <c r="B1025" s="3"/>
      <c r="C1025" s="3"/>
      <c r="D1025" s="3"/>
      <c r="E1025" s="3"/>
      <c r="F1025" s="3"/>
      <c r="G1025" s="3"/>
      <c r="I1025" s="4"/>
    </row>
    <row r="1026">
      <c r="A1026" s="3"/>
      <c r="B1026" s="3"/>
      <c r="C1026" s="3"/>
      <c r="D1026" s="3"/>
      <c r="E1026" s="3"/>
      <c r="F1026" s="3"/>
      <c r="G1026" s="3"/>
      <c r="I1026" s="4"/>
    </row>
    <row r="1027">
      <c r="A1027" s="3"/>
      <c r="B1027" s="3"/>
      <c r="C1027" s="3"/>
      <c r="D1027" s="3"/>
      <c r="E1027" s="3"/>
      <c r="F1027" s="3"/>
      <c r="G1027" s="3"/>
      <c r="I1027" s="4"/>
    </row>
    <row r="1028">
      <c r="A1028" s="3"/>
      <c r="B1028" s="3"/>
      <c r="C1028" s="3"/>
      <c r="D1028" s="3"/>
      <c r="E1028" s="3"/>
      <c r="F1028" s="3"/>
      <c r="G1028" s="3"/>
      <c r="I1028" s="4"/>
    </row>
    <row r="1029">
      <c r="A1029" s="3"/>
      <c r="B1029" s="3"/>
      <c r="C1029" s="3"/>
      <c r="D1029" s="3"/>
      <c r="E1029" s="3"/>
      <c r="F1029" s="3"/>
      <c r="G1029" s="3"/>
      <c r="I1029" s="4"/>
    </row>
    <row r="1030">
      <c r="A1030" s="3"/>
      <c r="B1030" s="3"/>
      <c r="C1030" s="3"/>
      <c r="D1030" s="3"/>
      <c r="E1030" s="3"/>
      <c r="F1030" s="3"/>
      <c r="G1030" s="3"/>
      <c r="I1030" s="4"/>
    </row>
    <row r="1031">
      <c r="A1031" s="3"/>
      <c r="B1031" s="3"/>
      <c r="C1031" s="3"/>
      <c r="D1031" s="3"/>
      <c r="E1031" s="3"/>
      <c r="F1031" s="3"/>
      <c r="G1031" s="3"/>
      <c r="I1031" s="4"/>
    </row>
    <row r="1032">
      <c r="A1032" s="3"/>
      <c r="B1032" s="3"/>
      <c r="C1032" s="3"/>
      <c r="D1032" s="3"/>
      <c r="E1032" s="3"/>
      <c r="F1032" s="3"/>
      <c r="G1032" s="3"/>
      <c r="I1032" s="4"/>
    </row>
    <row r="1033">
      <c r="A1033" s="3"/>
      <c r="B1033" s="3"/>
      <c r="C1033" s="3"/>
      <c r="D1033" s="3"/>
      <c r="E1033" s="3"/>
      <c r="F1033" s="3"/>
      <c r="G1033" s="3"/>
      <c r="I1033" s="4"/>
    </row>
    <row r="1034">
      <c r="A1034" s="3"/>
      <c r="B1034" s="3"/>
      <c r="C1034" s="3"/>
      <c r="D1034" s="3"/>
      <c r="E1034" s="3"/>
      <c r="F1034" s="3"/>
      <c r="G1034" s="3"/>
      <c r="I1034" s="4"/>
    </row>
    <row r="1035">
      <c r="A1035" s="3"/>
      <c r="B1035" s="3"/>
      <c r="C1035" s="3"/>
      <c r="D1035" s="3"/>
      <c r="E1035" s="3"/>
      <c r="F1035" s="3"/>
      <c r="G1035" s="3"/>
      <c r="I1035" s="4"/>
    </row>
    <row r="1036">
      <c r="A1036" s="3"/>
      <c r="B1036" s="3"/>
      <c r="C1036" s="3"/>
      <c r="D1036" s="3"/>
      <c r="E1036" s="3"/>
      <c r="F1036" s="3"/>
      <c r="G1036" s="3"/>
      <c r="I1036" s="4"/>
    </row>
    <row r="1037">
      <c r="A1037" s="3"/>
      <c r="B1037" s="3"/>
      <c r="C1037" s="3"/>
      <c r="D1037" s="3"/>
      <c r="E1037" s="3"/>
      <c r="F1037" s="3"/>
      <c r="G1037" s="3"/>
      <c r="I1037" s="4"/>
    </row>
    <row r="1038">
      <c r="A1038" s="3"/>
      <c r="B1038" s="3"/>
      <c r="C1038" s="3"/>
      <c r="D1038" s="3"/>
      <c r="E1038" s="3"/>
      <c r="F1038" s="3"/>
      <c r="G1038" s="3"/>
      <c r="I1038" s="4"/>
    </row>
    <row r="1039">
      <c r="A1039" s="3"/>
      <c r="B1039" s="3"/>
      <c r="C1039" s="3"/>
      <c r="D1039" s="3"/>
      <c r="E1039" s="3"/>
      <c r="F1039" s="3"/>
      <c r="G1039" s="3"/>
      <c r="I1039" s="4"/>
    </row>
    <row r="1040">
      <c r="A1040" s="3"/>
      <c r="B1040" s="3"/>
      <c r="C1040" s="3"/>
      <c r="D1040" s="3"/>
      <c r="E1040" s="3"/>
      <c r="F1040" s="3"/>
      <c r="G1040" s="3"/>
      <c r="I1040" s="4"/>
    </row>
    <row r="1041">
      <c r="A1041" s="3"/>
      <c r="B1041" s="3"/>
      <c r="C1041" s="3"/>
      <c r="D1041" s="3"/>
      <c r="E1041" s="3"/>
      <c r="F1041" s="3"/>
      <c r="G1041" s="3"/>
      <c r="I1041" s="4"/>
    </row>
    <row r="1042">
      <c r="A1042" s="3"/>
      <c r="B1042" s="3"/>
      <c r="C1042" s="3"/>
      <c r="D1042" s="3"/>
      <c r="E1042" s="3"/>
      <c r="F1042" s="3"/>
      <c r="G1042" s="3"/>
      <c r="I1042" s="4"/>
    </row>
    <row r="1043">
      <c r="A1043" s="3"/>
      <c r="B1043" s="3"/>
      <c r="C1043" s="3"/>
      <c r="D1043" s="3"/>
      <c r="E1043" s="3"/>
      <c r="F1043" s="3"/>
      <c r="G1043" s="3"/>
      <c r="I1043" s="4"/>
    </row>
    <row r="1044">
      <c r="A1044" s="3"/>
      <c r="B1044" s="3"/>
      <c r="C1044" s="3"/>
      <c r="D1044" s="3"/>
      <c r="E1044" s="3"/>
      <c r="F1044" s="3"/>
      <c r="G1044" s="3"/>
      <c r="I1044" s="4"/>
    </row>
    <row r="1045">
      <c r="A1045" s="3"/>
      <c r="B1045" s="3"/>
      <c r="C1045" s="3"/>
      <c r="D1045" s="3"/>
      <c r="E1045" s="3"/>
      <c r="F1045" s="3"/>
      <c r="G1045" s="3"/>
      <c r="I1045" s="4"/>
    </row>
    <row r="1046">
      <c r="A1046" s="3"/>
      <c r="B1046" s="3"/>
      <c r="C1046" s="3"/>
      <c r="D1046" s="3"/>
      <c r="E1046" s="3"/>
      <c r="F1046" s="3"/>
      <c r="G1046" s="3"/>
      <c r="I1046" s="4"/>
    </row>
    <row r="1047">
      <c r="A1047" s="3"/>
      <c r="B1047" s="3"/>
      <c r="C1047" s="3"/>
      <c r="D1047" s="3"/>
      <c r="E1047" s="3"/>
      <c r="F1047" s="3"/>
      <c r="G1047" s="3"/>
      <c r="I1047" s="4"/>
    </row>
    <row r="1048">
      <c r="A1048" s="3"/>
      <c r="B1048" s="3"/>
      <c r="C1048" s="3"/>
      <c r="D1048" s="3"/>
      <c r="E1048" s="3"/>
      <c r="F1048" s="3"/>
      <c r="G1048" s="3"/>
      <c r="I1048" s="4"/>
    </row>
    <row r="1049">
      <c r="A1049" s="3"/>
      <c r="B1049" s="3"/>
      <c r="C1049" s="3"/>
      <c r="D1049" s="3"/>
      <c r="E1049" s="3"/>
      <c r="F1049" s="3"/>
      <c r="G1049" s="3"/>
      <c r="I1049" s="4"/>
    </row>
    <row r="1050">
      <c r="A1050" s="3"/>
      <c r="B1050" s="3"/>
      <c r="C1050" s="3"/>
      <c r="D1050" s="3"/>
      <c r="E1050" s="3"/>
      <c r="F1050" s="3"/>
      <c r="G1050" s="3"/>
      <c r="I1050" s="4"/>
    </row>
    <row r="1051">
      <c r="A1051" s="3"/>
      <c r="B1051" s="3"/>
      <c r="C1051" s="3"/>
      <c r="D1051" s="3"/>
      <c r="E1051" s="3"/>
      <c r="F1051" s="3"/>
      <c r="G1051" s="3"/>
      <c r="I1051" s="4"/>
    </row>
    <row r="1052">
      <c r="A1052" s="3"/>
      <c r="B1052" s="3"/>
      <c r="C1052" s="3"/>
      <c r="D1052" s="3"/>
      <c r="E1052" s="3"/>
      <c r="F1052" s="3"/>
      <c r="G1052" s="3"/>
      <c r="I1052" s="4"/>
    </row>
    <row r="1053">
      <c r="A1053" s="3"/>
      <c r="B1053" s="3"/>
      <c r="C1053" s="3"/>
      <c r="D1053" s="3"/>
      <c r="E1053" s="3"/>
      <c r="F1053" s="3"/>
      <c r="G1053" s="3"/>
      <c r="I1053" s="4"/>
    </row>
    <row r="1054">
      <c r="A1054" s="3"/>
      <c r="B1054" s="3"/>
      <c r="C1054" s="3"/>
      <c r="D1054" s="3"/>
      <c r="E1054" s="3"/>
      <c r="F1054" s="3"/>
      <c r="G1054" s="3"/>
      <c r="I1054" s="4"/>
    </row>
    <row r="1055">
      <c r="A1055" s="3"/>
      <c r="B1055" s="3"/>
      <c r="C1055" s="3"/>
      <c r="D1055" s="3"/>
      <c r="E1055" s="3"/>
      <c r="F1055" s="3"/>
      <c r="G1055" s="3"/>
      <c r="I1055" s="4"/>
    </row>
    <row r="1056">
      <c r="A1056" s="3"/>
      <c r="B1056" s="3"/>
      <c r="C1056" s="3"/>
      <c r="D1056" s="3"/>
      <c r="E1056" s="3"/>
      <c r="F1056" s="3"/>
      <c r="G1056" s="3"/>
      <c r="I1056" s="4"/>
    </row>
    <row r="1057">
      <c r="A1057" s="3"/>
      <c r="B1057" s="3"/>
      <c r="C1057" s="3"/>
      <c r="D1057" s="3"/>
      <c r="E1057" s="3"/>
      <c r="F1057" s="3"/>
      <c r="G1057" s="3"/>
      <c r="I1057" s="4"/>
    </row>
    <row r="1058">
      <c r="A1058" s="3"/>
      <c r="B1058" s="3"/>
      <c r="C1058" s="3"/>
      <c r="D1058" s="3"/>
      <c r="E1058" s="3"/>
      <c r="F1058" s="3"/>
      <c r="G1058" s="3"/>
      <c r="I1058" s="4"/>
    </row>
    <row r="1059">
      <c r="A1059" s="3"/>
      <c r="B1059" s="3"/>
      <c r="C1059" s="3"/>
      <c r="D1059" s="3"/>
      <c r="E1059" s="3"/>
      <c r="F1059" s="3"/>
      <c r="G1059" s="3"/>
      <c r="I1059" s="4"/>
    </row>
    <row r="1060">
      <c r="A1060" s="3"/>
      <c r="B1060" s="3"/>
      <c r="C1060" s="3"/>
      <c r="D1060" s="3"/>
      <c r="E1060" s="3"/>
      <c r="F1060" s="3"/>
      <c r="G1060" s="3"/>
      <c r="I1060" s="4"/>
    </row>
    <row r="1061">
      <c r="A1061" s="3"/>
      <c r="B1061" s="3"/>
      <c r="C1061" s="3"/>
      <c r="D1061" s="3"/>
      <c r="E1061" s="3"/>
      <c r="F1061" s="3"/>
      <c r="G1061" s="3"/>
      <c r="I1061" s="4"/>
    </row>
    <row r="1062">
      <c r="A1062" s="3"/>
      <c r="B1062" s="3"/>
      <c r="C1062" s="3"/>
      <c r="D1062" s="3"/>
      <c r="E1062" s="3"/>
      <c r="F1062" s="3"/>
      <c r="G1062" s="3"/>
      <c r="I1062" s="4"/>
    </row>
    <row r="1063">
      <c r="A1063" s="3"/>
      <c r="B1063" s="3"/>
      <c r="C1063" s="3"/>
      <c r="D1063" s="3"/>
      <c r="E1063" s="3"/>
      <c r="F1063" s="3"/>
      <c r="G1063" s="3"/>
      <c r="I1063" s="4"/>
    </row>
    <row r="1064">
      <c r="A1064" s="3"/>
      <c r="B1064" s="3"/>
      <c r="C1064" s="3"/>
      <c r="D1064" s="3"/>
      <c r="E1064" s="3"/>
      <c r="F1064" s="3"/>
      <c r="G1064" s="3"/>
      <c r="I1064" s="4"/>
    </row>
    <row r="1065">
      <c r="A1065" s="3"/>
      <c r="B1065" s="3"/>
      <c r="C1065" s="3"/>
      <c r="D1065" s="3"/>
      <c r="E1065" s="3"/>
      <c r="F1065" s="3"/>
      <c r="G1065" s="3"/>
      <c r="I1065" s="4"/>
    </row>
    <row r="1066">
      <c r="A1066" s="3"/>
      <c r="B1066" s="3"/>
      <c r="C1066" s="3"/>
      <c r="D1066" s="3"/>
      <c r="E1066" s="3"/>
      <c r="F1066" s="3"/>
      <c r="G1066" s="3"/>
      <c r="I1066" s="4"/>
    </row>
    <row r="1067">
      <c r="A1067" s="3"/>
      <c r="B1067" s="3"/>
      <c r="C1067" s="3"/>
      <c r="D1067" s="3"/>
      <c r="E1067" s="3"/>
      <c r="F1067" s="3"/>
      <c r="G1067" s="3"/>
      <c r="I1067" s="4"/>
    </row>
    <row r="1068">
      <c r="A1068" s="3"/>
      <c r="B1068" s="3"/>
      <c r="C1068" s="3"/>
      <c r="D1068" s="3"/>
      <c r="E1068" s="3"/>
      <c r="F1068" s="3"/>
      <c r="G1068" s="3"/>
      <c r="I1068" s="4"/>
    </row>
    <row r="1069">
      <c r="A1069" s="3"/>
      <c r="B1069" s="3"/>
      <c r="C1069" s="3"/>
      <c r="D1069" s="3"/>
      <c r="E1069" s="3"/>
      <c r="F1069" s="3"/>
      <c r="G1069" s="3"/>
      <c r="I1069" s="4"/>
    </row>
    <row r="1070">
      <c r="A1070" s="3"/>
      <c r="B1070" s="3"/>
      <c r="C1070" s="3"/>
      <c r="D1070" s="3"/>
      <c r="E1070" s="3"/>
      <c r="F1070" s="3"/>
      <c r="G1070" s="3"/>
      <c r="I1070" s="4"/>
    </row>
    <row r="1071">
      <c r="A1071" s="3"/>
      <c r="B1071" s="3"/>
      <c r="C1071" s="3"/>
      <c r="D1071" s="3"/>
      <c r="E1071" s="3"/>
      <c r="F1071" s="3"/>
      <c r="G1071" s="3"/>
      <c r="I1071" s="4"/>
    </row>
    <row r="1072">
      <c r="A1072" s="3"/>
      <c r="B1072" s="3"/>
      <c r="C1072" s="3"/>
      <c r="D1072" s="3"/>
      <c r="E1072" s="3"/>
      <c r="F1072" s="3"/>
      <c r="G1072" s="3"/>
      <c r="I1072" s="4"/>
    </row>
    <row r="1073">
      <c r="A1073" s="3"/>
      <c r="B1073" s="3"/>
      <c r="C1073" s="3"/>
      <c r="D1073" s="3"/>
      <c r="E1073" s="3"/>
      <c r="F1073" s="3"/>
      <c r="G1073" s="3"/>
      <c r="I1073" s="4"/>
    </row>
    <row r="1074">
      <c r="A1074" s="3"/>
      <c r="B1074" s="3"/>
      <c r="C1074" s="3"/>
      <c r="D1074" s="3"/>
      <c r="E1074" s="3"/>
      <c r="F1074" s="3"/>
      <c r="G1074" s="3"/>
      <c r="I1074" s="4"/>
    </row>
    <row r="1075">
      <c r="A1075" s="3"/>
      <c r="B1075" s="3"/>
      <c r="C1075" s="3"/>
      <c r="D1075" s="3"/>
      <c r="E1075" s="3"/>
      <c r="F1075" s="3"/>
      <c r="G1075" s="3"/>
      <c r="I1075" s="4"/>
    </row>
    <row r="1076">
      <c r="A1076" s="3"/>
      <c r="B1076" s="3"/>
      <c r="C1076" s="3"/>
      <c r="D1076" s="3"/>
      <c r="E1076" s="3"/>
      <c r="F1076" s="3"/>
      <c r="G1076" s="3"/>
      <c r="I1076" s="4"/>
    </row>
    <row r="1077">
      <c r="A1077" s="3"/>
      <c r="B1077" s="3"/>
      <c r="C1077" s="3"/>
      <c r="D1077" s="3"/>
      <c r="E1077" s="3"/>
      <c r="F1077" s="3"/>
      <c r="G1077" s="3"/>
      <c r="I1077" s="4"/>
    </row>
    <row r="1078">
      <c r="A1078" s="3"/>
      <c r="B1078" s="3"/>
      <c r="C1078" s="3"/>
      <c r="D1078" s="3"/>
      <c r="E1078" s="3"/>
      <c r="F1078" s="3"/>
      <c r="G1078" s="3"/>
      <c r="I1078" s="4"/>
    </row>
    <row r="1079">
      <c r="A1079" s="3"/>
      <c r="B1079" s="3"/>
      <c r="C1079" s="3"/>
      <c r="D1079" s="3"/>
      <c r="E1079" s="3"/>
      <c r="F1079" s="3"/>
      <c r="G1079" s="3"/>
      <c r="I1079" s="4"/>
    </row>
    <row r="1080">
      <c r="A1080" s="3"/>
      <c r="B1080" s="3"/>
      <c r="C1080" s="3"/>
      <c r="D1080" s="3"/>
      <c r="E1080" s="3"/>
      <c r="F1080" s="3"/>
      <c r="G1080" s="3"/>
      <c r="I1080" s="4"/>
    </row>
    <row r="1081">
      <c r="A1081" s="3"/>
      <c r="B1081" s="3"/>
      <c r="C1081" s="3"/>
      <c r="D1081" s="3"/>
      <c r="E1081" s="3"/>
      <c r="F1081" s="3"/>
      <c r="G1081" s="3"/>
      <c r="I1081" s="4"/>
    </row>
    <row r="1082">
      <c r="A1082" s="3"/>
      <c r="B1082" s="3"/>
      <c r="C1082" s="3"/>
      <c r="D1082" s="3"/>
      <c r="E1082" s="3"/>
      <c r="F1082" s="3"/>
      <c r="G1082" s="3"/>
      <c r="I1082" s="4"/>
    </row>
    <row r="1083">
      <c r="A1083" s="3"/>
      <c r="B1083" s="3"/>
      <c r="C1083" s="3"/>
      <c r="D1083" s="3"/>
      <c r="E1083" s="3"/>
      <c r="F1083" s="3"/>
      <c r="G1083" s="3"/>
      <c r="I1083" s="4"/>
    </row>
    <row r="1084">
      <c r="A1084" s="3"/>
      <c r="B1084" s="3"/>
      <c r="C1084" s="3"/>
      <c r="D1084" s="3"/>
      <c r="E1084" s="3"/>
      <c r="F1084" s="3"/>
      <c r="G1084" s="3"/>
      <c r="I1084" s="4"/>
    </row>
    <row r="1085">
      <c r="A1085" s="3"/>
      <c r="B1085" s="3"/>
      <c r="C1085" s="3"/>
      <c r="D1085" s="3"/>
      <c r="E1085" s="3"/>
      <c r="F1085" s="3"/>
      <c r="G1085" s="3"/>
      <c r="I1085" s="4"/>
    </row>
    <row r="1086">
      <c r="A1086" s="3"/>
      <c r="B1086" s="3"/>
      <c r="C1086" s="3"/>
      <c r="D1086" s="3"/>
      <c r="E1086" s="3"/>
      <c r="F1086" s="3"/>
      <c r="G1086" s="3"/>
      <c r="I1086" s="4"/>
    </row>
    <row r="1087">
      <c r="A1087" s="3"/>
      <c r="B1087" s="3"/>
      <c r="C1087" s="3"/>
      <c r="D1087" s="3"/>
      <c r="E1087" s="3"/>
      <c r="F1087" s="3"/>
      <c r="G1087" s="3"/>
      <c r="I1087" s="4"/>
    </row>
    <row r="1088">
      <c r="A1088" s="3"/>
      <c r="B1088" s="3"/>
      <c r="C1088" s="3"/>
      <c r="D1088" s="3"/>
      <c r="E1088" s="3"/>
      <c r="F1088" s="3"/>
      <c r="G1088" s="3"/>
      <c r="I1088" s="4"/>
    </row>
    <row r="1089">
      <c r="A1089" s="3"/>
      <c r="B1089" s="3"/>
      <c r="C1089" s="3"/>
      <c r="D1089" s="3"/>
      <c r="E1089" s="3"/>
      <c r="F1089" s="3"/>
      <c r="G1089" s="3"/>
      <c r="I1089" s="4"/>
    </row>
    <row r="1090">
      <c r="A1090" s="3"/>
      <c r="B1090" s="3"/>
      <c r="C1090" s="3"/>
      <c r="D1090" s="3"/>
      <c r="E1090" s="3"/>
      <c r="F1090" s="3"/>
      <c r="G1090" s="3"/>
      <c r="I1090" s="4"/>
    </row>
    <row r="1091">
      <c r="A1091" s="3"/>
      <c r="B1091" s="3"/>
      <c r="C1091" s="3"/>
      <c r="D1091" s="3"/>
      <c r="E1091" s="3"/>
      <c r="F1091" s="3"/>
      <c r="G1091" s="3"/>
      <c r="I1091" s="4"/>
    </row>
    <row r="1092">
      <c r="A1092" s="3"/>
      <c r="B1092" s="3"/>
      <c r="C1092" s="3"/>
      <c r="D1092" s="3"/>
      <c r="E1092" s="3"/>
      <c r="F1092" s="3"/>
      <c r="G1092" s="3"/>
      <c r="I1092" s="4"/>
    </row>
    <row r="1093">
      <c r="A1093" s="3"/>
      <c r="B1093" s="3"/>
      <c r="C1093" s="3"/>
      <c r="D1093" s="3"/>
      <c r="E1093" s="3"/>
      <c r="F1093" s="3"/>
      <c r="G1093" s="3"/>
      <c r="I1093" s="4"/>
    </row>
    <row r="1094">
      <c r="A1094" s="3"/>
      <c r="B1094" s="3"/>
      <c r="C1094" s="3"/>
      <c r="D1094" s="3"/>
      <c r="E1094" s="3"/>
      <c r="F1094" s="3"/>
      <c r="G1094" s="3"/>
      <c r="I1094" s="4"/>
    </row>
    <row r="1095">
      <c r="A1095" s="3"/>
      <c r="B1095" s="3"/>
      <c r="C1095" s="3"/>
      <c r="D1095" s="3"/>
      <c r="E1095" s="3"/>
      <c r="F1095" s="3"/>
      <c r="G1095" s="3"/>
      <c r="I1095" s="4"/>
    </row>
    <row r="1096">
      <c r="A1096" s="3"/>
      <c r="B1096" s="3"/>
      <c r="C1096" s="3"/>
      <c r="D1096" s="3"/>
      <c r="E1096" s="3"/>
      <c r="F1096" s="3"/>
      <c r="G1096" s="3"/>
      <c r="I1096" s="4"/>
    </row>
    <row r="1097">
      <c r="A1097" s="3"/>
      <c r="B1097" s="3"/>
      <c r="C1097" s="3"/>
      <c r="D1097" s="3"/>
      <c r="E1097" s="3"/>
      <c r="F1097" s="3"/>
      <c r="G1097" s="3"/>
      <c r="I1097" s="4"/>
    </row>
    <row r="1098">
      <c r="A1098" s="3"/>
      <c r="B1098" s="3"/>
      <c r="C1098" s="3"/>
      <c r="D1098" s="3"/>
      <c r="E1098" s="3"/>
      <c r="F1098" s="3"/>
      <c r="G1098" s="3"/>
      <c r="I1098" s="4"/>
    </row>
    <row r="1099">
      <c r="A1099" s="3"/>
      <c r="B1099" s="3"/>
      <c r="C1099" s="3"/>
      <c r="D1099" s="3"/>
      <c r="E1099" s="3"/>
      <c r="F1099" s="3"/>
      <c r="G1099" s="3"/>
      <c r="I1099" s="4"/>
    </row>
    <row r="1100">
      <c r="A1100" s="3"/>
      <c r="B1100" s="3"/>
      <c r="C1100" s="3"/>
      <c r="D1100" s="3"/>
      <c r="E1100" s="3"/>
      <c r="F1100" s="3"/>
      <c r="G1100" s="3"/>
      <c r="I1100" s="4"/>
    </row>
    <row r="1101">
      <c r="A1101" s="3"/>
      <c r="B1101" s="3"/>
      <c r="C1101" s="3"/>
      <c r="D1101" s="3"/>
      <c r="E1101" s="3"/>
      <c r="F1101" s="3"/>
      <c r="G1101" s="3"/>
      <c r="I1101" s="4"/>
    </row>
    <row r="1102">
      <c r="A1102" s="3"/>
      <c r="B1102" s="3"/>
      <c r="C1102" s="3"/>
      <c r="D1102" s="3"/>
      <c r="E1102" s="3"/>
      <c r="F1102" s="3"/>
      <c r="G1102" s="3"/>
      <c r="I1102" s="4"/>
    </row>
    <row r="1103">
      <c r="A1103" s="3"/>
      <c r="B1103" s="3"/>
      <c r="C1103" s="3"/>
      <c r="D1103" s="3"/>
      <c r="E1103" s="3"/>
      <c r="F1103" s="3"/>
      <c r="G1103" s="3"/>
      <c r="I1103" s="4"/>
    </row>
    <row r="1104">
      <c r="A1104" s="3"/>
      <c r="B1104" s="3"/>
      <c r="C1104" s="3"/>
      <c r="D1104" s="3"/>
      <c r="E1104" s="3"/>
      <c r="F1104" s="3"/>
      <c r="G1104" s="3"/>
      <c r="I1104" s="4"/>
    </row>
    <row r="1105">
      <c r="A1105" s="3"/>
      <c r="B1105" s="3"/>
      <c r="C1105" s="3"/>
      <c r="D1105" s="3"/>
      <c r="E1105" s="3"/>
      <c r="F1105" s="3"/>
      <c r="G1105" s="3"/>
      <c r="I1105" s="4"/>
    </row>
    <row r="1106">
      <c r="A1106" s="3"/>
      <c r="B1106" s="3"/>
      <c r="C1106" s="3"/>
      <c r="D1106" s="3"/>
      <c r="E1106" s="3"/>
      <c r="F1106" s="3"/>
      <c r="G1106" s="3"/>
      <c r="I1106" s="4"/>
    </row>
    <row r="1107">
      <c r="A1107" s="3"/>
      <c r="B1107" s="3"/>
      <c r="C1107" s="3"/>
      <c r="D1107" s="3"/>
      <c r="E1107" s="3"/>
      <c r="F1107" s="3"/>
      <c r="G1107" s="3"/>
      <c r="I1107" s="4"/>
    </row>
    <row r="1108">
      <c r="A1108" s="3"/>
      <c r="B1108" s="3"/>
      <c r="C1108" s="3"/>
      <c r="D1108" s="3"/>
      <c r="E1108" s="3"/>
      <c r="F1108" s="3"/>
      <c r="G1108" s="3"/>
      <c r="I1108" s="4"/>
    </row>
    <row r="1109">
      <c r="A1109" s="3"/>
      <c r="B1109" s="3"/>
      <c r="C1109" s="3"/>
      <c r="D1109" s="3"/>
      <c r="E1109" s="3"/>
      <c r="F1109" s="3"/>
      <c r="G1109" s="3"/>
      <c r="I1109" s="4"/>
    </row>
    <row r="1110">
      <c r="A1110" s="3"/>
      <c r="B1110" s="3"/>
      <c r="C1110" s="3"/>
      <c r="D1110" s="3"/>
      <c r="E1110" s="3"/>
      <c r="F1110" s="3"/>
      <c r="G1110" s="3"/>
      <c r="I1110" s="4"/>
    </row>
    <row r="1111">
      <c r="A1111" s="3"/>
      <c r="B1111" s="3"/>
      <c r="C1111" s="3"/>
      <c r="D1111" s="3"/>
      <c r="E1111" s="3"/>
      <c r="F1111" s="3"/>
      <c r="G1111" s="3"/>
      <c r="I1111" s="4"/>
    </row>
    <row r="1112">
      <c r="A1112" s="3"/>
      <c r="B1112" s="3"/>
      <c r="C1112" s="3"/>
      <c r="D1112" s="3"/>
      <c r="E1112" s="3"/>
      <c r="F1112" s="3"/>
      <c r="G1112" s="3"/>
      <c r="I1112" s="4"/>
    </row>
    <row r="1113">
      <c r="A1113" s="3"/>
      <c r="B1113" s="3"/>
      <c r="C1113" s="3"/>
      <c r="D1113" s="3"/>
      <c r="E1113" s="3"/>
      <c r="F1113" s="3"/>
      <c r="G1113" s="3"/>
      <c r="I1113" s="4"/>
    </row>
    <row r="1114">
      <c r="A1114" s="3"/>
      <c r="B1114" s="3"/>
      <c r="C1114" s="3"/>
      <c r="D1114" s="3"/>
      <c r="E1114" s="3"/>
      <c r="F1114" s="3"/>
      <c r="G1114" s="3"/>
      <c r="I1114" s="4"/>
    </row>
    <row r="1115">
      <c r="A1115" s="3"/>
      <c r="B1115" s="3"/>
      <c r="C1115" s="3"/>
      <c r="D1115" s="3"/>
      <c r="E1115" s="3"/>
      <c r="F1115" s="3"/>
      <c r="G1115" s="3"/>
      <c r="I1115" s="4"/>
    </row>
    <row r="1116">
      <c r="A1116" s="3"/>
      <c r="B1116" s="3"/>
      <c r="C1116" s="3"/>
      <c r="D1116" s="3"/>
      <c r="E1116" s="3"/>
      <c r="F1116" s="3"/>
      <c r="G1116" s="3"/>
      <c r="I1116" s="4"/>
    </row>
    <row r="1117">
      <c r="A1117" s="3"/>
      <c r="B1117" s="3"/>
      <c r="C1117" s="3"/>
      <c r="D1117" s="3"/>
      <c r="E1117" s="3"/>
      <c r="F1117" s="3"/>
      <c r="G1117" s="3"/>
      <c r="I1117" s="4"/>
    </row>
    <row r="1118">
      <c r="A1118" s="3"/>
      <c r="B1118" s="3"/>
      <c r="C1118" s="3"/>
      <c r="D1118" s="3"/>
      <c r="E1118" s="3"/>
      <c r="F1118" s="3"/>
      <c r="G1118" s="3"/>
      <c r="I1118" s="4"/>
    </row>
    <row r="1119">
      <c r="A1119" s="3"/>
      <c r="B1119" s="3"/>
      <c r="C1119" s="3"/>
      <c r="D1119" s="3"/>
      <c r="E1119" s="3"/>
      <c r="F1119" s="3"/>
      <c r="G1119" s="3"/>
      <c r="I1119" s="4"/>
    </row>
    <row r="1120">
      <c r="A1120" s="3"/>
      <c r="B1120" s="3"/>
      <c r="C1120" s="3"/>
      <c r="D1120" s="3"/>
      <c r="E1120" s="3"/>
      <c r="F1120" s="3"/>
      <c r="G1120" s="3"/>
      <c r="I1120" s="4"/>
    </row>
    <row r="1121">
      <c r="A1121" s="3"/>
      <c r="B1121" s="3"/>
      <c r="C1121" s="3"/>
      <c r="D1121" s="3"/>
      <c r="E1121" s="3"/>
      <c r="F1121" s="3"/>
      <c r="G1121" s="3"/>
      <c r="I1121" s="4"/>
    </row>
    <row r="1122">
      <c r="A1122" s="3"/>
      <c r="B1122" s="3"/>
      <c r="C1122" s="3"/>
      <c r="D1122" s="3"/>
      <c r="E1122" s="3"/>
      <c r="F1122" s="3"/>
      <c r="G1122" s="3"/>
      <c r="I1122" s="4"/>
    </row>
    <row r="1123">
      <c r="A1123" s="3"/>
      <c r="B1123" s="3"/>
      <c r="C1123" s="3"/>
      <c r="D1123" s="3"/>
      <c r="E1123" s="3"/>
      <c r="F1123" s="3"/>
      <c r="G1123" s="3"/>
      <c r="I1123" s="4"/>
    </row>
    <row r="1124">
      <c r="A1124" s="3"/>
      <c r="B1124" s="3"/>
      <c r="C1124" s="3"/>
      <c r="D1124" s="3"/>
      <c r="E1124" s="3"/>
      <c r="F1124" s="3"/>
      <c r="G1124" s="3"/>
      <c r="I1124" s="4"/>
    </row>
    <row r="1125">
      <c r="A1125" s="3"/>
      <c r="B1125" s="3"/>
      <c r="C1125" s="3"/>
      <c r="D1125" s="3"/>
      <c r="E1125" s="3"/>
      <c r="F1125" s="3"/>
      <c r="G1125" s="3"/>
      <c r="I1125" s="4"/>
    </row>
    <row r="1126">
      <c r="A1126" s="3"/>
      <c r="B1126" s="3"/>
      <c r="C1126" s="3"/>
      <c r="D1126" s="3"/>
      <c r="E1126" s="3"/>
      <c r="F1126" s="3"/>
      <c r="G1126" s="3"/>
      <c r="I1126" s="4"/>
    </row>
    <row r="1127">
      <c r="A1127" s="3"/>
      <c r="B1127" s="3"/>
      <c r="C1127" s="3"/>
      <c r="D1127" s="3"/>
      <c r="E1127" s="3"/>
      <c r="F1127" s="3"/>
      <c r="G1127" s="3"/>
      <c r="I1127" s="4"/>
    </row>
    <row r="1128">
      <c r="A1128" s="3"/>
      <c r="B1128" s="3"/>
      <c r="C1128" s="3"/>
      <c r="D1128" s="3"/>
      <c r="E1128" s="3"/>
      <c r="F1128" s="3"/>
      <c r="G1128" s="3"/>
      <c r="I1128" s="4"/>
    </row>
    <row r="1129">
      <c r="A1129" s="3"/>
      <c r="B1129" s="3"/>
      <c r="C1129" s="3"/>
      <c r="D1129" s="3"/>
      <c r="E1129" s="3"/>
      <c r="F1129" s="3"/>
      <c r="G1129" s="3"/>
      <c r="I1129" s="4"/>
    </row>
    <row r="1130">
      <c r="A1130" s="3"/>
      <c r="B1130" s="3"/>
      <c r="C1130" s="3"/>
      <c r="D1130" s="3"/>
      <c r="E1130" s="3"/>
      <c r="F1130" s="3"/>
      <c r="G1130" s="3"/>
      <c r="I1130" s="4"/>
    </row>
    <row r="1131">
      <c r="A1131" s="3"/>
      <c r="B1131" s="3"/>
      <c r="C1131" s="3"/>
      <c r="D1131" s="3"/>
      <c r="E1131" s="3"/>
      <c r="F1131" s="3"/>
      <c r="G1131" s="3"/>
      <c r="I1131" s="4"/>
    </row>
    <row r="1132">
      <c r="A1132" s="3"/>
      <c r="B1132" s="3"/>
      <c r="C1132" s="3"/>
      <c r="D1132" s="3"/>
      <c r="E1132" s="3"/>
      <c r="F1132" s="3"/>
      <c r="G1132" s="3"/>
      <c r="I1132" s="4"/>
    </row>
    <row r="1133">
      <c r="A1133" s="3"/>
      <c r="B1133" s="3"/>
      <c r="C1133" s="3"/>
      <c r="D1133" s="3"/>
      <c r="E1133" s="3"/>
      <c r="F1133" s="3"/>
      <c r="G1133" s="3"/>
      <c r="I1133" s="4"/>
    </row>
    <row r="1134">
      <c r="A1134" s="3"/>
      <c r="B1134" s="3"/>
      <c r="C1134" s="3"/>
      <c r="D1134" s="3"/>
      <c r="E1134" s="3"/>
      <c r="F1134" s="3"/>
      <c r="G1134" s="3"/>
      <c r="I1134" s="4"/>
    </row>
    <row r="1135">
      <c r="A1135" s="3"/>
      <c r="B1135" s="3"/>
      <c r="C1135" s="3"/>
      <c r="D1135" s="3"/>
      <c r="E1135" s="3"/>
      <c r="F1135" s="3"/>
      <c r="G1135" s="3"/>
      <c r="I1135" s="4"/>
    </row>
    <row r="1136">
      <c r="A1136" s="3"/>
      <c r="B1136" s="3"/>
      <c r="C1136" s="3"/>
      <c r="D1136" s="3"/>
      <c r="E1136" s="3"/>
      <c r="F1136" s="3"/>
      <c r="G1136" s="3"/>
      <c r="I1136" s="4"/>
    </row>
    <row r="1137">
      <c r="A1137" s="3"/>
      <c r="B1137" s="3"/>
      <c r="C1137" s="3"/>
      <c r="D1137" s="3"/>
      <c r="E1137" s="3"/>
      <c r="F1137" s="3"/>
      <c r="G1137" s="3"/>
      <c r="I1137" s="4"/>
    </row>
    <row r="1138">
      <c r="A1138" s="3"/>
      <c r="B1138" s="3"/>
      <c r="C1138" s="3"/>
      <c r="D1138" s="3"/>
      <c r="E1138" s="3"/>
      <c r="F1138" s="3"/>
      <c r="G1138" s="3"/>
      <c r="I1138" s="4"/>
    </row>
    <row r="1139">
      <c r="A1139" s="3"/>
      <c r="B1139" s="3"/>
      <c r="C1139" s="3"/>
      <c r="D1139" s="3"/>
      <c r="E1139" s="3"/>
      <c r="F1139" s="3"/>
      <c r="G1139" s="3"/>
      <c r="I1139" s="4"/>
    </row>
    <row r="1140">
      <c r="A1140" s="3"/>
      <c r="B1140" s="3"/>
      <c r="C1140" s="3"/>
      <c r="D1140" s="3"/>
      <c r="E1140" s="3"/>
      <c r="F1140" s="3"/>
      <c r="G1140" s="3"/>
      <c r="I1140" s="4"/>
    </row>
    <row r="1141">
      <c r="A1141" s="3"/>
      <c r="B1141" s="3"/>
      <c r="C1141" s="3"/>
      <c r="D1141" s="3"/>
      <c r="E1141" s="3"/>
      <c r="F1141" s="3"/>
      <c r="G1141" s="3"/>
      <c r="I1141" s="4"/>
    </row>
    <row r="1142">
      <c r="A1142" s="3"/>
      <c r="B1142" s="3"/>
      <c r="C1142" s="3"/>
      <c r="D1142" s="3"/>
      <c r="E1142" s="3"/>
      <c r="F1142" s="3"/>
      <c r="G1142" s="3"/>
      <c r="I1142" s="4"/>
    </row>
    <row r="1143">
      <c r="A1143" s="3"/>
      <c r="B1143" s="3"/>
      <c r="C1143" s="3"/>
      <c r="D1143" s="3"/>
      <c r="E1143" s="3"/>
      <c r="F1143" s="3"/>
      <c r="G1143" s="3"/>
      <c r="I1143" s="4"/>
    </row>
    <row r="1144">
      <c r="A1144" s="3"/>
      <c r="B1144" s="3"/>
      <c r="C1144" s="3"/>
      <c r="D1144" s="3"/>
      <c r="E1144" s="3"/>
      <c r="F1144" s="3"/>
      <c r="G1144" s="3"/>
      <c r="I1144" s="4"/>
    </row>
    <row r="1145">
      <c r="A1145" s="3"/>
      <c r="B1145" s="3"/>
      <c r="C1145" s="3"/>
      <c r="D1145" s="3"/>
      <c r="E1145" s="3"/>
      <c r="F1145" s="3"/>
      <c r="G1145" s="3"/>
      <c r="I1145" s="4"/>
    </row>
    <row r="1146">
      <c r="A1146" s="3"/>
      <c r="B1146" s="3"/>
      <c r="C1146" s="3"/>
      <c r="D1146" s="3"/>
      <c r="E1146" s="3"/>
      <c r="F1146" s="3"/>
      <c r="G1146" s="3"/>
      <c r="I1146" s="4"/>
    </row>
    <row r="1147">
      <c r="A1147" s="3"/>
      <c r="B1147" s="3"/>
      <c r="C1147" s="3"/>
      <c r="D1147" s="3"/>
      <c r="E1147" s="3"/>
      <c r="F1147" s="3"/>
      <c r="G1147" s="3"/>
      <c r="I1147" s="4"/>
    </row>
    <row r="1148">
      <c r="A1148" s="3"/>
      <c r="B1148" s="3"/>
      <c r="C1148" s="3"/>
      <c r="D1148" s="3"/>
      <c r="E1148" s="3"/>
      <c r="F1148" s="3"/>
      <c r="G1148" s="3"/>
      <c r="I1148" s="4"/>
    </row>
    <row r="1149">
      <c r="A1149" s="3"/>
      <c r="B1149" s="3"/>
      <c r="C1149" s="3"/>
      <c r="D1149" s="3"/>
      <c r="E1149" s="3"/>
      <c r="F1149" s="3"/>
      <c r="G1149" s="3"/>
      <c r="I1149" s="4"/>
    </row>
    <row r="1150">
      <c r="A1150" s="3"/>
      <c r="B1150" s="3"/>
      <c r="C1150" s="3"/>
      <c r="D1150" s="3"/>
      <c r="E1150" s="3"/>
      <c r="F1150" s="3"/>
      <c r="G1150" s="3"/>
      <c r="I1150" s="4"/>
    </row>
    <row r="1151">
      <c r="A1151" s="3"/>
      <c r="B1151" s="3"/>
      <c r="C1151" s="3"/>
      <c r="D1151" s="3"/>
      <c r="E1151" s="3"/>
      <c r="F1151" s="3"/>
      <c r="G1151" s="3"/>
      <c r="I1151" s="4"/>
    </row>
    <row r="1152">
      <c r="A1152" s="3"/>
      <c r="B1152" s="3"/>
      <c r="C1152" s="3"/>
      <c r="D1152" s="3"/>
      <c r="E1152" s="3"/>
      <c r="F1152" s="3"/>
      <c r="G1152" s="3"/>
      <c r="I1152" s="4"/>
    </row>
    <row r="1153">
      <c r="A1153" s="3"/>
      <c r="B1153" s="3"/>
      <c r="C1153" s="3"/>
      <c r="D1153" s="3"/>
      <c r="E1153" s="3"/>
      <c r="F1153" s="3"/>
      <c r="G1153" s="3"/>
      <c r="I1153" s="4"/>
    </row>
    <row r="1154">
      <c r="A1154" s="3"/>
      <c r="B1154" s="3"/>
      <c r="C1154" s="3"/>
      <c r="D1154" s="3"/>
      <c r="E1154" s="3"/>
      <c r="F1154" s="3"/>
      <c r="G1154" s="3"/>
      <c r="I1154" s="4"/>
    </row>
    <row r="1155">
      <c r="A1155" s="3"/>
      <c r="B1155" s="3"/>
      <c r="C1155" s="3"/>
      <c r="D1155" s="3"/>
      <c r="E1155" s="3"/>
      <c r="F1155" s="3"/>
      <c r="G1155" s="3"/>
      <c r="I1155" s="4"/>
    </row>
    <row r="1156">
      <c r="A1156" s="3"/>
      <c r="B1156" s="3"/>
      <c r="C1156" s="3"/>
      <c r="D1156" s="3"/>
      <c r="E1156" s="3"/>
      <c r="F1156" s="3"/>
      <c r="G1156" s="3"/>
      <c r="I1156" s="4"/>
    </row>
    <row r="1157">
      <c r="A1157" s="3"/>
      <c r="B1157" s="3"/>
      <c r="C1157" s="3"/>
      <c r="D1157" s="3"/>
      <c r="E1157" s="3"/>
      <c r="F1157" s="3"/>
      <c r="G1157" s="3"/>
      <c r="I1157" s="4"/>
    </row>
    <row r="1158">
      <c r="A1158" s="3"/>
      <c r="B1158" s="3"/>
      <c r="C1158" s="3"/>
      <c r="D1158" s="3"/>
      <c r="E1158" s="3"/>
      <c r="F1158" s="3"/>
      <c r="G1158" s="3"/>
      <c r="I1158" s="4"/>
    </row>
    <row r="1159">
      <c r="A1159" s="3"/>
      <c r="B1159" s="3"/>
      <c r="C1159" s="3"/>
      <c r="D1159" s="3"/>
      <c r="E1159" s="3"/>
      <c r="F1159" s="3"/>
      <c r="G1159" s="3"/>
      <c r="I1159" s="4"/>
    </row>
    <row r="1160">
      <c r="A1160" s="3"/>
      <c r="B1160" s="3"/>
      <c r="C1160" s="3"/>
      <c r="D1160" s="3"/>
      <c r="E1160" s="3"/>
      <c r="F1160" s="3"/>
      <c r="G1160" s="3"/>
      <c r="I1160" s="4"/>
    </row>
    <row r="1161">
      <c r="A1161" s="3"/>
      <c r="B1161" s="3"/>
      <c r="C1161" s="3"/>
      <c r="D1161" s="3"/>
      <c r="E1161" s="3"/>
      <c r="F1161" s="3"/>
      <c r="G1161" s="3"/>
      <c r="I1161" s="4"/>
    </row>
    <row r="1162">
      <c r="A1162" s="3"/>
      <c r="B1162" s="3"/>
      <c r="C1162" s="3"/>
      <c r="D1162" s="3"/>
      <c r="E1162" s="3"/>
      <c r="F1162" s="3"/>
      <c r="G1162" s="3"/>
      <c r="I1162" s="4"/>
    </row>
    <row r="1163">
      <c r="A1163" s="3"/>
      <c r="B1163" s="3"/>
      <c r="C1163" s="3"/>
      <c r="D1163" s="3"/>
      <c r="E1163" s="3"/>
      <c r="F1163" s="3"/>
      <c r="G1163" s="3"/>
      <c r="I1163" s="4"/>
    </row>
    <row r="1164">
      <c r="A1164" s="3"/>
      <c r="B1164" s="3"/>
      <c r="C1164" s="3"/>
      <c r="D1164" s="3"/>
      <c r="E1164" s="3"/>
      <c r="F1164" s="3"/>
      <c r="G1164" s="3"/>
      <c r="I1164" s="4"/>
    </row>
    <row r="1165">
      <c r="A1165" s="3"/>
      <c r="B1165" s="3"/>
      <c r="C1165" s="3"/>
      <c r="D1165" s="3"/>
      <c r="E1165" s="3"/>
      <c r="F1165" s="3"/>
      <c r="G1165" s="3"/>
      <c r="I1165" s="4"/>
    </row>
    <row r="1166">
      <c r="A1166" s="3"/>
      <c r="B1166" s="3"/>
      <c r="C1166" s="3"/>
      <c r="D1166" s="3"/>
      <c r="E1166" s="3"/>
      <c r="F1166" s="3"/>
      <c r="G1166" s="3"/>
      <c r="I1166" s="4"/>
    </row>
    <row r="1167">
      <c r="A1167" s="3"/>
      <c r="B1167" s="3"/>
      <c r="C1167" s="3"/>
      <c r="D1167" s="3"/>
      <c r="E1167" s="3"/>
      <c r="F1167" s="3"/>
      <c r="G1167" s="3"/>
      <c r="I1167" s="4"/>
    </row>
    <row r="1168">
      <c r="A1168" s="3"/>
      <c r="B1168" s="3"/>
      <c r="C1168" s="3"/>
      <c r="D1168" s="3"/>
      <c r="E1168" s="3"/>
      <c r="F1168" s="3"/>
      <c r="G1168" s="3"/>
      <c r="I1168" s="4"/>
    </row>
    <row r="1169">
      <c r="A1169" s="3"/>
      <c r="B1169" s="3"/>
      <c r="C1169" s="3"/>
      <c r="D1169" s="3"/>
      <c r="E1169" s="3"/>
      <c r="F1169" s="3"/>
      <c r="G1169" s="3"/>
      <c r="I1169" s="4"/>
    </row>
    <row r="1170">
      <c r="A1170" s="3"/>
      <c r="B1170" s="3"/>
      <c r="C1170" s="3"/>
      <c r="D1170" s="3"/>
      <c r="E1170" s="3"/>
      <c r="F1170" s="3"/>
      <c r="G1170" s="3"/>
      <c r="I1170" s="4"/>
    </row>
    <row r="1171">
      <c r="A1171" s="3"/>
      <c r="B1171" s="3"/>
      <c r="C1171" s="3"/>
      <c r="D1171" s="3"/>
      <c r="E1171" s="3"/>
      <c r="F1171" s="3"/>
      <c r="G1171" s="3"/>
      <c r="I1171" s="4"/>
    </row>
    <row r="1172">
      <c r="A1172" s="3"/>
      <c r="B1172" s="3"/>
      <c r="C1172" s="3"/>
      <c r="D1172" s="3"/>
      <c r="E1172" s="3"/>
      <c r="F1172" s="3"/>
      <c r="G1172" s="3"/>
      <c r="I1172" s="4"/>
    </row>
    <row r="1173">
      <c r="A1173" s="3"/>
      <c r="B1173" s="3"/>
      <c r="C1173" s="3"/>
      <c r="D1173" s="3"/>
      <c r="E1173" s="3"/>
      <c r="F1173" s="3"/>
      <c r="G1173" s="3"/>
      <c r="I1173" s="4"/>
    </row>
    <row r="1174">
      <c r="A1174" s="3"/>
      <c r="B1174" s="3"/>
      <c r="C1174" s="3"/>
      <c r="D1174" s="3"/>
      <c r="E1174" s="3"/>
      <c r="F1174" s="3"/>
      <c r="G1174" s="3"/>
      <c r="I1174" s="4"/>
    </row>
    <row r="1175">
      <c r="A1175" s="3"/>
      <c r="B1175" s="3"/>
      <c r="C1175" s="3"/>
      <c r="D1175" s="3"/>
      <c r="E1175" s="3"/>
      <c r="F1175" s="3"/>
      <c r="G1175" s="3"/>
      <c r="I1175" s="4"/>
    </row>
    <row r="1176">
      <c r="A1176" s="3"/>
      <c r="B1176" s="3"/>
      <c r="C1176" s="3"/>
      <c r="D1176" s="3"/>
      <c r="E1176" s="3"/>
      <c r="F1176" s="3"/>
      <c r="G1176" s="3"/>
      <c r="I1176" s="4"/>
    </row>
    <row r="1177">
      <c r="A1177" s="3"/>
      <c r="B1177" s="3"/>
      <c r="C1177" s="3"/>
      <c r="D1177" s="3"/>
      <c r="E1177" s="3"/>
      <c r="F1177" s="3"/>
      <c r="G1177" s="3"/>
      <c r="I1177" s="4"/>
    </row>
    <row r="1178">
      <c r="A1178" s="3"/>
      <c r="B1178" s="3"/>
      <c r="C1178" s="3"/>
      <c r="D1178" s="3"/>
      <c r="E1178" s="3"/>
      <c r="F1178" s="3"/>
      <c r="G1178" s="3"/>
      <c r="I1178" s="4"/>
    </row>
    <row r="1179">
      <c r="A1179" s="3"/>
      <c r="B1179" s="3"/>
      <c r="C1179" s="3"/>
      <c r="D1179" s="3"/>
      <c r="E1179" s="3"/>
      <c r="F1179" s="3"/>
      <c r="G1179" s="3"/>
      <c r="I1179" s="4"/>
    </row>
    <row r="1180">
      <c r="A1180" s="3"/>
      <c r="B1180" s="3"/>
      <c r="C1180" s="3"/>
      <c r="D1180" s="3"/>
      <c r="E1180" s="3"/>
      <c r="F1180" s="3"/>
      <c r="G1180" s="3"/>
      <c r="I1180" s="4"/>
    </row>
    <row r="1181">
      <c r="A1181" s="3"/>
      <c r="B1181" s="3"/>
      <c r="C1181" s="3"/>
      <c r="D1181" s="3"/>
      <c r="E1181" s="3"/>
      <c r="F1181" s="3"/>
      <c r="G1181" s="3"/>
      <c r="I1181" s="4"/>
    </row>
    <row r="1182">
      <c r="A1182" s="3"/>
      <c r="B1182" s="3"/>
      <c r="C1182" s="3"/>
      <c r="D1182" s="3"/>
      <c r="E1182" s="3"/>
      <c r="F1182" s="3"/>
      <c r="G1182" s="3"/>
      <c r="I1182" s="4"/>
    </row>
    <row r="1183">
      <c r="A1183" s="3"/>
      <c r="B1183" s="3"/>
      <c r="C1183" s="3"/>
      <c r="D1183" s="3"/>
      <c r="E1183" s="3"/>
      <c r="F1183" s="3"/>
      <c r="G1183" s="3"/>
      <c r="I1183" s="4"/>
    </row>
    <row r="1184">
      <c r="A1184" s="3"/>
      <c r="B1184" s="3"/>
      <c r="C1184" s="3"/>
      <c r="D1184" s="3"/>
      <c r="E1184" s="3"/>
      <c r="F1184" s="3"/>
      <c r="G1184" s="3"/>
      <c r="I1184" s="4"/>
    </row>
    <row r="1185">
      <c r="A1185" s="3"/>
      <c r="B1185" s="3"/>
      <c r="C1185" s="3"/>
      <c r="D1185" s="3"/>
      <c r="E1185" s="3"/>
      <c r="F1185" s="3"/>
      <c r="G1185" s="3"/>
      <c r="I1185" s="4"/>
    </row>
    <row r="1186">
      <c r="A1186" s="3"/>
      <c r="B1186" s="3"/>
      <c r="C1186" s="3"/>
      <c r="D1186" s="3"/>
      <c r="E1186" s="3"/>
      <c r="F1186" s="3"/>
      <c r="G1186" s="3"/>
      <c r="I1186" s="4"/>
    </row>
    <row r="1187">
      <c r="A1187" s="3"/>
      <c r="B1187" s="3"/>
      <c r="C1187" s="3"/>
      <c r="D1187" s="3"/>
      <c r="E1187" s="3"/>
      <c r="F1187" s="3"/>
      <c r="G1187" s="3"/>
      <c r="I1187" s="4"/>
    </row>
    <row r="1188">
      <c r="A1188" s="3"/>
      <c r="B1188" s="3"/>
      <c r="C1188" s="3"/>
      <c r="D1188" s="3"/>
      <c r="E1188" s="3"/>
      <c r="F1188" s="3"/>
      <c r="G1188" s="3"/>
      <c r="I1188" s="4"/>
    </row>
    <row r="1189">
      <c r="A1189" s="3"/>
      <c r="B1189" s="3"/>
      <c r="C1189" s="3"/>
      <c r="D1189" s="3"/>
      <c r="E1189" s="3"/>
      <c r="F1189" s="3"/>
      <c r="G1189" s="3"/>
      <c r="I1189" s="4"/>
    </row>
    <row r="1190">
      <c r="A1190" s="3"/>
      <c r="B1190" s="3"/>
      <c r="C1190" s="3"/>
      <c r="D1190" s="3"/>
      <c r="E1190" s="3"/>
      <c r="F1190" s="3"/>
      <c r="G1190" s="3"/>
      <c r="I1190" s="4"/>
    </row>
    <row r="1191">
      <c r="A1191" s="3"/>
      <c r="B1191" s="3"/>
      <c r="C1191" s="3"/>
      <c r="D1191" s="3"/>
      <c r="E1191" s="3"/>
      <c r="F1191" s="3"/>
      <c r="G1191" s="3"/>
      <c r="I1191" s="4"/>
    </row>
    <row r="1192">
      <c r="A1192" s="3"/>
      <c r="B1192" s="3"/>
      <c r="C1192" s="3"/>
      <c r="D1192" s="3"/>
      <c r="E1192" s="3"/>
      <c r="F1192" s="3"/>
      <c r="G1192" s="3"/>
      <c r="I1192" s="4"/>
    </row>
    <row r="1193">
      <c r="A1193" s="3"/>
      <c r="B1193" s="3"/>
      <c r="C1193" s="3"/>
      <c r="D1193" s="3"/>
      <c r="E1193" s="3"/>
      <c r="F1193" s="3"/>
      <c r="G1193" s="3"/>
      <c r="I1193" s="4"/>
    </row>
    <row r="1194">
      <c r="A1194" s="3"/>
      <c r="B1194" s="3"/>
      <c r="C1194" s="3"/>
      <c r="D1194" s="3"/>
      <c r="E1194" s="3"/>
      <c r="F1194" s="3"/>
      <c r="G1194" s="3"/>
      <c r="I1194" s="4"/>
    </row>
    <row r="1195">
      <c r="A1195" s="3"/>
      <c r="B1195" s="3"/>
      <c r="C1195" s="3"/>
      <c r="D1195" s="3"/>
      <c r="E1195" s="3"/>
      <c r="F1195" s="3"/>
      <c r="G1195" s="3"/>
      <c r="I1195" s="4"/>
    </row>
    <row r="1196">
      <c r="A1196" s="3"/>
      <c r="B1196" s="3"/>
      <c r="C1196" s="3"/>
      <c r="D1196" s="3"/>
      <c r="E1196" s="3"/>
      <c r="F1196" s="3"/>
      <c r="G1196" s="3"/>
      <c r="I1196" s="4"/>
    </row>
    <row r="1197">
      <c r="A1197" s="3"/>
      <c r="B1197" s="3"/>
      <c r="C1197" s="3"/>
      <c r="D1197" s="3"/>
      <c r="E1197" s="3"/>
      <c r="F1197" s="3"/>
      <c r="G1197" s="3"/>
      <c r="I1197" s="4"/>
    </row>
    <row r="1198">
      <c r="A1198" s="3"/>
      <c r="B1198" s="3"/>
      <c r="C1198" s="3"/>
      <c r="D1198" s="3"/>
      <c r="E1198" s="3"/>
      <c r="F1198" s="3"/>
      <c r="G1198" s="3"/>
      <c r="I1198" s="4"/>
    </row>
    <row r="1199">
      <c r="A1199" s="3"/>
      <c r="B1199" s="3"/>
      <c r="C1199" s="3"/>
      <c r="D1199" s="3"/>
      <c r="E1199" s="3"/>
      <c r="F1199" s="3"/>
      <c r="G1199" s="3"/>
      <c r="I1199" s="4"/>
    </row>
    <row r="1200">
      <c r="A1200" s="3"/>
      <c r="B1200" s="3"/>
      <c r="C1200" s="3"/>
      <c r="D1200" s="3"/>
      <c r="E1200" s="3"/>
      <c r="F1200" s="3"/>
      <c r="G1200" s="3"/>
      <c r="I1200" s="4"/>
    </row>
    <row r="1201">
      <c r="A1201" s="3"/>
      <c r="B1201" s="3"/>
      <c r="C1201" s="3"/>
      <c r="D1201" s="3"/>
      <c r="E1201" s="3"/>
      <c r="F1201" s="3"/>
      <c r="G1201" s="3"/>
      <c r="I1201" s="4"/>
    </row>
    <row r="1202">
      <c r="A1202" s="3"/>
      <c r="B1202" s="3"/>
      <c r="C1202" s="3"/>
      <c r="D1202" s="3"/>
      <c r="E1202" s="3"/>
      <c r="F1202" s="3"/>
      <c r="G1202" s="3"/>
      <c r="I1202" s="4"/>
    </row>
    <row r="1203">
      <c r="A1203" s="3"/>
      <c r="B1203" s="3"/>
      <c r="C1203" s="3"/>
      <c r="D1203" s="3"/>
      <c r="E1203" s="3"/>
      <c r="F1203" s="3"/>
      <c r="G1203" s="3"/>
      <c r="I1203" s="4"/>
    </row>
    <row r="1204">
      <c r="A1204" s="3"/>
      <c r="B1204" s="3"/>
      <c r="C1204" s="3"/>
      <c r="D1204" s="3"/>
      <c r="E1204" s="3"/>
      <c r="F1204" s="3"/>
      <c r="G1204" s="3"/>
      <c r="I1204" s="4"/>
    </row>
    <row r="1205">
      <c r="A1205" s="3"/>
      <c r="B1205" s="3"/>
      <c r="C1205" s="3"/>
      <c r="D1205" s="3"/>
      <c r="E1205" s="3"/>
      <c r="F1205" s="3"/>
      <c r="G1205" s="3"/>
      <c r="I1205" s="4"/>
    </row>
    <row r="1206">
      <c r="A1206" s="3"/>
      <c r="B1206" s="3"/>
      <c r="C1206" s="3"/>
      <c r="D1206" s="3"/>
      <c r="E1206" s="3"/>
      <c r="F1206" s="3"/>
      <c r="G1206" s="3"/>
      <c r="I1206" s="4"/>
    </row>
    <row r="1207">
      <c r="A1207" s="3"/>
      <c r="B1207" s="3"/>
      <c r="C1207" s="3"/>
      <c r="D1207" s="3"/>
      <c r="E1207" s="3"/>
      <c r="F1207" s="3"/>
      <c r="G1207" s="3"/>
      <c r="I1207" s="4"/>
    </row>
    <row r="1208">
      <c r="A1208" s="3"/>
      <c r="B1208" s="3"/>
      <c r="C1208" s="3"/>
      <c r="D1208" s="3"/>
      <c r="E1208" s="3"/>
      <c r="F1208" s="3"/>
      <c r="G1208" s="3"/>
      <c r="I1208" s="4"/>
    </row>
    <row r="1209">
      <c r="A1209" s="3"/>
      <c r="B1209" s="3"/>
      <c r="C1209" s="3"/>
      <c r="D1209" s="3"/>
      <c r="E1209" s="3"/>
      <c r="F1209" s="3"/>
      <c r="G1209" s="3"/>
      <c r="I1209" s="4"/>
    </row>
    <row r="1210">
      <c r="A1210" s="3"/>
      <c r="B1210" s="3"/>
      <c r="C1210" s="3"/>
      <c r="D1210" s="3"/>
      <c r="E1210" s="3"/>
      <c r="F1210" s="3"/>
      <c r="G1210" s="3"/>
      <c r="I1210" s="4"/>
    </row>
    <row r="1211">
      <c r="A1211" s="3"/>
      <c r="B1211" s="3"/>
      <c r="C1211" s="3"/>
      <c r="D1211" s="3"/>
      <c r="E1211" s="3"/>
      <c r="F1211" s="3"/>
      <c r="G1211" s="3"/>
      <c r="I1211" s="4"/>
    </row>
    <row r="1212">
      <c r="A1212" s="3"/>
      <c r="B1212" s="3"/>
      <c r="C1212" s="3"/>
      <c r="D1212" s="3"/>
      <c r="E1212" s="3"/>
      <c r="F1212" s="3"/>
      <c r="G1212" s="3"/>
      <c r="I1212" s="4"/>
    </row>
    <row r="1213">
      <c r="A1213" s="3"/>
      <c r="B1213" s="3"/>
      <c r="C1213" s="3"/>
      <c r="D1213" s="3"/>
      <c r="E1213" s="3"/>
      <c r="F1213" s="3"/>
      <c r="G1213" s="3"/>
      <c r="I1213" s="4"/>
    </row>
    <row r="1214">
      <c r="A1214" s="3"/>
      <c r="B1214" s="3"/>
      <c r="C1214" s="3"/>
      <c r="D1214" s="3"/>
      <c r="E1214" s="3"/>
      <c r="F1214" s="3"/>
      <c r="G1214" s="3"/>
      <c r="I1214" s="4"/>
    </row>
    <row r="1215">
      <c r="A1215" s="3"/>
      <c r="B1215" s="3"/>
      <c r="C1215" s="3"/>
      <c r="D1215" s="3"/>
      <c r="E1215" s="3"/>
      <c r="F1215" s="3"/>
      <c r="G1215" s="3"/>
      <c r="I1215" s="4"/>
    </row>
    <row r="1216">
      <c r="A1216" s="3"/>
      <c r="B1216" s="3"/>
      <c r="C1216" s="3"/>
      <c r="D1216" s="3"/>
      <c r="E1216" s="3"/>
      <c r="F1216" s="3"/>
      <c r="G1216" s="3"/>
      <c r="I1216" s="4"/>
    </row>
    <row r="1217">
      <c r="A1217" s="3"/>
      <c r="B1217" s="3"/>
      <c r="C1217" s="3"/>
      <c r="D1217" s="3"/>
      <c r="E1217" s="3"/>
      <c r="F1217" s="3"/>
      <c r="G1217" s="3"/>
      <c r="I1217" s="4"/>
    </row>
    <row r="1218">
      <c r="A1218" s="3"/>
      <c r="B1218" s="3"/>
      <c r="C1218" s="3"/>
      <c r="D1218" s="3"/>
      <c r="E1218" s="3"/>
      <c r="F1218" s="3"/>
      <c r="G1218" s="3"/>
      <c r="I1218" s="4"/>
    </row>
    <row r="1219">
      <c r="A1219" s="3"/>
      <c r="B1219" s="3"/>
      <c r="C1219" s="3"/>
      <c r="D1219" s="3"/>
      <c r="E1219" s="3"/>
      <c r="F1219" s="3"/>
      <c r="G1219" s="3"/>
      <c r="I1219" s="4"/>
    </row>
    <row r="1220">
      <c r="A1220" s="3"/>
      <c r="B1220" s="3"/>
      <c r="C1220" s="3"/>
      <c r="D1220" s="3"/>
      <c r="E1220" s="3"/>
      <c r="F1220" s="3"/>
      <c r="G1220" s="3"/>
      <c r="I1220" s="4"/>
    </row>
    <row r="1221">
      <c r="A1221" s="3"/>
      <c r="B1221" s="3"/>
      <c r="C1221" s="3"/>
      <c r="D1221" s="3"/>
      <c r="E1221" s="3"/>
      <c r="F1221" s="3"/>
      <c r="G1221" s="3"/>
      <c r="I1221" s="4"/>
    </row>
    <row r="1222">
      <c r="A1222" s="3"/>
      <c r="B1222" s="3"/>
      <c r="C1222" s="3"/>
      <c r="D1222" s="3"/>
      <c r="E1222" s="3"/>
      <c r="F1222" s="3"/>
      <c r="G1222" s="3"/>
      <c r="I1222" s="4"/>
    </row>
    <row r="1223">
      <c r="A1223" s="3"/>
      <c r="B1223" s="3"/>
      <c r="C1223" s="3"/>
      <c r="D1223" s="3"/>
      <c r="E1223" s="3"/>
      <c r="F1223" s="3"/>
      <c r="G1223" s="3"/>
      <c r="I1223" s="4"/>
    </row>
    <row r="1224">
      <c r="A1224" s="3"/>
      <c r="B1224" s="3"/>
      <c r="C1224" s="3"/>
      <c r="D1224" s="3"/>
      <c r="E1224" s="3"/>
      <c r="F1224" s="3"/>
      <c r="G1224" s="3"/>
      <c r="I1224" s="4"/>
    </row>
    <row r="1225">
      <c r="A1225" s="3"/>
      <c r="B1225" s="3"/>
      <c r="C1225" s="3"/>
      <c r="D1225" s="3"/>
      <c r="E1225" s="3"/>
      <c r="F1225" s="3"/>
      <c r="G1225" s="3"/>
      <c r="I1225" s="4"/>
    </row>
    <row r="1226">
      <c r="A1226" s="3"/>
      <c r="B1226" s="3"/>
      <c r="C1226" s="3"/>
      <c r="D1226" s="3"/>
      <c r="E1226" s="3"/>
      <c r="F1226" s="3"/>
      <c r="G1226" s="3"/>
      <c r="I1226" s="4"/>
    </row>
    <row r="1227">
      <c r="A1227" s="3"/>
      <c r="B1227" s="3"/>
      <c r="C1227" s="3"/>
      <c r="D1227" s="3"/>
      <c r="E1227" s="3"/>
      <c r="F1227" s="3"/>
      <c r="G1227" s="3"/>
      <c r="I1227" s="4"/>
    </row>
    <row r="1228">
      <c r="A1228" s="3"/>
      <c r="B1228" s="3"/>
      <c r="C1228" s="3"/>
      <c r="D1228" s="3"/>
      <c r="E1228" s="3"/>
      <c r="F1228" s="3"/>
      <c r="G1228" s="3"/>
      <c r="I1228" s="4"/>
    </row>
    <row r="1229">
      <c r="A1229" s="3"/>
      <c r="B1229" s="3"/>
      <c r="C1229" s="3"/>
      <c r="D1229" s="3"/>
      <c r="E1229" s="3"/>
      <c r="F1229" s="3"/>
      <c r="G1229" s="3"/>
      <c r="I1229" s="4"/>
    </row>
    <row r="1230">
      <c r="A1230" s="3"/>
      <c r="B1230" s="3"/>
      <c r="C1230" s="3"/>
      <c r="D1230" s="3"/>
      <c r="E1230" s="3"/>
      <c r="F1230" s="3"/>
      <c r="G1230" s="3"/>
      <c r="I1230" s="4"/>
    </row>
    <row r="1231">
      <c r="A1231" s="3"/>
      <c r="B1231" s="3"/>
      <c r="C1231" s="3"/>
      <c r="D1231" s="3"/>
      <c r="E1231" s="3"/>
      <c r="F1231" s="3"/>
      <c r="G1231" s="3"/>
      <c r="I1231" s="4"/>
    </row>
    <row r="1232">
      <c r="A1232" s="3"/>
      <c r="B1232" s="3"/>
      <c r="C1232" s="3"/>
      <c r="D1232" s="3"/>
      <c r="E1232" s="3"/>
      <c r="F1232" s="3"/>
      <c r="G1232" s="3"/>
      <c r="I1232" s="4"/>
    </row>
    <row r="1233">
      <c r="A1233" s="3"/>
      <c r="B1233" s="3"/>
      <c r="C1233" s="3"/>
      <c r="D1233" s="3"/>
      <c r="E1233" s="3"/>
      <c r="F1233" s="3"/>
      <c r="G1233" s="3"/>
      <c r="I1233" s="4"/>
    </row>
    <row r="1234">
      <c r="A1234" s="3"/>
      <c r="B1234" s="3"/>
      <c r="C1234" s="3"/>
      <c r="D1234" s="3"/>
      <c r="E1234" s="3"/>
      <c r="F1234" s="3"/>
      <c r="G1234" s="3"/>
      <c r="I1234" s="4"/>
    </row>
    <row r="1235">
      <c r="A1235" s="3"/>
      <c r="B1235" s="3"/>
      <c r="C1235" s="3"/>
      <c r="D1235" s="3"/>
      <c r="E1235" s="3"/>
      <c r="F1235" s="3"/>
      <c r="G1235" s="3"/>
      <c r="I1235" s="4"/>
    </row>
    <row r="1236">
      <c r="A1236" s="3"/>
      <c r="B1236" s="3"/>
      <c r="C1236" s="3"/>
      <c r="D1236" s="3"/>
      <c r="E1236" s="3"/>
      <c r="F1236" s="3"/>
      <c r="G1236" s="3"/>
      <c r="I1236" s="4"/>
    </row>
    <row r="1237">
      <c r="A1237" s="3"/>
      <c r="B1237" s="3"/>
      <c r="C1237" s="3"/>
      <c r="D1237" s="3"/>
      <c r="E1237" s="3"/>
      <c r="F1237" s="3"/>
      <c r="G1237" s="3"/>
      <c r="I1237" s="4"/>
    </row>
    <row r="1238">
      <c r="A1238" s="3"/>
      <c r="B1238" s="3"/>
      <c r="C1238" s="3"/>
      <c r="D1238" s="3"/>
      <c r="E1238" s="3"/>
      <c r="F1238" s="3"/>
      <c r="G1238" s="3"/>
      <c r="I1238" s="4"/>
    </row>
    <row r="1239">
      <c r="A1239" s="3"/>
      <c r="B1239" s="3"/>
      <c r="C1239" s="3"/>
      <c r="D1239" s="3"/>
      <c r="E1239" s="3"/>
      <c r="F1239" s="3"/>
      <c r="G1239" s="3"/>
      <c r="I1239" s="4"/>
    </row>
    <row r="1240">
      <c r="A1240" s="3"/>
      <c r="B1240" s="3"/>
      <c r="C1240" s="3"/>
      <c r="D1240" s="3"/>
      <c r="E1240" s="3"/>
      <c r="F1240" s="3"/>
      <c r="G1240" s="3"/>
      <c r="I1240" s="4"/>
    </row>
    <row r="1241">
      <c r="A1241" s="3"/>
      <c r="B1241" s="3"/>
      <c r="C1241" s="3"/>
      <c r="D1241" s="3"/>
      <c r="E1241" s="3"/>
      <c r="F1241" s="3"/>
      <c r="G1241" s="3"/>
      <c r="I1241" s="4"/>
    </row>
    <row r="1242">
      <c r="A1242" s="3"/>
      <c r="B1242" s="3"/>
      <c r="C1242" s="3"/>
      <c r="D1242" s="3"/>
      <c r="E1242" s="3"/>
      <c r="F1242" s="3"/>
      <c r="G1242" s="3"/>
      <c r="I1242" s="4"/>
    </row>
    <row r="1243">
      <c r="A1243" s="3"/>
      <c r="B1243" s="3"/>
      <c r="C1243" s="3"/>
      <c r="D1243" s="3"/>
      <c r="E1243" s="3"/>
      <c r="F1243" s="3"/>
      <c r="G1243" s="3"/>
      <c r="I1243" s="4"/>
    </row>
    <row r="1244">
      <c r="A1244" s="3"/>
      <c r="B1244" s="3"/>
      <c r="C1244" s="3"/>
      <c r="D1244" s="3"/>
      <c r="E1244" s="3"/>
      <c r="F1244" s="3"/>
      <c r="G1244" s="3"/>
      <c r="I1244" s="4"/>
    </row>
    <row r="1245">
      <c r="A1245" s="3"/>
      <c r="B1245" s="3"/>
      <c r="C1245" s="3"/>
      <c r="D1245" s="3"/>
      <c r="E1245" s="3"/>
      <c r="F1245" s="3"/>
      <c r="G1245" s="3"/>
      <c r="I1245" s="4"/>
    </row>
    <row r="1246">
      <c r="A1246" s="3"/>
      <c r="B1246" s="3"/>
      <c r="C1246" s="3"/>
      <c r="D1246" s="3"/>
      <c r="E1246" s="3"/>
      <c r="F1246" s="3"/>
      <c r="G1246" s="3"/>
      <c r="I1246" s="4"/>
    </row>
    <row r="1247">
      <c r="A1247" s="3"/>
      <c r="B1247" s="3"/>
      <c r="C1247" s="3"/>
      <c r="D1247" s="3"/>
      <c r="E1247" s="3"/>
      <c r="F1247" s="3"/>
      <c r="G1247" s="3"/>
      <c r="I1247" s="4"/>
    </row>
    <row r="1248">
      <c r="A1248" s="3"/>
      <c r="B1248" s="3"/>
      <c r="C1248" s="3"/>
      <c r="D1248" s="3"/>
      <c r="E1248" s="3"/>
      <c r="F1248" s="3"/>
      <c r="G1248" s="3"/>
      <c r="I1248" s="4"/>
    </row>
    <row r="1249">
      <c r="A1249" s="3"/>
      <c r="B1249" s="3"/>
      <c r="C1249" s="3"/>
      <c r="D1249" s="3"/>
      <c r="E1249" s="3"/>
      <c r="F1249" s="3"/>
      <c r="G1249" s="3"/>
      <c r="I1249" s="4"/>
    </row>
    <row r="1250">
      <c r="A1250" s="3"/>
      <c r="B1250" s="3"/>
      <c r="C1250" s="3"/>
      <c r="D1250" s="3"/>
      <c r="E1250" s="3"/>
      <c r="F1250" s="3"/>
      <c r="G1250" s="3"/>
      <c r="I1250" s="4"/>
    </row>
    <row r="1251">
      <c r="A1251" s="3"/>
      <c r="B1251" s="3"/>
      <c r="C1251" s="3"/>
      <c r="D1251" s="3"/>
      <c r="E1251" s="3"/>
      <c r="F1251" s="3"/>
      <c r="G1251" s="3"/>
      <c r="I1251" s="4"/>
    </row>
    <row r="1252">
      <c r="A1252" s="3"/>
      <c r="B1252" s="3"/>
      <c r="C1252" s="3"/>
      <c r="D1252" s="3"/>
      <c r="E1252" s="3"/>
      <c r="F1252" s="3"/>
      <c r="G1252" s="3"/>
      <c r="I1252" s="4"/>
    </row>
    <row r="1253">
      <c r="A1253" s="3"/>
      <c r="B1253" s="3"/>
      <c r="C1253" s="3"/>
      <c r="D1253" s="3"/>
      <c r="E1253" s="3"/>
      <c r="F1253" s="3"/>
      <c r="G1253" s="3"/>
      <c r="I1253" s="4"/>
    </row>
    <row r="1254">
      <c r="A1254" s="3"/>
      <c r="B1254" s="3"/>
      <c r="C1254" s="3"/>
      <c r="D1254" s="3"/>
      <c r="E1254" s="3"/>
      <c r="F1254" s="3"/>
      <c r="G1254" s="3"/>
      <c r="I1254" s="4"/>
    </row>
    <row r="1255">
      <c r="A1255" s="3"/>
      <c r="B1255" s="3"/>
      <c r="C1255" s="3"/>
      <c r="D1255" s="3"/>
      <c r="E1255" s="3"/>
      <c r="F1255" s="3"/>
      <c r="G1255" s="3"/>
      <c r="I1255" s="4"/>
    </row>
    <row r="1256">
      <c r="A1256" s="3"/>
      <c r="B1256" s="3"/>
      <c r="C1256" s="3"/>
      <c r="D1256" s="3"/>
      <c r="E1256" s="3"/>
      <c r="F1256" s="3"/>
      <c r="G1256" s="3"/>
      <c r="I1256" s="4"/>
    </row>
    <row r="1257">
      <c r="A1257" s="3"/>
      <c r="B1257" s="3"/>
      <c r="C1257" s="3"/>
      <c r="D1257" s="3"/>
      <c r="E1257" s="3"/>
      <c r="F1257" s="3"/>
      <c r="G1257" s="3"/>
      <c r="I1257" s="4"/>
    </row>
    <row r="1258">
      <c r="A1258" s="3"/>
      <c r="B1258" s="3"/>
      <c r="C1258" s="3"/>
      <c r="D1258" s="3"/>
      <c r="E1258" s="3"/>
      <c r="F1258" s="3"/>
      <c r="G1258" s="3"/>
      <c r="I1258" s="4"/>
    </row>
    <row r="1259">
      <c r="A1259" s="3"/>
      <c r="B1259" s="3"/>
      <c r="C1259" s="3"/>
      <c r="D1259" s="3"/>
      <c r="E1259" s="3"/>
      <c r="F1259" s="3"/>
      <c r="G1259" s="3"/>
      <c r="I1259" s="4"/>
    </row>
    <row r="1260">
      <c r="A1260" s="3"/>
      <c r="B1260" s="3"/>
      <c r="C1260" s="3"/>
      <c r="D1260" s="3"/>
      <c r="E1260" s="3"/>
      <c r="F1260" s="3"/>
      <c r="G1260" s="3"/>
      <c r="I1260" s="4"/>
    </row>
    <row r="1261">
      <c r="A1261" s="3"/>
      <c r="B1261" s="3"/>
      <c r="C1261" s="3"/>
      <c r="D1261" s="3"/>
      <c r="E1261" s="3"/>
      <c r="F1261" s="3"/>
      <c r="G1261" s="3"/>
      <c r="I1261" s="4"/>
    </row>
    <row r="1262">
      <c r="A1262" s="3"/>
      <c r="B1262" s="3"/>
      <c r="C1262" s="3"/>
      <c r="D1262" s="3"/>
      <c r="E1262" s="3"/>
      <c r="F1262" s="3"/>
      <c r="G1262" s="3"/>
      <c r="I1262" s="4"/>
    </row>
    <row r="1263">
      <c r="A1263" s="3"/>
      <c r="B1263" s="3"/>
      <c r="C1263" s="3"/>
      <c r="D1263" s="3"/>
      <c r="E1263" s="3"/>
      <c r="F1263" s="3"/>
      <c r="G1263" s="3"/>
      <c r="I1263" s="4"/>
    </row>
    <row r="1264">
      <c r="A1264" s="3"/>
      <c r="B1264" s="3"/>
      <c r="C1264" s="3"/>
      <c r="D1264" s="3"/>
      <c r="E1264" s="3"/>
      <c r="F1264" s="3"/>
      <c r="G1264" s="3"/>
      <c r="I1264" s="4"/>
    </row>
    <row r="1265">
      <c r="A1265" s="3"/>
      <c r="B1265" s="3"/>
      <c r="C1265" s="3"/>
      <c r="D1265" s="3"/>
      <c r="E1265" s="3"/>
      <c r="F1265" s="3"/>
      <c r="G1265" s="3"/>
      <c r="I1265" s="4"/>
    </row>
    <row r="1266">
      <c r="A1266" s="3"/>
      <c r="B1266" s="3"/>
      <c r="C1266" s="3"/>
      <c r="D1266" s="3"/>
      <c r="E1266" s="3"/>
      <c r="F1266" s="3"/>
      <c r="G1266" s="3"/>
      <c r="I1266" s="4"/>
    </row>
    <row r="1267">
      <c r="A1267" s="3"/>
      <c r="B1267" s="3"/>
      <c r="C1267" s="3"/>
      <c r="D1267" s="3"/>
      <c r="E1267" s="3"/>
      <c r="F1267" s="3"/>
      <c r="G1267" s="3"/>
      <c r="I1267" s="4"/>
    </row>
    <row r="1268">
      <c r="A1268" s="3"/>
      <c r="B1268" s="3"/>
      <c r="C1268" s="3"/>
      <c r="D1268" s="3"/>
      <c r="E1268" s="3"/>
      <c r="F1268" s="3"/>
      <c r="G1268" s="3"/>
      <c r="I1268" s="4"/>
    </row>
    <row r="1269">
      <c r="A1269" s="3"/>
      <c r="B1269" s="3"/>
      <c r="C1269" s="3"/>
      <c r="D1269" s="3"/>
      <c r="E1269" s="3"/>
      <c r="F1269" s="3"/>
      <c r="G1269" s="3"/>
      <c r="I1269" s="4"/>
    </row>
    <row r="1270">
      <c r="A1270" s="3"/>
      <c r="B1270" s="3"/>
      <c r="C1270" s="3"/>
      <c r="D1270" s="3"/>
      <c r="E1270" s="3"/>
      <c r="F1270" s="3"/>
      <c r="G1270" s="3"/>
      <c r="I1270" s="4"/>
    </row>
    <row r="1271">
      <c r="A1271" s="3"/>
      <c r="B1271" s="3"/>
      <c r="C1271" s="3"/>
      <c r="D1271" s="3"/>
      <c r="E1271" s="3"/>
      <c r="F1271" s="3"/>
      <c r="G1271" s="3"/>
      <c r="I1271" s="4"/>
    </row>
    <row r="1272">
      <c r="A1272" s="3"/>
      <c r="B1272" s="3"/>
      <c r="C1272" s="3"/>
      <c r="D1272" s="3"/>
      <c r="E1272" s="3"/>
      <c r="F1272" s="3"/>
      <c r="G1272" s="3"/>
      <c r="I1272" s="4"/>
    </row>
    <row r="1273">
      <c r="A1273" s="3"/>
      <c r="B1273" s="3"/>
      <c r="C1273" s="3"/>
      <c r="D1273" s="3"/>
      <c r="E1273" s="3"/>
      <c r="F1273" s="3"/>
      <c r="G1273" s="3"/>
      <c r="I1273" s="4"/>
    </row>
    <row r="1274">
      <c r="A1274" s="3"/>
      <c r="B1274" s="3"/>
      <c r="C1274" s="3"/>
      <c r="D1274" s="3"/>
      <c r="E1274" s="3"/>
      <c r="F1274" s="3"/>
      <c r="G1274" s="3"/>
      <c r="I1274" s="4"/>
    </row>
    <row r="1275">
      <c r="A1275" s="3"/>
      <c r="B1275" s="3"/>
      <c r="C1275" s="3"/>
      <c r="D1275" s="3"/>
      <c r="E1275" s="3"/>
      <c r="F1275" s="3"/>
      <c r="G1275" s="3"/>
      <c r="I1275" s="4"/>
    </row>
    <row r="1276">
      <c r="A1276" s="3"/>
      <c r="B1276" s="3"/>
      <c r="C1276" s="3"/>
      <c r="D1276" s="3"/>
      <c r="E1276" s="3"/>
      <c r="F1276" s="3"/>
      <c r="G1276" s="3"/>
      <c r="I1276" s="4"/>
    </row>
    <row r="1277">
      <c r="A1277" s="3"/>
      <c r="B1277" s="3"/>
      <c r="C1277" s="3"/>
      <c r="D1277" s="3"/>
      <c r="E1277" s="3"/>
      <c r="F1277" s="3"/>
      <c r="G1277" s="3"/>
      <c r="I1277" s="4"/>
    </row>
    <row r="1278">
      <c r="A1278" s="3"/>
      <c r="B1278" s="3"/>
      <c r="C1278" s="3"/>
      <c r="D1278" s="3"/>
      <c r="E1278" s="3"/>
      <c r="F1278" s="3"/>
      <c r="G1278" s="3"/>
      <c r="I1278" s="4"/>
    </row>
    <row r="1279">
      <c r="A1279" s="3"/>
      <c r="B1279" s="3"/>
      <c r="C1279" s="3"/>
      <c r="D1279" s="3"/>
      <c r="E1279" s="3"/>
      <c r="F1279" s="3"/>
      <c r="G1279" s="3"/>
      <c r="I1279" s="4"/>
    </row>
    <row r="1280">
      <c r="A1280" s="3"/>
      <c r="B1280" s="3"/>
      <c r="C1280" s="3"/>
      <c r="D1280" s="3"/>
      <c r="E1280" s="3"/>
      <c r="F1280" s="3"/>
      <c r="G1280" s="3"/>
      <c r="I1280" s="4"/>
    </row>
    <row r="1281">
      <c r="A1281" s="3"/>
      <c r="B1281" s="3"/>
      <c r="C1281" s="3"/>
      <c r="D1281" s="3"/>
      <c r="E1281" s="3"/>
      <c r="F1281" s="3"/>
      <c r="G1281" s="3"/>
      <c r="I1281" s="4"/>
    </row>
    <row r="1282">
      <c r="A1282" s="3"/>
      <c r="B1282" s="3"/>
      <c r="C1282" s="3"/>
      <c r="D1282" s="3"/>
      <c r="E1282" s="3"/>
      <c r="F1282" s="3"/>
      <c r="G1282" s="3"/>
      <c r="I1282" s="4"/>
    </row>
    <row r="1283">
      <c r="A1283" s="3"/>
      <c r="B1283" s="3"/>
      <c r="C1283" s="3"/>
      <c r="D1283" s="3"/>
      <c r="E1283" s="3"/>
      <c r="F1283" s="3"/>
      <c r="G1283" s="3"/>
      <c r="I1283" s="4"/>
    </row>
    <row r="1284">
      <c r="A1284" s="3"/>
      <c r="B1284" s="3"/>
      <c r="C1284" s="3"/>
      <c r="D1284" s="3"/>
      <c r="E1284" s="3"/>
      <c r="F1284" s="3"/>
      <c r="G1284" s="3"/>
      <c r="I1284" s="4"/>
    </row>
    <row r="1285">
      <c r="A1285" s="3"/>
      <c r="B1285" s="3"/>
      <c r="C1285" s="3"/>
      <c r="D1285" s="3"/>
      <c r="E1285" s="3"/>
      <c r="F1285" s="3"/>
      <c r="G1285" s="3"/>
      <c r="I1285" s="4"/>
    </row>
    <row r="1286">
      <c r="A1286" s="3"/>
      <c r="B1286" s="3"/>
      <c r="C1286" s="3"/>
      <c r="D1286" s="3"/>
      <c r="E1286" s="3"/>
      <c r="F1286" s="3"/>
      <c r="G1286" s="3"/>
      <c r="I1286" s="4"/>
    </row>
    <row r="1287">
      <c r="A1287" s="3"/>
      <c r="B1287" s="3"/>
      <c r="C1287" s="3"/>
      <c r="D1287" s="3"/>
      <c r="E1287" s="3"/>
      <c r="F1287" s="3"/>
      <c r="G1287" s="3"/>
      <c r="I1287" s="4"/>
    </row>
    <row r="1288">
      <c r="A1288" s="3"/>
      <c r="B1288" s="3"/>
      <c r="C1288" s="3"/>
      <c r="D1288" s="3"/>
      <c r="E1288" s="3"/>
      <c r="F1288" s="3"/>
      <c r="G1288" s="3"/>
      <c r="I1288" s="4"/>
    </row>
    <row r="1289">
      <c r="A1289" s="3"/>
      <c r="B1289" s="3"/>
      <c r="C1289" s="3"/>
      <c r="D1289" s="3"/>
      <c r="E1289" s="3"/>
      <c r="F1289" s="3"/>
      <c r="G1289" s="3"/>
      <c r="I1289" s="4"/>
    </row>
    <row r="1290">
      <c r="A1290" s="3"/>
      <c r="B1290" s="3"/>
      <c r="C1290" s="3"/>
      <c r="D1290" s="3"/>
      <c r="E1290" s="3"/>
      <c r="F1290" s="3"/>
      <c r="G1290" s="3"/>
      <c r="I1290" s="4"/>
    </row>
    <row r="1291">
      <c r="A1291" s="3"/>
      <c r="B1291" s="3"/>
      <c r="C1291" s="3"/>
      <c r="D1291" s="3"/>
      <c r="E1291" s="3"/>
      <c r="F1291" s="3"/>
      <c r="G1291" s="3"/>
      <c r="I1291" s="4"/>
    </row>
    <row r="1292">
      <c r="A1292" s="3"/>
      <c r="B1292" s="3"/>
      <c r="C1292" s="3"/>
      <c r="D1292" s="3"/>
      <c r="E1292" s="3"/>
      <c r="F1292" s="3"/>
      <c r="G1292" s="3"/>
      <c r="I1292" s="4"/>
    </row>
    <row r="1293">
      <c r="A1293" s="3"/>
      <c r="B1293" s="3"/>
      <c r="C1293" s="3"/>
      <c r="D1293" s="3"/>
      <c r="E1293" s="3"/>
      <c r="F1293" s="3"/>
      <c r="G1293" s="3"/>
      <c r="I1293" s="4"/>
    </row>
    <row r="1294">
      <c r="A1294" s="3"/>
      <c r="B1294" s="3"/>
      <c r="C1294" s="3"/>
      <c r="D1294" s="3"/>
      <c r="E1294" s="3"/>
      <c r="F1294" s="3"/>
      <c r="G1294" s="3"/>
      <c r="I1294" s="4"/>
    </row>
    <row r="1295">
      <c r="A1295" s="3"/>
      <c r="B1295" s="3"/>
      <c r="C1295" s="3"/>
      <c r="D1295" s="3"/>
      <c r="E1295" s="3"/>
      <c r="F1295" s="3"/>
      <c r="G1295" s="3"/>
      <c r="I1295" s="4"/>
    </row>
    <row r="1296">
      <c r="A1296" s="3"/>
      <c r="B1296" s="3"/>
      <c r="C1296" s="3"/>
      <c r="D1296" s="3"/>
      <c r="E1296" s="3"/>
      <c r="F1296" s="3"/>
      <c r="G1296" s="3"/>
      <c r="I1296" s="4"/>
    </row>
    <row r="1297">
      <c r="A1297" s="3"/>
      <c r="B1297" s="3"/>
      <c r="C1297" s="3"/>
      <c r="D1297" s="3"/>
      <c r="E1297" s="3"/>
      <c r="F1297" s="3"/>
      <c r="G1297" s="3"/>
      <c r="I1297" s="4"/>
    </row>
    <row r="1298">
      <c r="A1298" s="3"/>
      <c r="B1298" s="3"/>
      <c r="C1298" s="3"/>
      <c r="D1298" s="3"/>
      <c r="E1298" s="3"/>
      <c r="F1298" s="3"/>
      <c r="G1298" s="3"/>
      <c r="I1298" s="4"/>
    </row>
    <row r="1299">
      <c r="A1299" s="3"/>
      <c r="B1299" s="3"/>
      <c r="C1299" s="3"/>
      <c r="D1299" s="3"/>
      <c r="E1299" s="3"/>
      <c r="F1299" s="3"/>
      <c r="G1299" s="3"/>
      <c r="I1299" s="4"/>
    </row>
    <row r="1300">
      <c r="A1300" s="3"/>
      <c r="B1300" s="3"/>
      <c r="C1300" s="3"/>
      <c r="D1300" s="3"/>
      <c r="E1300" s="3"/>
      <c r="F1300" s="3"/>
      <c r="G1300" s="3"/>
      <c r="I1300" s="4"/>
    </row>
    <row r="1301">
      <c r="A1301" s="3"/>
      <c r="B1301" s="3"/>
      <c r="C1301" s="3"/>
      <c r="D1301" s="3"/>
      <c r="E1301" s="3"/>
      <c r="F1301" s="3"/>
      <c r="G1301" s="3"/>
      <c r="I1301" s="4"/>
    </row>
    <row r="1302">
      <c r="A1302" s="3"/>
      <c r="B1302" s="3"/>
      <c r="C1302" s="3"/>
      <c r="D1302" s="3"/>
      <c r="E1302" s="3"/>
      <c r="F1302" s="3"/>
      <c r="G1302" s="3"/>
      <c r="I1302" s="4"/>
    </row>
    <row r="1303">
      <c r="A1303" s="3"/>
      <c r="B1303" s="3"/>
      <c r="C1303" s="3"/>
      <c r="D1303" s="3"/>
      <c r="E1303" s="3"/>
      <c r="F1303" s="3"/>
      <c r="G1303" s="3"/>
      <c r="I1303" s="4"/>
    </row>
    <row r="1304">
      <c r="A1304" s="3"/>
      <c r="B1304" s="3"/>
      <c r="C1304" s="3"/>
      <c r="D1304" s="3"/>
      <c r="E1304" s="3"/>
      <c r="F1304" s="3"/>
      <c r="G1304" s="3"/>
      <c r="I1304" s="4"/>
    </row>
    <row r="1305">
      <c r="A1305" s="3"/>
      <c r="B1305" s="3"/>
      <c r="C1305" s="3"/>
      <c r="D1305" s="3"/>
      <c r="E1305" s="3"/>
      <c r="F1305" s="3"/>
      <c r="G1305" s="3"/>
      <c r="I1305" s="4"/>
    </row>
    <row r="1306">
      <c r="A1306" s="3"/>
      <c r="B1306" s="3"/>
      <c r="C1306" s="3"/>
      <c r="D1306" s="3"/>
      <c r="E1306" s="3"/>
      <c r="F1306" s="3"/>
      <c r="G1306" s="3"/>
      <c r="I1306" s="4"/>
    </row>
    <row r="1307">
      <c r="A1307" s="3"/>
      <c r="B1307" s="3"/>
      <c r="C1307" s="3"/>
      <c r="D1307" s="3"/>
      <c r="E1307" s="3"/>
      <c r="F1307" s="3"/>
      <c r="G1307" s="3"/>
      <c r="I1307" s="4"/>
    </row>
    <row r="1308">
      <c r="A1308" s="3"/>
      <c r="B1308" s="3"/>
      <c r="C1308" s="3"/>
      <c r="D1308" s="3"/>
      <c r="E1308" s="3"/>
      <c r="F1308" s="3"/>
      <c r="G1308" s="3"/>
      <c r="I1308" s="4"/>
    </row>
    <row r="1309">
      <c r="A1309" s="3"/>
      <c r="B1309" s="3"/>
      <c r="C1309" s="3"/>
      <c r="D1309" s="3"/>
      <c r="E1309" s="3"/>
      <c r="F1309" s="3"/>
      <c r="G1309" s="3"/>
      <c r="I1309" s="4"/>
    </row>
    <row r="1310">
      <c r="A1310" s="3"/>
      <c r="B1310" s="3"/>
      <c r="C1310" s="3"/>
      <c r="D1310" s="3"/>
      <c r="E1310" s="3"/>
      <c r="F1310" s="3"/>
      <c r="G1310" s="3"/>
      <c r="I1310" s="4"/>
    </row>
    <row r="1311">
      <c r="A1311" s="3"/>
      <c r="B1311" s="3"/>
      <c r="C1311" s="3"/>
      <c r="D1311" s="3"/>
      <c r="E1311" s="3"/>
      <c r="F1311" s="3"/>
      <c r="G1311" s="3"/>
      <c r="I1311" s="4"/>
    </row>
    <row r="1312">
      <c r="A1312" s="3"/>
      <c r="B1312" s="3"/>
      <c r="C1312" s="3"/>
      <c r="D1312" s="3"/>
      <c r="E1312" s="3"/>
      <c r="F1312" s="3"/>
      <c r="G1312" s="3"/>
      <c r="I1312" s="4"/>
    </row>
    <row r="1313">
      <c r="A1313" s="3"/>
      <c r="B1313" s="3"/>
      <c r="C1313" s="3"/>
      <c r="D1313" s="3"/>
      <c r="E1313" s="3"/>
      <c r="F1313" s="3"/>
      <c r="G1313" s="3"/>
      <c r="I1313" s="4"/>
    </row>
    <row r="1314">
      <c r="A1314" s="3"/>
      <c r="B1314" s="3"/>
      <c r="C1314" s="3"/>
      <c r="D1314" s="3"/>
      <c r="E1314" s="3"/>
      <c r="F1314" s="3"/>
      <c r="G1314" s="3"/>
      <c r="I1314" s="4"/>
    </row>
    <row r="1315">
      <c r="A1315" s="3"/>
      <c r="B1315" s="3"/>
      <c r="C1315" s="3"/>
      <c r="D1315" s="3"/>
      <c r="E1315" s="3"/>
      <c r="F1315" s="3"/>
      <c r="G1315" s="3"/>
      <c r="I1315" s="4"/>
    </row>
    <row r="1316">
      <c r="A1316" s="3"/>
      <c r="B1316" s="3"/>
      <c r="C1316" s="3"/>
      <c r="D1316" s="3"/>
      <c r="E1316" s="3"/>
      <c r="F1316" s="3"/>
      <c r="G1316" s="3"/>
      <c r="I1316" s="4"/>
    </row>
    <row r="1317">
      <c r="A1317" s="3"/>
      <c r="B1317" s="3"/>
      <c r="C1317" s="3"/>
      <c r="D1317" s="3"/>
      <c r="E1317" s="3"/>
      <c r="F1317" s="3"/>
      <c r="G1317" s="3"/>
      <c r="I1317" s="4"/>
    </row>
    <row r="1318">
      <c r="A1318" s="3"/>
      <c r="B1318" s="3"/>
      <c r="C1318" s="3"/>
      <c r="D1318" s="3"/>
      <c r="E1318" s="3"/>
      <c r="F1318" s="3"/>
      <c r="G1318" s="3"/>
      <c r="I1318" s="4"/>
    </row>
    <row r="1319">
      <c r="A1319" s="3"/>
      <c r="B1319" s="3"/>
      <c r="C1319" s="3"/>
      <c r="D1319" s="3"/>
      <c r="E1319" s="3"/>
      <c r="F1319" s="3"/>
      <c r="G1319" s="3"/>
      <c r="I1319" s="4"/>
    </row>
    <row r="1320">
      <c r="A1320" s="3"/>
      <c r="B1320" s="3"/>
      <c r="C1320" s="3"/>
      <c r="D1320" s="3"/>
      <c r="E1320" s="3"/>
      <c r="F1320" s="3"/>
      <c r="G1320" s="3"/>
      <c r="I1320" s="4"/>
    </row>
    <row r="1321">
      <c r="A1321" s="3"/>
      <c r="B1321" s="3"/>
      <c r="C1321" s="3"/>
      <c r="D1321" s="3"/>
      <c r="E1321" s="3"/>
      <c r="F1321" s="3"/>
      <c r="G1321" s="3"/>
      <c r="I1321" s="4"/>
    </row>
    <row r="1322">
      <c r="A1322" s="3"/>
      <c r="B1322" s="3"/>
      <c r="C1322" s="3"/>
      <c r="D1322" s="3"/>
      <c r="E1322" s="3"/>
      <c r="F1322" s="3"/>
      <c r="G1322" s="3"/>
      <c r="I1322" s="4"/>
    </row>
    <row r="1323">
      <c r="A1323" s="3"/>
      <c r="B1323" s="3"/>
      <c r="C1323" s="3"/>
      <c r="D1323" s="3"/>
      <c r="E1323" s="3"/>
      <c r="F1323" s="3"/>
      <c r="G1323" s="3"/>
      <c r="I1323" s="4"/>
    </row>
    <row r="1324">
      <c r="A1324" s="3"/>
      <c r="B1324" s="3"/>
      <c r="C1324" s="3"/>
      <c r="D1324" s="3"/>
      <c r="E1324" s="3"/>
      <c r="F1324" s="3"/>
      <c r="G1324" s="3"/>
      <c r="I1324" s="4"/>
    </row>
    <row r="1325">
      <c r="A1325" s="3"/>
      <c r="B1325" s="3"/>
      <c r="C1325" s="3"/>
      <c r="D1325" s="3"/>
      <c r="E1325" s="3"/>
      <c r="F1325" s="3"/>
      <c r="G1325" s="3"/>
      <c r="I1325" s="4"/>
    </row>
    <row r="1326">
      <c r="A1326" s="3"/>
      <c r="B1326" s="3"/>
      <c r="C1326" s="3"/>
      <c r="D1326" s="3"/>
      <c r="E1326" s="3"/>
      <c r="F1326" s="3"/>
      <c r="G1326" s="3"/>
      <c r="I1326" s="4"/>
    </row>
    <row r="1327">
      <c r="A1327" s="3"/>
      <c r="B1327" s="3"/>
      <c r="C1327" s="3"/>
      <c r="D1327" s="3"/>
      <c r="E1327" s="3"/>
      <c r="F1327" s="3"/>
      <c r="G1327" s="3"/>
      <c r="I1327" s="4"/>
    </row>
    <row r="1328">
      <c r="A1328" s="3"/>
      <c r="B1328" s="3"/>
      <c r="C1328" s="3"/>
      <c r="D1328" s="3"/>
      <c r="E1328" s="3"/>
      <c r="F1328" s="3"/>
      <c r="G1328" s="3"/>
      <c r="I1328" s="4"/>
    </row>
    <row r="1329">
      <c r="A1329" s="3"/>
      <c r="B1329" s="3"/>
      <c r="C1329" s="3"/>
      <c r="D1329" s="3"/>
      <c r="E1329" s="3"/>
      <c r="F1329" s="3"/>
      <c r="G1329" s="3"/>
      <c r="I1329" s="4"/>
    </row>
    <row r="1330">
      <c r="A1330" s="3"/>
      <c r="B1330" s="3"/>
      <c r="C1330" s="3"/>
      <c r="D1330" s="3"/>
      <c r="E1330" s="3"/>
      <c r="F1330" s="3"/>
      <c r="G1330" s="3"/>
      <c r="I1330" s="4"/>
    </row>
    <row r="1331">
      <c r="A1331" s="3"/>
      <c r="B1331" s="3"/>
      <c r="C1331" s="3"/>
      <c r="D1331" s="3"/>
      <c r="E1331" s="3"/>
      <c r="F1331" s="3"/>
      <c r="G1331" s="3"/>
      <c r="I1331" s="4"/>
    </row>
    <row r="1332">
      <c r="A1332" s="3"/>
      <c r="B1332" s="3"/>
      <c r="C1332" s="3"/>
      <c r="D1332" s="3"/>
      <c r="E1332" s="3"/>
      <c r="F1332" s="3"/>
      <c r="G1332" s="3"/>
      <c r="I1332" s="4"/>
    </row>
    <row r="1333">
      <c r="A1333" s="3"/>
      <c r="B1333" s="3"/>
      <c r="C1333" s="3"/>
      <c r="D1333" s="3"/>
      <c r="E1333" s="3"/>
      <c r="F1333" s="3"/>
      <c r="G1333" s="3"/>
      <c r="I1333" s="4"/>
    </row>
    <row r="1334">
      <c r="A1334" s="3"/>
      <c r="B1334" s="3"/>
      <c r="C1334" s="3"/>
      <c r="D1334" s="3"/>
      <c r="E1334" s="3"/>
      <c r="F1334" s="3"/>
      <c r="G1334" s="3"/>
      <c r="I1334" s="4"/>
    </row>
    <row r="1335">
      <c r="A1335" s="3"/>
      <c r="B1335" s="3"/>
      <c r="C1335" s="3"/>
      <c r="D1335" s="3"/>
      <c r="E1335" s="3"/>
      <c r="F1335" s="3"/>
      <c r="G1335" s="3"/>
      <c r="I1335" s="4"/>
    </row>
    <row r="1336">
      <c r="A1336" s="3"/>
      <c r="B1336" s="3"/>
      <c r="C1336" s="3"/>
      <c r="D1336" s="3"/>
      <c r="E1336" s="3"/>
      <c r="F1336" s="3"/>
      <c r="G1336" s="3"/>
      <c r="I1336" s="4"/>
    </row>
    <row r="1337">
      <c r="A1337" s="3"/>
      <c r="B1337" s="3"/>
      <c r="C1337" s="3"/>
      <c r="D1337" s="3"/>
      <c r="E1337" s="3"/>
      <c r="F1337" s="3"/>
      <c r="G1337" s="3"/>
      <c r="I1337" s="4"/>
    </row>
    <row r="1338">
      <c r="A1338" s="3"/>
      <c r="B1338" s="3"/>
      <c r="C1338" s="3"/>
      <c r="D1338" s="3"/>
      <c r="E1338" s="3"/>
      <c r="F1338" s="3"/>
      <c r="G1338" s="3"/>
      <c r="I1338" s="4"/>
    </row>
    <row r="1339">
      <c r="A1339" s="3"/>
      <c r="B1339" s="3"/>
      <c r="C1339" s="3"/>
      <c r="D1339" s="3"/>
      <c r="E1339" s="3"/>
      <c r="F1339" s="3"/>
      <c r="G1339" s="3"/>
      <c r="I1339" s="4"/>
    </row>
    <row r="1340">
      <c r="A1340" s="3"/>
      <c r="B1340" s="3"/>
      <c r="C1340" s="3"/>
      <c r="D1340" s="3"/>
      <c r="E1340" s="3"/>
      <c r="F1340" s="3"/>
      <c r="G1340" s="3"/>
      <c r="I1340" s="4"/>
    </row>
    <row r="1341">
      <c r="A1341" s="3"/>
      <c r="B1341" s="3"/>
      <c r="C1341" s="3"/>
      <c r="D1341" s="3"/>
      <c r="E1341" s="3"/>
      <c r="F1341" s="3"/>
      <c r="G1341" s="3"/>
      <c r="I1341" s="4"/>
    </row>
    <row r="1342">
      <c r="A1342" s="3"/>
      <c r="B1342" s="3"/>
      <c r="C1342" s="3"/>
      <c r="D1342" s="3"/>
      <c r="E1342" s="3"/>
      <c r="F1342" s="3"/>
      <c r="G1342" s="3"/>
      <c r="I1342" s="4"/>
    </row>
    <row r="1343">
      <c r="A1343" s="3"/>
      <c r="B1343" s="3"/>
      <c r="C1343" s="3"/>
      <c r="D1343" s="3"/>
      <c r="E1343" s="3"/>
      <c r="F1343" s="3"/>
      <c r="G1343" s="3"/>
      <c r="I1343" s="4"/>
    </row>
    <row r="1344">
      <c r="A1344" s="3"/>
      <c r="B1344" s="3"/>
      <c r="C1344" s="3"/>
      <c r="D1344" s="3"/>
      <c r="E1344" s="3"/>
      <c r="F1344" s="3"/>
      <c r="G1344" s="3"/>
      <c r="I1344" s="4"/>
    </row>
    <row r="1345">
      <c r="A1345" s="3"/>
      <c r="B1345" s="3"/>
      <c r="C1345" s="3"/>
      <c r="D1345" s="3"/>
      <c r="E1345" s="3"/>
      <c r="F1345" s="3"/>
      <c r="G1345" s="3"/>
      <c r="I1345" s="4"/>
    </row>
    <row r="1346">
      <c r="A1346" s="3"/>
      <c r="B1346" s="3"/>
      <c r="C1346" s="3"/>
      <c r="D1346" s="3"/>
      <c r="E1346" s="3"/>
      <c r="F1346" s="3"/>
      <c r="G1346" s="3"/>
      <c r="I1346" s="4"/>
    </row>
    <row r="1347">
      <c r="A1347" s="3"/>
      <c r="B1347" s="3"/>
      <c r="C1347" s="3"/>
      <c r="D1347" s="3"/>
      <c r="E1347" s="3"/>
      <c r="F1347" s="3"/>
      <c r="G1347" s="3"/>
      <c r="I1347" s="4"/>
    </row>
    <row r="1348">
      <c r="A1348" s="3"/>
      <c r="B1348" s="3"/>
      <c r="C1348" s="3"/>
      <c r="D1348" s="3"/>
      <c r="E1348" s="3"/>
      <c r="F1348" s="3"/>
      <c r="G1348" s="3"/>
      <c r="I1348" s="4"/>
    </row>
    <row r="1349">
      <c r="A1349" s="3"/>
      <c r="B1349" s="3"/>
      <c r="C1349" s="3"/>
      <c r="D1349" s="3"/>
      <c r="E1349" s="3"/>
      <c r="F1349" s="3"/>
      <c r="G1349" s="3"/>
      <c r="I1349" s="4"/>
    </row>
    <row r="1350">
      <c r="A1350" s="3"/>
      <c r="B1350" s="3"/>
      <c r="C1350" s="3"/>
      <c r="D1350" s="3"/>
      <c r="E1350" s="3"/>
      <c r="F1350" s="3"/>
      <c r="G1350" s="3"/>
      <c r="I1350" s="4"/>
    </row>
    <row r="1351">
      <c r="A1351" s="3"/>
      <c r="B1351" s="3"/>
      <c r="C1351" s="3"/>
      <c r="D1351" s="3"/>
      <c r="E1351" s="3"/>
      <c r="F1351" s="3"/>
      <c r="G1351" s="3"/>
      <c r="I1351" s="4"/>
    </row>
    <row r="1352">
      <c r="A1352" s="3"/>
      <c r="B1352" s="3"/>
      <c r="C1352" s="3"/>
      <c r="D1352" s="3"/>
      <c r="E1352" s="3"/>
      <c r="F1352" s="3"/>
      <c r="G1352" s="3"/>
      <c r="I1352" s="4"/>
    </row>
    <row r="1353">
      <c r="A1353" s="3"/>
      <c r="B1353" s="3"/>
      <c r="C1353" s="3"/>
      <c r="D1353" s="3"/>
      <c r="E1353" s="3"/>
      <c r="F1353" s="3"/>
      <c r="G1353" s="3"/>
      <c r="I1353" s="4"/>
    </row>
    <row r="1354">
      <c r="A1354" s="3"/>
      <c r="B1354" s="3"/>
      <c r="C1354" s="3"/>
      <c r="D1354" s="3"/>
      <c r="E1354" s="3"/>
      <c r="F1354" s="3"/>
      <c r="G1354" s="3"/>
      <c r="I1354" s="4"/>
    </row>
    <row r="1355">
      <c r="A1355" s="3"/>
      <c r="B1355" s="3"/>
      <c r="C1355" s="3"/>
      <c r="D1355" s="3"/>
      <c r="E1355" s="3"/>
      <c r="F1355" s="3"/>
      <c r="G1355" s="3"/>
      <c r="I1355" s="4"/>
    </row>
    <row r="1356">
      <c r="A1356" s="3"/>
      <c r="B1356" s="3"/>
      <c r="C1356" s="3"/>
      <c r="D1356" s="3"/>
      <c r="E1356" s="3"/>
      <c r="F1356" s="3"/>
      <c r="G1356" s="3"/>
      <c r="I1356" s="4"/>
    </row>
    <row r="1357">
      <c r="A1357" s="3"/>
      <c r="B1357" s="3"/>
      <c r="C1357" s="3"/>
      <c r="D1357" s="3"/>
      <c r="E1357" s="3"/>
      <c r="F1357" s="3"/>
      <c r="G1357" s="3"/>
      <c r="I1357" s="4"/>
    </row>
    <row r="1358">
      <c r="A1358" s="3"/>
      <c r="B1358" s="3"/>
      <c r="C1358" s="3"/>
      <c r="D1358" s="3"/>
      <c r="E1358" s="3"/>
      <c r="F1358" s="3"/>
      <c r="G1358" s="3"/>
      <c r="I1358" s="4"/>
    </row>
    <row r="1359">
      <c r="A1359" s="3"/>
      <c r="B1359" s="3"/>
      <c r="C1359" s="3"/>
      <c r="D1359" s="3"/>
      <c r="E1359" s="3"/>
      <c r="F1359" s="3"/>
      <c r="G1359" s="3"/>
      <c r="I1359" s="4"/>
    </row>
    <row r="1360">
      <c r="A1360" s="3"/>
      <c r="B1360" s="3"/>
      <c r="C1360" s="3"/>
      <c r="D1360" s="3"/>
      <c r="E1360" s="3"/>
      <c r="F1360" s="3"/>
      <c r="G1360" s="3"/>
      <c r="I1360" s="4"/>
    </row>
    <row r="1361">
      <c r="A1361" s="3"/>
      <c r="B1361" s="3"/>
      <c r="C1361" s="3"/>
      <c r="D1361" s="3"/>
      <c r="E1361" s="3"/>
      <c r="F1361" s="3"/>
      <c r="G1361" s="3"/>
      <c r="I1361" s="4"/>
    </row>
    <row r="1362">
      <c r="A1362" s="3"/>
      <c r="B1362" s="3"/>
      <c r="C1362" s="3"/>
      <c r="D1362" s="3"/>
      <c r="E1362" s="3"/>
      <c r="F1362" s="3"/>
      <c r="G1362" s="3"/>
      <c r="I1362" s="4"/>
    </row>
    <row r="1363">
      <c r="A1363" s="3"/>
      <c r="B1363" s="3"/>
      <c r="C1363" s="3"/>
      <c r="D1363" s="3"/>
      <c r="E1363" s="3"/>
      <c r="F1363" s="3"/>
      <c r="G1363" s="3"/>
      <c r="I1363" s="4"/>
    </row>
    <row r="1364">
      <c r="A1364" s="3"/>
      <c r="B1364" s="3"/>
      <c r="C1364" s="3"/>
      <c r="D1364" s="3"/>
      <c r="E1364" s="3"/>
      <c r="F1364" s="3"/>
      <c r="G1364" s="3"/>
      <c r="I1364" s="4"/>
    </row>
    <row r="1365">
      <c r="A1365" s="3"/>
      <c r="B1365" s="3"/>
      <c r="C1365" s="3"/>
      <c r="D1365" s="3"/>
      <c r="E1365" s="3"/>
      <c r="F1365" s="3"/>
      <c r="G1365" s="3"/>
      <c r="I1365" s="4"/>
    </row>
    <row r="1366">
      <c r="A1366" s="3"/>
      <c r="B1366" s="3"/>
      <c r="C1366" s="3"/>
      <c r="D1366" s="3"/>
      <c r="E1366" s="3"/>
      <c r="F1366" s="3"/>
      <c r="G1366" s="3"/>
      <c r="I1366" s="4"/>
    </row>
    <row r="1367">
      <c r="A1367" s="3"/>
      <c r="B1367" s="3"/>
      <c r="C1367" s="3"/>
      <c r="D1367" s="3"/>
      <c r="E1367" s="3"/>
      <c r="F1367" s="3"/>
      <c r="G1367" s="3"/>
      <c r="I1367" s="4"/>
    </row>
    <row r="1368">
      <c r="A1368" s="3"/>
      <c r="B1368" s="3"/>
      <c r="C1368" s="3"/>
      <c r="D1368" s="3"/>
      <c r="E1368" s="3"/>
      <c r="F1368" s="3"/>
      <c r="G1368" s="3"/>
      <c r="I1368" s="4"/>
    </row>
    <row r="1369">
      <c r="A1369" s="3"/>
      <c r="B1369" s="3"/>
      <c r="C1369" s="3"/>
      <c r="D1369" s="3"/>
      <c r="E1369" s="3"/>
      <c r="F1369" s="3"/>
      <c r="G1369" s="3"/>
      <c r="I1369" s="4"/>
    </row>
    <row r="1370">
      <c r="A1370" s="3"/>
      <c r="B1370" s="3"/>
      <c r="C1370" s="3"/>
      <c r="D1370" s="3"/>
      <c r="E1370" s="3"/>
      <c r="F1370" s="3"/>
      <c r="G1370" s="3"/>
      <c r="I1370" s="4"/>
    </row>
    <row r="1371">
      <c r="A1371" s="3"/>
      <c r="B1371" s="3"/>
      <c r="C1371" s="3"/>
      <c r="D1371" s="3"/>
      <c r="E1371" s="3"/>
      <c r="F1371" s="3"/>
      <c r="G1371" s="3"/>
      <c r="I1371" s="4"/>
    </row>
    <row r="1372">
      <c r="A1372" s="3"/>
      <c r="B1372" s="3"/>
      <c r="C1372" s="3"/>
      <c r="D1372" s="3"/>
      <c r="E1372" s="3"/>
      <c r="F1372" s="3"/>
      <c r="G1372" s="3"/>
      <c r="I1372" s="4"/>
    </row>
    <row r="1373">
      <c r="A1373" s="3"/>
      <c r="B1373" s="3"/>
      <c r="C1373" s="3"/>
      <c r="D1373" s="3"/>
      <c r="E1373" s="3"/>
      <c r="F1373" s="3"/>
      <c r="G1373" s="3"/>
      <c r="I1373" s="4"/>
    </row>
    <row r="1374">
      <c r="A1374" s="3"/>
      <c r="B1374" s="3"/>
      <c r="C1374" s="3"/>
      <c r="D1374" s="3"/>
      <c r="E1374" s="3"/>
      <c r="F1374" s="3"/>
      <c r="G1374" s="3"/>
      <c r="I1374" s="4"/>
    </row>
    <row r="1375">
      <c r="A1375" s="3"/>
      <c r="B1375" s="3"/>
      <c r="C1375" s="3"/>
      <c r="D1375" s="3"/>
      <c r="E1375" s="3"/>
      <c r="F1375" s="3"/>
      <c r="G1375" s="3"/>
      <c r="I1375" s="4"/>
    </row>
    <row r="1376">
      <c r="A1376" s="3"/>
      <c r="B1376" s="3"/>
      <c r="C1376" s="3"/>
      <c r="D1376" s="3"/>
      <c r="E1376" s="3"/>
      <c r="F1376" s="3"/>
      <c r="G1376" s="3"/>
      <c r="I1376" s="4"/>
    </row>
    <row r="1377">
      <c r="A1377" s="3"/>
      <c r="B1377" s="3"/>
      <c r="C1377" s="3"/>
      <c r="D1377" s="3"/>
      <c r="E1377" s="3"/>
      <c r="F1377" s="3"/>
      <c r="G1377" s="3"/>
      <c r="I1377" s="4"/>
    </row>
    <row r="1378">
      <c r="A1378" s="3"/>
      <c r="B1378" s="3"/>
      <c r="C1378" s="3"/>
      <c r="D1378" s="3"/>
      <c r="E1378" s="3"/>
      <c r="F1378" s="3"/>
      <c r="G1378" s="3"/>
      <c r="I1378" s="4"/>
    </row>
    <row r="1379">
      <c r="A1379" s="3"/>
      <c r="B1379" s="3"/>
      <c r="C1379" s="3"/>
      <c r="D1379" s="3"/>
      <c r="E1379" s="3"/>
      <c r="F1379" s="3"/>
      <c r="G1379" s="3"/>
      <c r="I1379" s="4"/>
    </row>
    <row r="1380">
      <c r="A1380" s="3"/>
      <c r="B1380" s="3"/>
      <c r="C1380" s="3"/>
      <c r="D1380" s="3"/>
      <c r="E1380" s="3"/>
      <c r="F1380" s="3"/>
      <c r="G1380" s="3"/>
      <c r="I1380" s="4"/>
    </row>
    <row r="1381">
      <c r="A1381" s="3"/>
      <c r="B1381" s="3"/>
      <c r="C1381" s="3"/>
      <c r="D1381" s="3"/>
      <c r="E1381" s="3"/>
      <c r="F1381" s="3"/>
      <c r="G1381" s="3"/>
      <c r="I1381" s="4"/>
    </row>
    <row r="1382">
      <c r="A1382" s="3"/>
      <c r="B1382" s="3"/>
      <c r="C1382" s="3"/>
      <c r="D1382" s="3"/>
      <c r="E1382" s="3"/>
      <c r="F1382" s="3"/>
      <c r="G1382" s="3"/>
      <c r="I1382" s="4"/>
    </row>
    <row r="1383">
      <c r="A1383" s="3"/>
      <c r="B1383" s="3"/>
      <c r="C1383" s="3"/>
      <c r="D1383" s="3"/>
      <c r="E1383" s="3"/>
      <c r="F1383" s="3"/>
      <c r="G1383" s="3"/>
      <c r="I1383" s="4"/>
    </row>
    <row r="1384">
      <c r="A1384" s="3"/>
      <c r="B1384" s="3"/>
      <c r="C1384" s="3"/>
      <c r="D1384" s="3"/>
      <c r="E1384" s="3"/>
      <c r="F1384" s="3"/>
      <c r="G1384" s="3"/>
      <c r="I1384" s="4"/>
    </row>
    <row r="1385">
      <c r="A1385" s="3"/>
      <c r="B1385" s="3"/>
      <c r="C1385" s="3"/>
      <c r="D1385" s="3"/>
      <c r="E1385" s="3"/>
      <c r="F1385" s="3"/>
      <c r="G1385" s="3"/>
      <c r="I1385" s="4"/>
    </row>
    <row r="1386">
      <c r="A1386" s="3"/>
      <c r="B1386" s="3"/>
      <c r="C1386" s="3"/>
      <c r="D1386" s="3"/>
      <c r="E1386" s="3"/>
      <c r="F1386" s="3"/>
      <c r="G1386" s="3"/>
      <c r="I1386" s="4"/>
    </row>
    <row r="1387">
      <c r="A1387" s="3"/>
      <c r="B1387" s="3"/>
      <c r="C1387" s="3"/>
      <c r="D1387" s="3"/>
      <c r="E1387" s="3"/>
      <c r="F1387" s="3"/>
      <c r="G1387" s="3"/>
      <c r="I1387" s="4"/>
    </row>
    <row r="1388">
      <c r="A1388" s="3"/>
      <c r="B1388" s="3"/>
      <c r="C1388" s="3"/>
      <c r="D1388" s="3"/>
      <c r="E1388" s="3"/>
      <c r="F1388" s="3"/>
      <c r="G1388" s="3"/>
      <c r="I1388" s="4"/>
    </row>
    <row r="1389">
      <c r="A1389" s="3"/>
      <c r="B1389" s="3"/>
      <c r="C1389" s="3"/>
      <c r="D1389" s="3"/>
      <c r="E1389" s="3"/>
      <c r="F1389" s="3"/>
      <c r="G1389" s="3"/>
      <c r="I1389" s="4"/>
    </row>
    <row r="1390">
      <c r="A1390" s="3"/>
      <c r="B1390" s="3"/>
      <c r="C1390" s="3"/>
      <c r="D1390" s="3"/>
      <c r="E1390" s="3"/>
      <c r="F1390" s="3"/>
      <c r="G1390" s="3"/>
      <c r="I1390" s="4"/>
    </row>
    <row r="1391">
      <c r="A1391" s="3"/>
      <c r="B1391" s="3"/>
      <c r="C1391" s="3"/>
      <c r="D1391" s="3"/>
      <c r="E1391" s="3"/>
      <c r="F1391" s="3"/>
      <c r="G1391" s="3"/>
      <c r="I1391" s="4"/>
    </row>
    <row r="1392">
      <c r="A1392" s="3"/>
      <c r="B1392" s="3"/>
      <c r="C1392" s="3"/>
      <c r="D1392" s="3"/>
      <c r="E1392" s="3"/>
      <c r="F1392" s="3"/>
      <c r="G1392" s="3"/>
      <c r="I1392" s="4"/>
    </row>
    <row r="1393">
      <c r="A1393" s="3"/>
      <c r="B1393" s="3"/>
      <c r="C1393" s="3"/>
      <c r="D1393" s="3"/>
      <c r="E1393" s="3"/>
      <c r="F1393" s="3"/>
      <c r="G1393" s="3"/>
      <c r="I1393" s="4"/>
    </row>
    <row r="1394">
      <c r="A1394" s="3"/>
      <c r="B1394" s="3"/>
      <c r="C1394" s="3"/>
      <c r="D1394" s="3"/>
      <c r="E1394" s="3"/>
      <c r="F1394" s="3"/>
      <c r="G1394" s="3"/>
      <c r="I1394" s="4"/>
    </row>
    <row r="1395">
      <c r="A1395" s="3"/>
      <c r="B1395" s="3"/>
      <c r="C1395" s="3"/>
      <c r="D1395" s="3"/>
      <c r="E1395" s="3"/>
      <c r="F1395" s="3"/>
      <c r="G1395" s="3"/>
      <c r="I1395" s="4"/>
    </row>
    <row r="1396">
      <c r="A1396" s="3"/>
      <c r="B1396" s="3"/>
      <c r="C1396" s="3"/>
      <c r="D1396" s="3"/>
      <c r="E1396" s="3"/>
      <c r="F1396" s="3"/>
      <c r="G1396" s="3"/>
      <c r="I1396" s="4"/>
    </row>
    <row r="1397">
      <c r="A1397" s="3"/>
      <c r="B1397" s="3"/>
      <c r="C1397" s="3"/>
      <c r="D1397" s="3"/>
      <c r="E1397" s="3"/>
      <c r="F1397" s="3"/>
      <c r="G1397" s="3"/>
      <c r="I1397" s="4"/>
    </row>
    <row r="1398">
      <c r="A1398" s="3"/>
      <c r="B1398" s="3"/>
      <c r="C1398" s="3"/>
      <c r="D1398" s="3"/>
      <c r="E1398" s="3"/>
      <c r="F1398" s="3"/>
      <c r="G1398" s="3"/>
      <c r="I1398" s="4"/>
    </row>
    <row r="1399">
      <c r="A1399" s="3"/>
      <c r="B1399" s="3"/>
      <c r="C1399" s="3"/>
      <c r="D1399" s="3"/>
      <c r="E1399" s="3"/>
      <c r="F1399" s="3"/>
      <c r="G1399" s="3"/>
      <c r="I1399" s="4"/>
    </row>
    <row r="1400">
      <c r="A1400" s="3"/>
      <c r="B1400" s="3"/>
      <c r="C1400" s="3"/>
      <c r="D1400" s="3"/>
      <c r="E1400" s="3"/>
      <c r="F1400" s="3"/>
      <c r="G1400" s="3"/>
      <c r="I1400" s="4"/>
    </row>
    <row r="1401">
      <c r="A1401" s="3"/>
      <c r="B1401" s="3"/>
      <c r="C1401" s="3"/>
      <c r="D1401" s="3"/>
      <c r="E1401" s="3"/>
      <c r="F1401" s="3"/>
      <c r="G1401" s="3"/>
      <c r="I1401" s="4"/>
    </row>
    <row r="1402">
      <c r="A1402" s="3"/>
      <c r="B1402" s="3"/>
      <c r="C1402" s="3"/>
      <c r="D1402" s="3"/>
      <c r="E1402" s="3"/>
      <c r="F1402" s="3"/>
      <c r="G1402" s="3"/>
      <c r="I1402" s="4"/>
    </row>
    <row r="1403">
      <c r="A1403" s="3"/>
      <c r="B1403" s="3"/>
      <c r="C1403" s="3"/>
      <c r="D1403" s="3"/>
      <c r="E1403" s="3"/>
      <c r="F1403" s="3"/>
      <c r="G1403" s="3"/>
      <c r="I1403" s="4"/>
    </row>
    <row r="1404">
      <c r="A1404" s="3"/>
      <c r="B1404" s="3"/>
      <c r="C1404" s="3"/>
      <c r="D1404" s="3"/>
      <c r="E1404" s="3"/>
      <c r="F1404" s="3"/>
      <c r="G1404" s="3"/>
      <c r="I1404" s="4"/>
    </row>
    <row r="1405">
      <c r="A1405" s="3"/>
      <c r="B1405" s="3"/>
      <c r="C1405" s="3"/>
      <c r="D1405" s="3"/>
      <c r="E1405" s="3"/>
      <c r="F1405" s="3"/>
      <c r="G1405" s="3"/>
      <c r="I1405" s="4"/>
    </row>
    <row r="1406">
      <c r="A1406" s="3"/>
      <c r="B1406" s="3"/>
      <c r="C1406" s="3"/>
      <c r="D1406" s="3"/>
      <c r="E1406" s="3"/>
      <c r="F1406" s="3"/>
      <c r="G1406" s="3"/>
      <c r="I1406" s="4"/>
    </row>
    <row r="1407">
      <c r="A1407" s="3"/>
      <c r="B1407" s="3"/>
      <c r="C1407" s="3"/>
      <c r="D1407" s="3"/>
      <c r="E1407" s="3"/>
      <c r="F1407" s="3"/>
      <c r="G1407" s="3"/>
      <c r="I1407" s="4"/>
    </row>
    <row r="1408">
      <c r="A1408" s="3"/>
      <c r="B1408" s="3"/>
      <c r="C1408" s="3"/>
      <c r="D1408" s="3"/>
      <c r="E1408" s="3"/>
      <c r="F1408" s="3"/>
      <c r="G1408" s="3"/>
      <c r="I1408" s="4"/>
    </row>
    <row r="1409">
      <c r="A1409" s="3"/>
      <c r="B1409" s="3"/>
      <c r="C1409" s="3"/>
      <c r="D1409" s="3"/>
      <c r="E1409" s="3"/>
      <c r="F1409" s="3"/>
      <c r="G1409" s="3"/>
      <c r="I1409" s="4"/>
    </row>
    <row r="1410">
      <c r="A1410" s="3"/>
      <c r="B1410" s="3"/>
      <c r="C1410" s="3"/>
      <c r="D1410" s="3"/>
      <c r="E1410" s="3"/>
      <c r="F1410" s="3"/>
      <c r="G1410" s="3"/>
      <c r="I1410" s="4"/>
    </row>
    <row r="1411">
      <c r="A1411" s="3"/>
      <c r="B1411" s="3"/>
      <c r="C1411" s="3"/>
      <c r="D1411" s="3"/>
      <c r="E1411" s="3"/>
      <c r="F1411" s="3"/>
      <c r="G1411" s="3"/>
      <c r="I1411" s="4"/>
    </row>
    <row r="1412">
      <c r="A1412" s="3"/>
      <c r="B1412" s="3"/>
      <c r="C1412" s="3"/>
      <c r="D1412" s="3"/>
      <c r="E1412" s="3"/>
      <c r="F1412" s="3"/>
      <c r="G1412" s="3"/>
      <c r="I1412" s="4"/>
    </row>
    <row r="1413">
      <c r="A1413" s="3"/>
      <c r="B1413" s="3"/>
      <c r="C1413" s="3"/>
      <c r="D1413" s="3"/>
      <c r="E1413" s="3"/>
      <c r="F1413" s="3"/>
      <c r="G1413" s="3"/>
      <c r="I1413" s="4"/>
    </row>
    <row r="1414">
      <c r="A1414" s="3"/>
      <c r="B1414" s="3"/>
      <c r="C1414" s="3"/>
      <c r="D1414" s="3"/>
      <c r="E1414" s="3"/>
      <c r="F1414" s="3"/>
      <c r="G1414" s="3"/>
      <c r="I1414" s="4"/>
    </row>
    <row r="1415">
      <c r="A1415" s="3"/>
      <c r="B1415" s="3"/>
      <c r="C1415" s="3"/>
      <c r="D1415" s="3"/>
      <c r="E1415" s="3"/>
      <c r="F1415" s="3"/>
      <c r="G1415" s="3"/>
      <c r="I1415" s="4"/>
    </row>
    <row r="1416">
      <c r="A1416" s="3"/>
      <c r="B1416" s="3"/>
      <c r="C1416" s="3"/>
      <c r="D1416" s="3"/>
      <c r="E1416" s="3"/>
      <c r="F1416" s="3"/>
      <c r="G1416" s="3"/>
      <c r="I1416" s="4"/>
    </row>
    <row r="1417">
      <c r="A1417" s="3"/>
      <c r="B1417" s="3"/>
      <c r="C1417" s="3"/>
      <c r="D1417" s="3"/>
      <c r="E1417" s="3"/>
      <c r="F1417" s="3"/>
      <c r="G1417" s="3"/>
      <c r="I1417" s="4"/>
    </row>
    <row r="1418">
      <c r="A1418" s="3"/>
      <c r="B1418" s="3"/>
      <c r="C1418" s="3"/>
      <c r="D1418" s="3"/>
      <c r="E1418" s="3"/>
      <c r="F1418" s="3"/>
      <c r="G1418" s="3"/>
      <c r="I1418" s="4"/>
    </row>
    <row r="1419">
      <c r="A1419" s="3"/>
      <c r="B1419" s="3"/>
      <c r="C1419" s="3"/>
      <c r="D1419" s="3"/>
      <c r="E1419" s="3"/>
      <c r="F1419" s="3"/>
      <c r="G1419" s="3"/>
      <c r="I1419" s="4"/>
    </row>
    <row r="1420">
      <c r="A1420" s="3"/>
      <c r="B1420" s="3"/>
      <c r="C1420" s="3"/>
      <c r="D1420" s="3"/>
      <c r="E1420" s="3"/>
      <c r="F1420" s="3"/>
      <c r="G1420" s="3"/>
      <c r="I1420" s="4"/>
    </row>
    <row r="1421">
      <c r="A1421" s="3"/>
      <c r="B1421" s="3"/>
      <c r="C1421" s="3"/>
      <c r="D1421" s="3"/>
      <c r="E1421" s="3"/>
      <c r="F1421" s="3"/>
      <c r="G1421" s="3"/>
      <c r="I1421" s="4"/>
    </row>
    <row r="1422">
      <c r="A1422" s="3"/>
      <c r="B1422" s="3"/>
      <c r="C1422" s="3"/>
      <c r="D1422" s="3"/>
      <c r="E1422" s="3"/>
      <c r="F1422" s="3"/>
      <c r="G1422" s="3"/>
      <c r="I1422" s="4"/>
    </row>
    <row r="1423">
      <c r="A1423" s="3"/>
      <c r="B1423" s="3"/>
      <c r="C1423" s="3"/>
      <c r="D1423" s="3"/>
      <c r="E1423" s="3"/>
      <c r="F1423" s="3"/>
      <c r="G1423" s="3"/>
      <c r="I1423" s="4"/>
    </row>
    <row r="1424">
      <c r="A1424" s="3"/>
      <c r="B1424" s="3"/>
      <c r="C1424" s="3"/>
      <c r="D1424" s="3"/>
      <c r="E1424" s="3"/>
      <c r="F1424" s="3"/>
      <c r="G1424" s="3"/>
      <c r="I1424" s="4"/>
    </row>
    <row r="1425">
      <c r="A1425" s="3"/>
      <c r="B1425" s="3"/>
      <c r="C1425" s="3"/>
      <c r="D1425" s="3"/>
      <c r="E1425" s="3"/>
      <c r="F1425" s="3"/>
      <c r="G1425" s="3"/>
      <c r="I1425" s="4"/>
    </row>
    <row r="1426">
      <c r="A1426" s="3"/>
      <c r="B1426" s="3"/>
      <c r="C1426" s="3"/>
      <c r="D1426" s="3"/>
      <c r="E1426" s="3"/>
      <c r="F1426" s="3"/>
      <c r="G1426" s="3"/>
      <c r="I1426" s="4"/>
    </row>
    <row r="1427">
      <c r="A1427" s="3"/>
      <c r="B1427" s="3"/>
      <c r="C1427" s="3"/>
      <c r="D1427" s="3"/>
      <c r="E1427" s="3"/>
      <c r="F1427" s="3"/>
      <c r="G1427" s="3"/>
      <c r="I1427" s="4"/>
    </row>
    <row r="1428">
      <c r="A1428" s="3"/>
      <c r="B1428" s="3"/>
      <c r="C1428" s="3"/>
      <c r="D1428" s="3"/>
      <c r="E1428" s="3"/>
      <c r="F1428" s="3"/>
      <c r="G1428" s="3"/>
      <c r="I1428" s="4"/>
    </row>
    <row r="1429">
      <c r="A1429" s="3"/>
      <c r="B1429" s="3"/>
      <c r="C1429" s="3"/>
      <c r="D1429" s="3"/>
      <c r="E1429" s="3"/>
      <c r="F1429" s="3"/>
      <c r="G1429" s="3"/>
      <c r="I1429" s="4"/>
    </row>
    <row r="1430">
      <c r="A1430" s="3"/>
      <c r="B1430" s="3"/>
      <c r="C1430" s="3"/>
      <c r="D1430" s="3"/>
      <c r="E1430" s="3"/>
      <c r="F1430" s="3"/>
      <c r="G1430" s="3"/>
      <c r="I1430" s="4"/>
    </row>
    <row r="1431">
      <c r="A1431" s="3"/>
      <c r="B1431" s="3"/>
      <c r="C1431" s="3"/>
      <c r="D1431" s="3"/>
      <c r="E1431" s="3"/>
      <c r="F1431" s="3"/>
      <c r="G1431" s="3"/>
      <c r="I1431" s="4"/>
    </row>
    <row r="1432">
      <c r="A1432" s="3"/>
      <c r="B1432" s="3"/>
      <c r="C1432" s="3"/>
      <c r="D1432" s="3"/>
      <c r="E1432" s="3"/>
      <c r="F1432" s="3"/>
      <c r="G1432" s="3"/>
      <c r="I1432" s="4"/>
    </row>
    <row r="1433">
      <c r="A1433" s="3"/>
      <c r="B1433" s="3"/>
      <c r="C1433" s="3"/>
      <c r="D1433" s="3"/>
      <c r="E1433" s="3"/>
      <c r="F1433" s="3"/>
      <c r="G1433" s="3"/>
      <c r="I1433" s="4"/>
    </row>
    <row r="1434">
      <c r="A1434" s="3"/>
      <c r="B1434" s="3"/>
      <c r="C1434" s="3"/>
      <c r="D1434" s="3"/>
      <c r="E1434" s="3"/>
      <c r="F1434" s="3"/>
      <c r="G1434" s="3"/>
      <c r="I1434" s="4"/>
    </row>
    <row r="1435">
      <c r="A1435" s="3"/>
      <c r="B1435" s="3"/>
      <c r="C1435" s="3"/>
      <c r="D1435" s="3"/>
      <c r="E1435" s="3"/>
      <c r="F1435" s="3"/>
      <c r="G1435" s="3"/>
      <c r="I1435" s="4"/>
    </row>
    <row r="1436">
      <c r="A1436" s="3"/>
      <c r="B1436" s="3"/>
      <c r="C1436" s="3"/>
      <c r="D1436" s="3"/>
      <c r="E1436" s="3"/>
      <c r="F1436" s="3"/>
      <c r="G1436" s="3"/>
      <c r="I1436" s="4"/>
    </row>
    <row r="1437">
      <c r="A1437" s="3"/>
      <c r="B1437" s="3"/>
      <c r="C1437" s="3"/>
      <c r="D1437" s="3"/>
      <c r="E1437" s="3"/>
      <c r="F1437" s="3"/>
      <c r="G1437" s="3"/>
      <c r="I1437" s="4"/>
    </row>
    <row r="1438">
      <c r="A1438" s="3"/>
      <c r="B1438" s="3"/>
      <c r="C1438" s="3"/>
      <c r="D1438" s="3"/>
      <c r="E1438" s="3"/>
      <c r="F1438" s="3"/>
      <c r="G1438" s="3"/>
      <c r="I1438" s="4"/>
    </row>
    <row r="1439">
      <c r="A1439" s="3"/>
      <c r="B1439" s="3"/>
      <c r="C1439" s="3"/>
      <c r="D1439" s="3"/>
      <c r="E1439" s="3"/>
      <c r="F1439" s="3"/>
      <c r="G1439" s="3"/>
      <c r="I1439" s="4"/>
    </row>
    <row r="1440">
      <c r="A1440" s="3"/>
      <c r="B1440" s="3"/>
      <c r="C1440" s="3"/>
      <c r="D1440" s="3"/>
      <c r="E1440" s="3"/>
      <c r="F1440" s="3"/>
      <c r="G1440" s="3"/>
      <c r="I1440" s="4"/>
    </row>
    <row r="1441">
      <c r="A1441" s="3"/>
      <c r="B1441" s="3"/>
      <c r="C1441" s="3"/>
      <c r="D1441" s="3"/>
      <c r="E1441" s="3"/>
      <c r="F1441" s="3"/>
      <c r="G1441" s="3"/>
      <c r="I1441" s="4"/>
    </row>
    <row r="1442">
      <c r="A1442" s="3"/>
      <c r="B1442" s="3"/>
      <c r="C1442" s="3"/>
      <c r="D1442" s="3"/>
      <c r="E1442" s="3"/>
      <c r="F1442" s="3"/>
      <c r="G1442" s="3"/>
      <c r="I1442" s="4"/>
    </row>
    <row r="1443">
      <c r="A1443" s="3"/>
      <c r="B1443" s="3"/>
      <c r="C1443" s="3"/>
      <c r="D1443" s="3"/>
      <c r="E1443" s="3"/>
      <c r="F1443" s="3"/>
      <c r="G1443" s="3"/>
      <c r="I1443" s="4"/>
    </row>
    <row r="1444">
      <c r="A1444" s="3"/>
      <c r="B1444" s="3"/>
      <c r="C1444" s="3"/>
      <c r="D1444" s="3"/>
      <c r="E1444" s="3"/>
      <c r="F1444" s="3"/>
      <c r="G1444" s="3"/>
      <c r="I1444" s="4"/>
    </row>
    <row r="1445">
      <c r="A1445" s="3"/>
      <c r="B1445" s="3"/>
      <c r="C1445" s="3"/>
      <c r="D1445" s="3"/>
      <c r="E1445" s="3"/>
      <c r="F1445" s="3"/>
      <c r="G1445" s="3"/>
      <c r="I1445" s="4"/>
    </row>
    <row r="1446">
      <c r="A1446" s="3"/>
      <c r="B1446" s="3"/>
      <c r="C1446" s="3"/>
      <c r="D1446" s="3"/>
      <c r="E1446" s="3"/>
      <c r="F1446" s="3"/>
      <c r="G1446" s="3"/>
      <c r="I1446" s="4"/>
    </row>
    <row r="1447">
      <c r="A1447" s="3"/>
      <c r="B1447" s="3"/>
      <c r="C1447" s="3"/>
      <c r="D1447" s="3"/>
      <c r="E1447" s="3"/>
      <c r="F1447" s="3"/>
      <c r="G1447" s="3"/>
      <c r="I1447" s="4"/>
    </row>
    <row r="1448">
      <c r="A1448" s="3"/>
      <c r="B1448" s="3"/>
      <c r="C1448" s="3"/>
      <c r="D1448" s="3"/>
      <c r="E1448" s="3"/>
      <c r="F1448" s="3"/>
      <c r="G1448" s="3"/>
      <c r="I1448" s="4"/>
    </row>
    <row r="1449">
      <c r="A1449" s="3"/>
      <c r="B1449" s="3"/>
      <c r="C1449" s="3"/>
      <c r="D1449" s="3"/>
      <c r="E1449" s="3"/>
      <c r="F1449" s="3"/>
      <c r="G1449" s="3"/>
      <c r="I1449" s="4"/>
    </row>
    <row r="1450">
      <c r="A1450" s="3"/>
      <c r="B1450" s="3"/>
      <c r="C1450" s="3"/>
      <c r="D1450" s="3"/>
      <c r="E1450" s="3"/>
      <c r="F1450" s="3"/>
      <c r="G1450" s="3"/>
      <c r="I1450" s="4"/>
    </row>
    <row r="1451">
      <c r="A1451" s="3"/>
      <c r="B1451" s="3"/>
      <c r="C1451" s="3"/>
      <c r="D1451" s="3"/>
      <c r="E1451" s="3"/>
      <c r="F1451" s="3"/>
      <c r="G1451" s="3"/>
      <c r="I1451" s="4"/>
    </row>
    <row r="1452">
      <c r="A1452" s="3"/>
      <c r="B1452" s="3"/>
      <c r="C1452" s="3"/>
      <c r="D1452" s="3"/>
      <c r="E1452" s="3"/>
      <c r="F1452" s="3"/>
      <c r="G1452" s="3"/>
      <c r="I1452" s="4"/>
    </row>
    <row r="1453">
      <c r="A1453" s="3"/>
      <c r="B1453" s="3"/>
      <c r="C1453" s="3"/>
      <c r="D1453" s="3"/>
      <c r="E1453" s="3"/>
      <c r="F1453" s="3"/>
      <c r="G1453" s="3"/>
      <c r="I1453" s="4"/>
    </row>
    <row r="1454">
      <c r="A1454" s="3"/>
      <c r="B1454" s="3"/>
      <c r="C1454" s="3"/>
      <c r="D1454" s="3"/>
      <c r="E1454" s="3"/>
      <c r="F1454" s="3"/>
      <c r="G1454" s="3"/>
      <c r="I1454" s="4"/>
    </row>
    <row r="1455">
      <c r="A1455" s="3"/>
      <c r="B1455" s="3"/>
      <c r="C1455" s="3"/>
      <c r="D1455" s="3"/>
      <c r="E1455" s="3"/>
      <c r="F1455" s="3"/>
      <c r="G1455" s="3"/>
      <c r="I1455" s="4"/>
    </row>
    <row r="1456">
      <c r="A1456" s="3"/>
      <c r="B1456" s="3"/>
      <c r="C1456" s="3"/>
      <c r="D1456" s="3"/>
      <c r="E1456" s="3"/>
      <c r="F1456" s="3"/>
      <c r="G1456" s="3"/>
      <c r="I1456" s="4"/>
    </row>
    <row r="1457">
      <c r="A1457" s="3"/>
      <c r="B1457" s="3"/>
      <c r="C1457" s="3"/>
      <c r="D1457" s="3"/>
      <c r="E1457" s="3"/>
      <c r="F1457" s="3"/>
      <c r="G1457" s="3"/>
      <c r="I1457" s="4"/>
    </row>
    <row r="1458">
      <c r="A1458" s="3"/>
      <c r="B1458" s="3"/>
      <c r="C1458" s="3"/>
      <c r="D1458" s="3"/>
      <c r="E1458" s="3"/>
      <c r="F1458" s="3"/>
      <c r="G1458" s="3"/>
      <c r="I1458" s="4"/>
    </row>
    <row r="1459">
      <c r="A1459" s="3"/>
      <c r="B1459" s="3"/>
      <c r="C1459" s="3"/>
      <c r="D1459" s="3"/>
      <c r="E1459" s="3"/>
      <c r="F1459" s="3"/>
      <c r="G1459" s="3"/>
      <c r="I1459" s="4"/>
    </row>
    <row r="1460">
      <c r="A1460" s="3"/>
      <c r="B1460" s="3"/>
      <c r="C1460" s="3"/>
      <c r="D1460" s="3"/>
      <c r="E1460" s="3"/>
      <c r="F1460" s="3"/>
      <c r="G1460" s="3"/>
      <c r="I1460" s="4"/>
    </row>
    <row r="1461">
      <c r="A1461" s="3"/>
      <c r="B1461" s="3"/>
      <c r="C1461" s="3"/>
      <c r="D1461" s="3"/>
      <c r="E1461" s="3"/>
      <c r="F1461" s="3"/>
      <c r="G1461" s="3"/>
      <c r="I1461" s="4"/>
    </row>
    <row r="1462">
      <c r="A1462" s="3"/>
      <c r="B1462" s="3"/>
      <c r="C1462" s="3"/>
      <c r="D1462" s="3"/>
      <c r="E1462" s="3"/>
      <c r="F1462" s="3"/>
      <c r="G1462" s="3"/>
      <c r="I1462" s="4"/>
    </row>
    <row r="1463">
      <c r="A1463" s="3"/>
      <c r="B1463" s="3"/>
      <c r="C1463" s="3"/>
      <c r="D1463" s="3"/>
      <c r="E1463" s="3"/>
      <c r="F1463" s="3"/>
      <c r="G1463" s="3"/>
      <c r="I1463" s="4"/>
    </row>
    <row r="1464">
      <c r="A1464" s="3"/>
      <c r="B1464" s="3"/>
      <c r="C1464" s="3"/>
      <c r="D1464" s="3"/>
      <c r="E1464" s="3"/>
      <c r="F1464" s="3"/>
      <c r="G1464" s="3"/>
      <c r="I1464" s="4"/>
    </row>
    <row r="1465">
      <c r="A1465" s="3"/>
      <c r="B1465" s="3"/>
      <c r="C1465" s="3"/>
      <c r="D1465" s="3"/>
      <c r="E1465" s="3"/>
      <c r="F1465" s="3"/>
      <c r="G1465" s="3"/>
      <c r="I1465" s="4"/>
    </row>
    <row r="1466">
      <c r="A1466" s="3"/>
      <c r="B1466" s="3"/>
      <c r="C1466" s="3"/>
      <c r="D1466" s="3"/>
      <c r="E1466" s="3"/>
      <c r="F1466" s="3"/>
      <c r="G1466" s="3"/>
      <c r="I1466" s="4"/>
    </row>
    <row r="1467">
      <c r="A1467" s="3"/>
      <c r="B1467" s="3"/>
      <c r="C1467" s="3"/>
      <c r="D1467" s="3"/>
      <c r="E1467" s="3"/>
      <c r="F1467" s="3"/>
      <c r="G1467" s="3"/>
      <c r="I1467" s="4"/>
    </row>
    <row r="1468">
      <c r="A1468" s="3"/>
      <c r="B1468" s="3"/>
      <c r="C1468" s="3"/>
      <c r="D1468" s="3"/>
      <c r="E1468" s="3"/>
      <c r="F1468" s="3"/>
      <c r="G1468" s="3"/>
      <c r="I1468" s="4"/>
    </row>
    <row r="1469">
      <c r="A1469" s="3"/>
      <c r="B1469" s="3"/>
      <c r="C1469" s="3"/>
      <c r="D1469" s="3"/>
      <c r="E1469" s="3"/>
      <c r="F1469" s="3"/>
      <c r="G1469" s="3"/>
      <c r="I1469" s="4"/>
    </row>
    <row r="1470">
      <c r="A1470" s="3"/>
      <c r="B1470" s="3"/>
      <c r="C1470" s="3"/>
      <c r="D1470" s="3"/>
      <c r="E1470" s="3"/>
      <c r="F1470" s="3"/>
      <c r="G1470" s="3"/>
      <c r="I1470" s="4"/>
    </row>
    <row r="1471">
      <c r="A1471" s="3"/>
      <c r="B1471" s="3"/>
      <c r="C1471" s="3"/>
      <c r="D1471" s="3"/>
      <c r="E1471" s="3"/>
      <c r="F1471" s="3"/>
      <c r="G1471" s="3"/>
      <c r="I1471" s="4"/>
    </row>
    <row r="1472">
      <c r="A1472" s="3"/>
      <c r="B1472" s="3"/>
      <c r="C1472" s="3"/>
      <c r="D1472" s="3"/>
      <c r="E1472" s="3"/>
      <c r="F1472" s="3"/>
      <c r="G1472" s="3"/>
      <c r="I1472" s="4"/>
    </row>
    <row r="1473">
      <c r="A1473" s="3"/>
      <c r="B1473" s="3"/>
      <c r="C1473" s="3"/>
      <c r="D1473" s="3"/>
      <c r="E1473" s="3"/>
      <c r="F1473" s="3"/>
      <c r="G1473" s="3"/>
      <c r="I1473" s="4"/>
    </row>
    <row r="1474">
      <c r="A1474" s="3"/>
      <c r="B1474" s="3"/>
      <c r="C1474" s="3"/>
      <c r="D1474" s="3"/>
      <c r="E1474" s="3"/>
      <c r="F1474" s="3"/>
      <c r="G1474" s="3"/>
      <c r="I1474" s="4"/>
    </row>
    <row r="1475">
      <c r="A1475" s="3"/>
      <c r="B1475" s="3"/>
      <c r="C1475" s="3"/>
      <c r="D1475" s="3"/>
      <c r="E1475" s="3"/>
      <c r="F1475" s="3"/>
      <c r="G1475" s="3"/>
      <c r="I1475" s="4"/>
    </row>
    <row r="1476">
      <c r="A1476" s="3"/>
      <c r="B1476" s="3"/>
      <c r="C1476" s="3"/>
      <c r="D1476" s="3"/>
      <c r="E1476" s="3"/>
      <c r="F1476" s="3"/>
      <c r="G1476" s="3"/>
      <c r="I1476" s="4"/>
    </row>
    <row r="1477">
      <c r="A1477" s="3"/>
      <c r="B1477" s="3"/>
      <c r="C1477" s="3"/>
      <c r="D1477" s="3"/>
      <c r="E1477" s="3"/>
      <c r="F1477" s="3"/>
      <c r="G1477" s="3"/>
      <c r="I1477" s="4"/>
    </row>
    <row r="1478">
      <c r="A1478" s="3"/>
      <c r="B1478" s="3"/>
      <c r="C1478" s="3"/>
      <c r="D1478" s="3"/>
      <c r="E1478" s="3"/>
      <c r="F1478" s="3"/>
      <c r="G1478" s="3"/>
      <c r="I1478" s="4"/>
    </row>
    <row r="1479">
      <c r="A1479" s="3"/>
      <c r="B1479" s="3"/>
      <c r="C1479" s="3"/>
      <c r="D1479" s="3"/>
      <c r="E1479" s="3"/>
      <c r="F1479" s="3"/>
      <c r="G1479" s="3"/>
      <c r="I1479" s="4"/>
    </row>
    <row r="1480">
      <c r="A1480" s="3"/>
      <c r="B1480" s="3"/>
      <c r="C1480" s="3"/>
      <c r="D1480" s="3"/>
      <c r="E1480" s="3"/>
      <c r="F1480" s="3"/>
      <c r="G1480" s="3"/>
      <c r="I1480" s="4"/>
    </row>
    <row r="1481">
      <c r="A1481" s="3"/>
      <c r="B1481" s="3"/>
      <c r="C1481" s="3"/>
      <c r="D1481" s="3"/>
      <c r="E1481" s="3"/>
      <c r="F1481" s="3"/>
      <c r="G1481" s="3"/>
      <c r="I1481" s="4"/>
    </row>
    <row r="1482">
      <c r="A1482" s="3"/>
      <c r="B1482" s="3"/>
      <c r="C1482" s="3"/>
      <c r="D1482" s="3"/>
      <c r="E1482" s="3"/>
      <c r="F1482" s="3"/>
      <c r="G1482" s="3"/>
      <c r="I1482" s="4"/>
    </row>
    <row r="1483">
      <c r="A1483" s="3"/>
      <c r="B1483" s="3"/>
      <c r="C1483" s="3"/>
      <c r="D1483" s="3"/>
      <c r="E1483" s="3"/>
      <c r="F1483" s="3"/>
      <c r="G1483" s="3"/>
      <c r="I1483" s="4"/>
    </row>
    <row r="1484">
      <c r="A1484" s="3"/>
      <c r="B1484" s="3"/>
      <c r="C1484" s="3"/>
      <c r="D1484" s="3"/>
      <c r="E1484" s="3"/>
      <c r="F1484" s="3"/>
      <c r="G1484" s="3"/>
      <c r="I1484" s="4"/>
    </row>
    <row r="1485">
      <c r="A1485" s="3"/>
      <c r="B1485" s="3"/>
      <c r="C1485" s="3"/>
      <c r="D1485" s="3"/>
      <c r="E1485" s="3"/>
      <c r="F1485" s="3"/>
      <c r="G1485" s="3"/>
      <c r="I1485" s="4"/>
    </row>
    <row r="1486">
      <c r="A1486" s="3"/>
      <c r="B1486" s="3"/>
      <c r="C1486" s="3"/>
      <c r="D1486" s="3"/>
      <c r="E1486" s="3"/>
      <c r="F1486" s="3"/>
      <c r="G1486" s="3"/>
      <c r="I1486" s="4"/>
    </row>
    <row r="1487">
      <c r="A1487" s="3"/>
      <c r="B1487" s="3"/>
      <c r="C1487" s="3"/>
      <c r="D1487" s="3"/>
      <c r="E1487" s="3"/>
      <c r="F1487" s="3"/>
      <c r="G1487" s="3"/>
      <c r="I1487" s="4"/>
    </row>
    <row r="1488">
      <c r="A1488" s="3"/>
      <c r="B1488" s="3"/>
      <c r="C1488" s="3"/>
      <c r="D1488" s="3"/>
      <c r="E1488" s="3"/>
      <c r="F1488" s="3"/>
      <c r="G1488" s="3"/>
      <c r="I1488" s="4"/>
    </row>
    <row r="1489">
      <c r="A1489" s="3"/>
      <c r="B1489" s="3"/>
      <c r="C1489" s="3"/>
      <c r="D1489" s="3"/>
      <c r="E1489" s="3"/>
      <c r="F1489" s="3"/>
      <c r="G1489" s="3"/>
      <c r="I1489" s="4"/>
    </row>
    <row r="1490">
      <c r="A1490" s="3"/>
      <c r="B1490" s="3"/>
      <c r="C1490" s="3"/>
      <c r="D1490" s="3"/>
      <c r="E1490" s="3"/>
      <c r="F1490" s="3"/>
      <c r="G1490" s="3"/>
      <c r="I1490" s="4"/>
    </row>
    <row r="1491">
      <c r="A1491" s="3"/>
      <c r="B1491" s="3"/>
      <c r="C1491" s="3"/>
      <c r="D1491" s="3"/>
      <c r="E1491" s="3"/>
      <c r="F1491" s="3"/>
      <c r="G1491" s="3"/>
      <c r="I1491" s="4"/>
    </row>
    <row r="1492">
      <c r="A1492" s="3"/>
      <c r="B1492" s="3"/>
      <c r="C1492" s="3"/>
      <c r="D1492" s="3"/>
      <c r="E1492" s="3"/>
      <c r="F1492" s="3"/>
      <c r="G1492" s="3"/>
      <c r="I1492" s="4"/>
    </row>
    <row r="1493">
      <c r="A1493" s="3"/>
      <c r="B1493" s="3"/>
      <c r="C1493" s="3"/>
      <c r="D1493" s="3"/>
      <c r="E1493" s="3"/>
      <c r="F1493" s="3"/>
      <c r="G1493" s="3"/>
      <c r="I1493" s="4"/>
    </row>
    <row r="1494">
      <c r="A1494" s="3"/>
      <c r="B1494" s="3"/>
      <c r="C1494" s="3"/>
      <c r="D1494" s="3"/>
      <c r="E1494" s="3"/>
      <c r="F1494" s="3"/>
      <c r="G1494" s="3"/>
      <c r="I1494" s="4"/>
    </row>
    <row r="1495">
      <c r="A1495" s="3"/>
      <c r="B1495" s="3"/>
      <c r="C1495" s="3"/>
      <c r="D1495" s="3"/>
      <c r="E1495" s="3"/>
      <c r="F1495" s="3"/>
      <c r="G1495" s="3"/>
      <c r="I1495" s="4"/>
    </row>
    <row r="1496">
      <c r="A1496" s="3"/>
      <c r="B1496" s="3"/>
      <c r="C1496" s="3"/>
      <c r="D1496" s="3"/>
      <c r="E1496" s="3"/>
      <c r="F1496" s="3"/>
      <c r="G1496" s="3"/>
      <c r="I1496" s="4"/>
    </row>
    <row r="1497">
      <c r="A1497" s="3"/>
      <c r="B1497" s="3"/>
      <c r="C1497" s="3"/>
      <c r="D1497" s="3"/>
      <c r="E1497" s="3"/>
      <c r="F1497" s="3"/>
      <c r="G1497" s="3"/>
      <c r="I1497" s="4"/>
    </row>
    <row r="1498">
      <c r="A1498" s="3"/>
      <c r="B1498" s="3"/>
      <c r="C1498" s="3"/>
      <c r="D1498" s="3"/>
      <c r="E1498" s="3"/>
      <c r="F1498" s="3"/>
      <c r="G1498" s="3"/>
      <c r="I1498" s="4"/>
    </row>
    <row r="1499">
      <c r="A1499" s="3"/>
      <c r="B1499" s="3"/>
      <c r="C1499" s="3"/>
      <c r="D1499" s="3"/>
      <c r="E1499" s="3"/>
      <c r="F1499" s="3"/>
      <c r="G1499" s="3"/>
      <c r="I1499" s="4"/>
    </row>
    <row r="1500">
      <c r="A1500" s="3"/>
      <c r="B1500" s="3"/>
      <c r="C1500" s="3"/>
      <c r="D1500" s="3"/>
      <c r="E1500" s="3"/>
      <c r="F1500" s="3"/>
      <c r="G1500" s="3"/>
      <c r="I1500" s="4"/>
    </row>
    <row r="1501">
      <c r="A1501" s="3"/>
      <c r="B1501" s="3"/>
      <c r="C1501" s="3"/>
      <c r="D1501" s="3"/>
      <c r="E1501" s="3"/>
      <c r="F1501" s="3"/>
      <c r="G1501" s="3"/>
      <c r="I1501" s="4"/>
    </row>
    <row r="1502">
      <c r="A1502" s="3"/>
      <c r="B1502" s="3"/>
      <c r="C1502" s="3"/>
      <c r="D1502" s="3"/>
      <c r="E1502" s="3"/>
      <c r="F1502" s="3"/>
      <c r="G1502" s="3"/>
      <c r="I1502" s="4"/>
    </row>
    <row r="1503">
      <c r="A1503" s="3"/>
      <c r="B1503" s="3"/>
      <c r="C1503" s="3"/>
      <c r="D1503" s="3"/>
      <c r="E1503" s="3"/>
      <c r="F1503" s="3"/>
      <c r="G1503" s="3"/>
      <c r="I1503" s="4"/>
    </row>
    <row r="1504">
      <c r="A1504" s="3"/>
      <c r="B1504" s="3"/>
      <c r="C1504" s="3"/>
      <c r="D1504" s="3"/>
      <c r="E1504" s="3"/>
      <c r="F1504" s="3"/>
      <c r="G1504" s="3"/>
      <c r="I1504" s="4"/>
    </row>
    <row r="1505">
      <c r="A1505" s="3"/>
      <c r="B1505" s="3"/>
      <c r="C1505" s="3"/>
      <c r="D1505" s="3"/>
      <c r="E1505" s="3"/>
      <c r="F1505" s="3"/>
      <c r="G1505" s="3"/>
      <c r="I1505" s="4"/>
    </row>
    <row r="1506">
      <c r="A1506" s="3"/>
      <c r="B1506" s="3"/>
      <c r="C1506" s="3"/>
      <c r="D1506" s="3"/>
      <c r="E1506" s="3"/>
      <c r="F1506" s="3"/>
      <c r="G1506" s="3"/>
      <c r="I1506" s="4"/>
    </row>
    <row r="1507">
      <c r="A1507" s="3"/>
      <c r="B1507" s="3"/>
      <c r="C1507" s="3"/>
      <c r="D1507" s="3"/>
      <c r="E1507" s="3"/>
      <c r="F1507" s="3"/>
      <c r="G1507" s="3"/>
      <c r="I1507" s="4"/>
    </row>
    <row r="1508">
      <c r="A1508" s="3"/>
      <c r="B1508" s="3"/>
      <c r="C1508" s="3"/>
      <c r="D1508" s="3"/>
      <c r="E1508" s="3"/>
      <c r="F1508" s="3"/>
      <c r="G1508" s="3"/>
      <c r="I1508" s="4"/>
    </row>
    <row r="1509">
      <c r="A1509" s="3"/>
      <c r="B1509" s="3"/>
      <c r="C1509" s="3"/>
      <c r="D1509" s="3"/>
      <c r="E1509" s="3"/>
      <c r="F1509" s="3"/>
      <c r="G1509" s="3"/>
      <c r="I1509" s="4"/>
    </row>
    <row r="1510">
      <c r="A1510" s="3"/>
      <c r="B1510" s="3"/>
      <c r="C1510" s="3"/>
      <c r="D1510" s="3"/>
      <c r="E1510" s="3"/>
      <c r="F1510" s="3"/>
      <c r="G1510" s="3"/>
      <c r="I1510" s="4"/>
    </row>
    <row r="1511">
      <c r="A1511" s="3"/>
      <c r="B1511" s="3"/>
      <c r="C1511" s="3"/>
      <c r="D1511" s="3"/>
      <c r="E1511" s="3"/>
      <c r="F1511" s="3"/>
      <c r="G1511" s="3"/>
      <c r="I1511" s="4"/>
    </row>
    <row r="1512">
      <c r="A1512" s="3"/>
      <c r="B1512" s="3"/>
      <c r="C1512" s="3"/>
      <c r="D1512" s="3"/>
      <c r="E1512" s="3"/>
      <c r="F1512" s="3"/>
      <c r="G1512" s="3"/>
      <c r="I1512" s="4"/>
    </row>
    <row r="1513">
      <c r="A1513" s="3"/>
      <c r="B1513" s="3"/>
      <c r="C1513" s="3"/>
      <c r="D1513" s="3"/>
      <c r="E1513" s="3"/>
      <c r="F1513" s="3"/>
      <c r="G1513" s="3"/>
      <c r="I1513" s="4"/>
    </row>
    <row r="1514">
      <c r="A1514" s="3"/>
      <c r="B1514" s="3"/>
      <c r="C1514" s="3"/>
      <c r="D1514" s="3"/>
      <c r="E1514" s="3"/>
      <c r="F1514" s="3"/>
      <c r="G1514" s="3"/>
      <c r="I1514" s="4"/>
    </row>
    <row r="1515">
      <c r="A1515" s="3"/>
      <c r="B1515" s="3"/>
      <c r="C1515" s="3"/>
      <c r="D1515" s="3"/>
      <c r="E1515" s="3"/>
      <c r="F1515" s="3"/>
      <c r="G1515" s="3"/>
      <c r="I1515" s="4"/>
    </row>
    <row r="1516">
      <c r="A1516" s="3"/>
      <c r="B1516" s="3"/>
      <c r="C1516" s="3"/>
      <c r="D1516" s="3"/>
      <c r="E1516" s="3"/>
      <c r="F1516" s="3"/>
      <c r="G1516" s="3"/>
      <c r="I1516" s="4"/>
    </row>
    <row r="1517">
      <c r="A1517" s="3"/>
      <c r="B1517" s="3"/>
      <c r="C1517" s="3"/>
      <c r="D1517" s="3"/>
      <c r="E1517" s="3"/>
      <c r="F1517" s="3"/>
      <c r="G1517" s="3"/>
      <c r="I1517" s="4"/>
    </row>
    <row r="1518">
      <c r="A1518" s="3"/>
      <c r="B1518" s="3"/>
      <c r="C1518" s="3"/>
      <c r="D1518" s="3"/>
      <c r="E1518" s="3"/>
      <c r="F1518" s="3"/>
      <c r="G1518" s="3"/>
      <c r="I1518" s="4"/>
    </row>
    <row r="1519">
      <c r="A1519" s="3"/>
      <c r="B1519" s="3"/>
      <c r="C1519" s="3"/>
      <c r="D1519" s="3"/>
      <c r="E1519" s="3"/>
      <c r="F1519" s="3"/>
      <c r="G1519" s="3"/>
      <c r="I1519" s="4"/>
    </row>
    <row r="1520">
      <c r="A1520" s="3"/>
      <c r="B1520" s="3"/>
      <c r="C1520" s="3"/>
      <c r="D1520" s="3"/>
      <c r="E1520" s="3"/>
      <c r="F1520" s="3"/>
      <c r="G1520" s="3"/>
      <c r="I1520" s="4"/>
    </row>
    <row r="1521">
      <c r="A1521" s="3"/>
      <c r="B1521" s="3"/>
      <c r="C1521" s="3"/>
      <c r="D1521" s="3"/>
      <c r="E1521" s="3"/>
      <c r="F1521" s="3"/>
      <c r="G1521" s="3"/>
      <c r="I1521" s="4"/>
    </row>
    <row r="1522">
      <c r="A1522" s="3"/>
      <c r="B1522" s="3"/>
      <c r="C1522" s="3"/>
      <c r="D1522" s="3"/>
      <c r="E1522" s="3"/>
      <c r="F1522" s="3"/>
      <c r="G1522" s="3"/>
      <c r="I1522" s="4"/>
    </row>
    <row r="1523">
      <c r="A1523" s="3"/>
      <c r="B1523" s="3"/>
      <c r="C1523" s="3"/>
      <c r="D1523" s="3"/>
      <c r="E1523" s="3"/>
      <c r="F1523" s="3"/>
      <c r="G1523" s="3"/>
      <c r="I1523" s="4"/>
    </row>
    <row r="1524">
      <c r="A1524" s="3"/>
      <c r="B1524" s="3"/>
      <c r="C1524" s="3"/>
      <c r="D1524" s="3"/>
      <c r="E1524" s="3"/>
      <c r="F1524" s="3"/>
      <c r="G1524" s="3"/>
      <c r="I1524" s="4"/>
    </row>
    <row r="1525">
      <c r="A1525" s="3"/>
      <c r="B1525" s="3"/>
      <c r="C1525" s="3"/>
      <c r="D1525" s="3"/>
      <c r="E1525" s="3"/>
      <c r="F1525" s="3"/>
      <c r="G1525" s="3"/>
    </row>
    <row r="1526">
      <c r="A1526" s="3"/>
      <c r="B1526" s="3"/>
      <c r="C1526" s="3"/>
      <c r="D1526" s="3"/>
      <c r="E1526" s="3"/>
      <c r="F1526" s="3"/>
      <c r="G1526" s="3"/>
    </row>
    <row r="1527">
      <c r="A1527" s="3"/>
      <c r="B1527" s="3"/>
      <c r="C1527" s="3"/>
      <c r="D1527" s="3"/>
      <c r="E1527" s="3"/>
      <c r="F1527" s="3"/>
      <c r="G1527" s="3"/>
    </row>
    <row r="1528">
      <c r="A1528" s="3"/>
      <c r="B1528" s="3"/>
      <c r="C1528" s="3"/>
      <c r="D1528" s="3"/>
      <c r="E1528" s="3"/>
      <c r="F1528" s="3"/>
      <c r="G1528" s="3"/>
    </row>
    <row r="1529">
      <c r="A1529" s="3"/>
      <c r="B1529" s="3"/>
      <c r="C1529" s="3"/>
      <c r="D1529" s="3"/>
      <c r="E1529" s="3"/>
      <c r="F1529" s="3"/>
      <c r="G1529" s="3"/>
    </row>
    <row r="1530">
      <c r="A1530" s="3"/>
      <c r="B1530" s="3"/>
      <c r="C1530" s="3"/>
      <c r="D1530" s="3"/>
      <c r="E1530" s="3"/>
      <c r="F1530" s="3"/>
      <c r="G1530" s="3"/>
    </row>
    <row r="1531">
      <c r="A1531" s="3"/>
      <c r="B1531" s="3"/>
      <c r="C1531" s="3"/>
      <c r="D1531" s="3"/>
      <c r="E1531" s="3"/>
      <c r="F1531" s="3"/>
      <c r="G1531" s="3"/>
    </row>
    <row r="1532">
      <c r="A1532" s="3"/>
      <c r="B1532" s="3"/>
      <c r="C1532" s="3"/>
      <c r="D1532" s="3"/>
      <c r="E1532" s="3"/>
      <c r="F1532" s="3"/>
      <c r="G1532" s="3"/>
    </row>
    <row r="1533">
      <c r="A1533" s="3"/>
      <c r="B1533" s="3"/>
      <c r="C1533" s="3"/>
      <c r="D1533" s="3"/>
      <c r="E1533" s="3"/>
      <c r="F1533" s="3"/>
      <c r="G1533" s="3"/>
    </row>
    <row r="1534">
      <c r="A1534" s="3"/>
      <c r="B1534" s="3"/>
      <c r="C1534" s="3"/>
      <c r="D1534" s="3"/>
      <c r="E1534" s="3"/>
      <c r="F1534" s="3"/>
      <c r="G1534" s="3"/>
    </row>
    <row r="1535">
      <c r="A1535" s="3"/>
      <c r="B1535" s="3"/>
      <c r="C1535" s="3"/>
      <c r="D1535" s="3"/>
      <c r="E1535" s="3"/>
      <c r="F1535" s="3"/>
      <c r="G1535" s="3"/>
    </row>
    <row r="1536">
      <c r="A1536" s="3"/>
      <c r="B1536" s="3"/>
      <c r="C1536" s="3"/>
      <c r="D1536" s="3"/>
      <c r="E1536" s="3"/>
      <c r="F1536" s="3"/>
      <c r="G1536" s="3"/>
    </row>
    <row r="1537">
      <c r="A1537" s="3"/>
      <c r="B1537" s="3"/>
      <c r="C1537" s="3"/>
      <c r="D1537" s="3"/>
      <c r="E1537" s="3"/>
      <c r="F1537" s="3"/>
      <c r="G1537" s="3"/>
    </row>
    <row r="1538">
      <c r="A1538" s="3"/>
      <c r="B1538" s="3"/>
      <c r="C1538" s="3"/>
      <c r="D1538" s="3"/>
      <c r="E1538" s="3"/>
      <c r="F1538" s="3"/>
      <c r="G1538" s="3"/>
    </row>
    <row r="1539">
      <c r="A1539" s="3"/>
      <c r="B1539" s="3"/>
      <c r="C1539" s="3"/>
      <c r="D1539" s="3"/>
      <c r="E1539" s="3"/>
      <c r="F1539" s="3"/>
      <c r="G1539" s="3"/>
    </row>
    <row r="1540">
      <c r="A1540" s="3"/>
      <c r="B1540" s="3"/>
      <c r="C1540" s="3"/>
      <c r="D1540" s="3"/>
      <c r="E1540" s="3"/>
      <c r="F1540" s="3"/>
      <c r="G1540" s="3"/>
    </row>
    <row r="1541">
      <c r="A1541" s="3"/>
      <c r="B1541" s="3"/>
      <c r="C1541" s="3"/>
      <c r="D1541" s="3"/>
      <c r="E1541" s="3"/>
      <c r="F1541" s="3"/>
      <c r="G1541" s="3"/>
    </row>
    <row r="1542">
      <c r="A1542" s="3"/>
      <c r="B1542" s="3"/>
      <c r="C1542" s="3"/>
      <c r="D1542" s="3"/>
      <c r="E1542" s="3"/>
      <c r="F1542" s="3"/>
      <c r="G1542" s="3"/>
    </row>
    <row r="1543">
      <c r="A1543" s="3"/>
      <c r="B1543" s="3"/>
      <c r="C1543" s="3"/>
      <c r="D1543" s="3"/>
      <c r="E1543" s="3"/>
      <c r="F1543" s="3"/>
      <c r="G1543" s="3"/>
    </row>
    <row r="1544">
      <c r="A1544" s="3"/>
      <c r="B1544" s="3"/>
      <c r="C1544" s="3"/>
      <c r="D1544" s="3"/>
      <c r="E1544" s="3"/>
      <c r="F1544" s="3"/>
      <c r="G1544" s="3"/>
    </row>
    <row r="1545">
      <c r="A1545" s="3"/>
      <c r="B1545" s="3"/>
      <c r="C1545" s="3"/>
      <c r="D1545" s="3"/>
      <c r="E1545" s="3"/>
      <c r="F1545" s="3"/>
      <c r="G1545" s="3"/>
    </row>
    <row r="1546">
      <c r="A1546" s="3"/>
      <c r="B1546" s="3"/>
      <c r="C1546" s="3"/>
      <c r="D1546" s="3"/>
      <c r="E1546" s="3"/>
      <c r="F1546" s="3"/>
      <c r="G1546" s="3"/>
    </row>
    <row r="1547">
      <c r="A1547" s="3"/>
      <c r="B1547" s="3"/>
      <c r="C1547" s="3"/>
      <c r="D1547" s="3"/>
      <c r="E1547" s="3"/>
      <c r="F1547" s="3"/>
      <c r="G1547" s="3"/>
    </row>
    <row r="1548">
      <c r="A1548" s="3"/>
      <c r="B1548" s="3"/>
      <c r="C1548" s="3"/>
      <c r="D1548" s="3"/>
      <c r="E1548" s="3"/>
      <c r="F1548" s="3"/>
      <c r="G1548" s="3"/>
    </row>
    <row r="1549">
      <c r="A1549" s="3"/>
      <c r="B1549" s="3"/>
      <c r="C1549" s="3"/>
      <c r="D1549" s="3"/>
      <c r="E1549" s="3"/>
      <c r="F1549" s="3"/>
      <c r="G1549" s="3"/>
    </row>
    <row r="1550">
      <c r="A1550" s="3"/>
      <c r="B1550" s="3"/>
      <c r="C1550" s="3"/>
      <c r="D1550" s="3"/>
      <c r="E1550" s="3"/>
      <c r="F1550" s="3"/>
      <c r="G1550" s="3"/>
    </row>
    <row r="1551">
      <c r="A1551" s="3"/>
      <c r="B1551" s="3"/>
      <c r="C1551" s="3"/>
      <c r="D1551" s="3"/>
      <c r="E1551" s="3"/>
      <c r="F1551" s="3"/>
      <c r="G1551" s="3"/>
    </row>
    <row r="1552">
      <c r="A1552" s="3"/>
      <c r="B1552" s="3"/>
      <c r="C1552" s="3"/>
      <c r="D1552" s="3"/>
      <c r="E1552" s="3"/>
      <c r="F1552" s="3"/>
      <c r="G1552" s="3"/>
    </row>
    <row r="1553">
      <c r="A1553" s="3"/>
      <c r="B1553" s="3"/>
      <c r="C1553" s="3"/>
      <c r="D1553" s="3"/>
      <c r="E1553" s="3"/>
      <c r="F1553" s="3"/>
      <c r="G1553" s="3"/>
    </row>
    <row r="1554">
      <c r="A1554" s="3"/>
      <c r="B1554" s="3"/>
      <c r="C1554" s="3"/>
      <c r="D1554" s="3"/>
      <c r="E1554" s="3"/>
      <c r="F1554" s="3"/>
      <c r="G1554" s="3"/>
    </row>
    <row r="1555">
      <c r="A1555" s="3"/>
      <c r="B1555" s="3"/>
      <c r="C1555" s="3"/>
      <c r="D1555" s="3"/>
      <c r="E1555" s="3"/>
      <c r="F1555" s="3"/>
      <c r="G1555" s="3"/>
    </row>
    <row r="1556">
      <c r="A1556" s="3"/>
      <c r="B1556" s="3"/>
      <c r="C1556" s="3"/>
      <c r="D1556" s="3"/>
      <c r="E1556" s="3"/>
      <c r="F1556" s="3"/>
      <c r="G1556" s="3"/>
    </row>
    <row r="1557">
      <c r="A1557" s="3"/>
      <c r="B1557" s="3"/>
      <c r="C1557" s="3"/>
      <c r="D1557" s="3"/>
      <c r="E1557" s="3"/>
      <c r="F1557" s="3"/>
      <c r="G1557" s="3"/>
    </row>
    <row r="1558">
      <c r="A1558" s="3"/>
      <c r="B1558" s="3"/>
      <c r="C1558" s="3"/>
      <c r="D1558" s="3"/>
      <c r="E1558" s="3"/>
      <c r="F1558" s="3"/>
      <c r="G1558" s="3"/>
    </row>
    <row r="1559">
      <c r="A1559" s="3"/>
      <c r="B1559" s="3"/>
      <c r="C1559" s="3"/>
      <c r="D1559" s="3"/>
      <c r="E1559" s="3"/>
      <c r="F1559" s="3"/>
      <c r="G1559" s="3"/>
    </row>
    <row r="1560">
      <c r="A1560" s="3"/>
      <c r="B1560" s="3"/>
      <c r="C1560" s="3"/>
      <c r="D1560" s="3"/>
      <c r="E1560" s="3"/>
      <c r="F1560" s="3"/>
      <c r="G1560" s="3"/>
    </row>
    <row r="1561">
      <c r="A1561" s="3"/>
      <c r="B1561" s="3"/>
      <c r="C1561" s="3"/>
      <c r="D1561" s="3"/>
      <c r="E1561" s="3"/>
      <c r="F1561" s="3"/>
      <c r="G1561" s="3"/>
    </row>
    <row r="1562">
      <c r="A1562" s="3"/>
      <c r="B1562" s="3"/>
      <c r="C1562" s="3"/>
      <c r="D1562" s="3"/>
      <c r="E1562" s="3"/>
      <c r="F1562" s="3"/>
      <c r="G1562" s="3"/>
    </row>
    <row r="1563">
      <c r="A1563" s="3"/>
      <c r="B1563" s="3"/>
      <c r="C1563" s="3"/>
      <c r="D1563" s="3"/>
      <c r="E1563" s="3"/>
      <c r="F1563" s="3"/>
      <c r="G1563" s="3"/>
    </row>
    <row r="1564">
      <c r="A1564" s="3"/>
      <c r="B1564" s="3"/>
      <c r="C1564" s="3"/>
      <c r="D1564" s="3"/>
      <c r="E1564" s="3"/>
      <c r="F1564" s="3"/>
      <c r="G1564" s="3"/>
    </row>
    <row r="1565">
      <c r="A1565" s="3"/>
      <c r="B1565" s="3"/>
      <c r="C1565" s="3"/>
      <c r="D1565" s="3"/>
      <c r="E1565" s="3"/>
      <c r="F1565" s="3"/>
      <c r="G1565" s="3"/>
    </row>
    <row r="1566">
      <c r="A1566" s="3"/>
      <c r="B1566" s="3"/>
      <c r="C1566" s="3"/>
      <c r="D1566" s="3"/>
      <c r="E1566" s="3"/>
      <c r="F1566" s="3"/>
      <c r="G1566" s="3"/>
    </row>
    <row r="1567">
      <c r="A1567" s="3"/>
      <c r="B1567" s="3"/>
      <c r="C1567" s="3"/>
      <c r="D1567" s="3"/>
      <c r="E1567" s="3"/>
      <c r="F1567" s="3"/>
      <c r="G1567" s="3"/>
    </row>
    <row r="1568">
      <c r="A1568" s="3"/>
      <c r="B1568" s="3"/>
      <c r="C1568" s="3"/>
      <c r="D1568" s="3"/>
      <c r="E1568" s="3"/>
      <c r="F1568" s="3"/>
      <c r="G1568" s="3"/>
    </row>
    <row r="1569">
      <c r="A1569" s="3"/>
      <c r="B1569" s="3"/>
      <c r="C1569" s="3"/>
      <c r="D1569" s="3"/>
      <c r="E1569" s="3"/>
      <c r="F1569" s="3"/>
      <c r="G1569" s="3"/>
    </row>
    <row r="1570">
      <c r="A1570" s="3"/>
      <c r="B1570" s="3"/>
      <c r="C1570" s="3"/>
      <c r="D1570" s="3"/>
      <c r="E1570" s="3"/>
      <c r="F1570" s="3"/>
      <c r="G1570" s="3"/>
    </row>
    <row r="1571">
      <c r="A1571" s="3"/>
      <c r="B1571" s="3"/>
      <c r="C1571" s="3"/>
      <c r="D1571" s="3"/>
      <c r="E1571" s="3"/>
      <c r="F1571" s="3"/>
      <c r="G1571" s="3"/>
    </row>
    <row r="1572">
      <c r="A1572" s="3"/>
      <c r="B1572" s="3"/>
      <c r="C1572" s="3"/>
      <c r="D1572" s="3"/>
      <c r="E1572" s="3"/>
      <c r="F1572" s="3"/>
      <c r="G1572" s="3"/>
    </row>
    <row r="1573">
      <c r="A1573" s="3"/>
      <c r="B1573" s="3"/>
      <c r="C1573" s="3"/>
      <c r="D1573" s="3"/>
      <c r="E1573" s="3"/>
      <c r="F1573" s="3"/>
      <c r="G1573" s="3"/>
    </row>
    <row r="1574">
      <c r="A1574" s="3"/>
      <c r="B1574" s="3"/>
      <c r="C1574" s="3"/>
      <c r="D1574" s="3"/>
      <c r="E1574" s="3"/>
      <c r="F1574" s="3"/>
      <c r="G1574" s="3"/>
    </row>
    <row r="1575">
      <c r="A1575" s="3"/>
      <c r="B1575" s="3"/>
      <c r="C1575" s="3"/>
      <c r="D1575" s="3"/>
      <c r="E1575" s="3"/>
      <c r="F1575" s="3"/>
      <c r="G1575" s="3"/>
    </row>
    <row r="1576">
      <c r="A1576" s="3"/>
      <c r="B1576" s="3"/>
      <c r="C1576" s="3"/>
      <c r="D1576" s="3"/>
      <c r="E1576" s="3"/>
      <c r="F1576" s="3"/>
      <c r="G1576" s="3"/>
    </row>
    <row r="1577">
      <c r="A1577" s="3"/>
      <c r="B1577" s="3"/>
      <c r="C1577" s="3"/>
      <c r="D1577" s="3"/>
      <c r="E1577" s="3"/>
      <c r="F1577" s="3"/>
      <c r="G1577" s="3"/>
    </row>
    <row r="1578">
      <c r="A1578" s="3"/>
      <c r="B1578" s="3"/>
      <c r="C1578" s="3"/>
      <c r="D1578" s="3"/>
      <c r="E1578" s="3"/>
      <c r="F1578" s="3"/>
      <c r="G1578" s="3"/>
    </row>
    <row r="1579">
      <c r="A1579" s="3"/>
      <c r="B1579" s="3"/>
      <c r="C1579" s="3"/>
      <c r="D1579" s="3"/>
      <c r="E1579" s="3"/>
      <c r="F1579" s="3"/>
      <c r="G1579" s="3"/>
    </row>
    <row r="1580">
      <c r="A1580" s="3"/>
      <c r="B1580" s="3"/>
      <c r="C1580" s="3"/>
      <c r="D1580" s="3"/>
      <c r="E1580" s="3"/>
      <c r="F1580" s="3"/>
      <c r="G1580" s="3"/>
    </row>
    <row r="1581">
      <c r="A1581" s="3"/>
      <c r="B1581" s="3"/>
      <c r="C1581" s="3"/>
      <c r="D1581" s="3"/>
      <c r="E1581" s="3"/>
      <c r="F1581" s="3"/>
      <c r="G1581" s="3"/>
    </row>
    <row r="1582">
      <c r="A1582" s="3"/>
      <c r="B1582" s="3"/>
      <c r="C1582" s="3"/>
      <c r="D1582" s="3"/>
      <c r="E1582" s="3"/>
      <c r="F1582" s="3"/>
      <c r="G1582" s="3"/>
    </row>
    <row r="1583">
      <c r="A1583" s="3"/>
      <c r="B1583" s="3"/>
      <c r="C1583" s="3"/>
      <c r="D1583" s="3"/>
      <c r="E1583" s="3"/>
      <c r="F1583" s="3"/>
      <c r="G1583" s="3"/>
    </row>
    <row r="1584">
      <c r="A1584" s="3"/>
      <c r="B1584" s="3"/>
      <c r="C1584" s="3"/>
      <c r="D1584" s="3"/>
      <c r="E1584" s="3"/>
      <c r="F1584" s="3"/>
      <c r="G1584" s="3"/>
    </row>
    <row r="1585">
      <c r="A1585" s="3"/>
      <c r="B1585" s="3"/>
      <c r="C1585" s="3"/>
      <c r="D1585" s="3"/>
      <c r="E1585" s="3"/>
      <c r="F1585" s="3"/>
      <c r="G1585" s="3"/>
    </row>
    <row r="1586">
      <c r="A1586" s="3"/>
      <c r="B1586" s="3"/>
      <c r="C1586" s="3"/>
      <c r="D1586" s="3"/>
      <c r="E1586" s="3"/>
      <c r="F1586" s="3"/>
      <c r="G1586" s="3"/>
    </row>
    <row r="1587">
      <c r="A1587" s="3"/>
      <c r="B1587" s="3"/>
      <c r="C1587" s="3"/>
      <c r="D1587" s="3"/>
      <c r="E1587" s="3"/>
      <c r="F1587" s="3"/>
      <c r="G1587" s="3"/>
    </row>
    <row r="1588">
      <c r="A1588" s="3"/>
      <c r="B1588" s="3"/>
      <c r="C1588" s="3"/>
      <c r="D1588" s="3"/>
      <c r="E1588" s="3"/>
      <c r="F1588" s="3"/>
      <c r="G1588" s="3"/>
    </row>
    <row r="1589">
      <c r="A1589" s="3"/>
      <c r="B1589" s="3"/>
      <c r="C1589" s="3"/>
      <c r="D1589" s="3"/>
      <c r="E1589" s="3"/>
      <c r="F1589" s="3"/>
      <c r="G1589" s="3"/>
    </row>
    <row r="1590">
      <c r="A1590" s="3"/>
      <c r="B1590" s="3"/>
      <c r="C1590" s="3"/>
      <c r="D1590" s="3"/>
      <c r="E1590" s="3"/>
      <c r="F1590" s="3"/>
      <c r="G1590" s="3"/>
    </row>
    <row r="1591">
      <c r="A1591" s="3"/>
      <c r="B1591" s="3"/>
      <c r="C1591" s="3"/>
      <c r="D1591" s="3"/>
      <c r="E1591" s="3"/>
      <c r="F1591" s="3"/>
      <c r="G1591" s="3"/>
    </row>
    <row r="1592">
      <c r="A1592" s="3"/>
      <c r="B1592" s="3"/>
      <c r="C1592" s="3"/>
      <c r="D1592" s="3"/>
      <c r="E1592" s="3"/>
      <c r="F1592" s="3"/>
      <c r="G1592" s="3"/>
    </row>
    <row r="1593">
      <c r="A1593" s="3"/>
      <c r="B1593" s="3"/>
      <c r="C1593" s="3"/>
      <c r="D1593" s="3"/>
      <c r="E1593" s="3"/>
      <c r="F1593" s="3"/>
      <c r="G1593" s="3"/>
    </row>
    <row r="1594">
      <c r="A1594" s="3"/>
      <c r="B1594" s="3"/>
      <c r="C1594" s="3"/>
      <c r="D1594" s="3"/>
      <c r="E1594" s="3"/>
      <c r="F1594" s="3"/>
      <c r="G1594" s="3"/>
    </row>
    <row r="1595">
      <c r="A1595" s="3"/>
      <c r="B1595" s="3"/>
      <c r="C1595" s="3"/>
      <c r="D1595" s="3"/>
      <c r="E1595" s="3"/>
      <c r="F1595" s="3"/>
      <c r="G1595" s="3"/>
    </row>
    <row r="1596">
      <c r="A1596" s="3"/>
      <c r="B1596" s="3"/>
      <c r="C1596" s="3"/>
      <c r="D1596" s="3"/>
      <c r="E1596" s="3"/>
      <c r="F1596" s="3"/>
      <c r="G1596" s="3"/>
    </row>
    <row r="1597">
      <c r="A1597" s="3"/>
      <c r="B1597" s="3"/>
      <c r="C1597" s="3"/>
      <c r="D1597" s="3"/>
      <c r="E1597" s="3"/>
      <c r="F1597" s="3"/>
      <c r="G1597" s="3"/>
    </row>
    <row r="1598">
      <c r="A1598" s="3"/>
      <c r="B1598" s="3"/>
      <c r="C1598" s="3"/>
      <c r="D1598" s="3"/>
      <c r="E1598" s="3"/>
      <c r="F1598" s="3"/>
      <c r="G1598" s="3"/>
    </row>
    <row r="1599">
      <c r="A1599" s="3"/>
      <c r="B1599" s="3"/>
      <c r="C1599" s="3"/>
      <c r="D1599" s="3"/>
      <c r="E1599" s="3"/>
      <c r="F1599" s="3"/>
      <c r="G1599" s="3"/>
    </row>
    <row r="1600">
      <c r="A1600" s="3"/>
      <c r="B1600" s="3"/>
      <c r="C1600" s="3"/>
      <c r="D1600" s="3"/>
      <c r="E1600" s="3"/>
      <c r="F1600" s="3"/>
      <c r="G1600" s="3"/>
    </row>
    <row r="1601">
      <c r="A1601" s="3"/>
      <c r="B1601" s="3"/>
      <c r="C1601" s="3"/>
      <c r="D1601" s="3"/>
      <c r="E1601" s="3"/>
      <c r="F1601" s="3"/>
      <c r="G1601" s="3"/>
    </row>
    <row r="1602">
      <c r="A1602" s="3"/>
      <c r="B1602" s="3"/>
      <c r="C1602" s="3"/>
      <c r="D1602" s="3"/>
      <c r="E1602" s="3"/>
      <c r="F1602" s="3"/>
      <c r="G1602" s="3"/>
    </row>
    <row r="1603">
      <c r="A1603" s="3"/>
      <c r="B1603" s="3"/>
      <c r="C1603" s="3"/>
      <c r="D1603" s="3"/>
      <c r="E1603" s="3"/>
      <c r="F1603" s="3"/>
      <c r="G1603" s="3"/>
    </row>
    <row r="1604">
      <c r="A1604" s="3"/>
      <c r="B1604" s="3"/>
      <c r="C1604" s="3"/>
      <c r="D1604" s="3"/>
      <c r="E1604" s="3"/>
      <c r="F1604" s="3"/>
      <c r="G1604" s="3"/>
    </row>
    <row r="1605">
      <c r="A1605" s="3"/>
      <c r="B1605" s="3"/>
      <c r="C1605" s="3"/>
      <c r="D1605" s="3"/>
      <c r="E1605" s="3"/>
      <c r="F1605" s="3"/>
      <c r="G1605" s="3"/>
    </row>
    <row r="1606">
      <c r="A1606" s="3"/>
      <c r="B1606" s="3"/>
      <c r="C1606" s="3"/>
      <c r="D1606" s="3"/>
      <c r="E1606" s="3"/>
      <c r="F1606" s="3"/>
      <c r="G1606" s="3"/>
    </row>
    <row r="1607">
      <c r="A1607" s="3"/>
      <c r="B1607" s="3"/>
      <c r="C1607" s="3"/>
      <c r="D1607" s="3"/>
      <c r="E1607" s="3"/>
      <c r="F1607" s="3"/>
      <c r="G1607" s="3"/>
    </row>
    <row r="1608">
      <c r="A1608" s="3"/>
      <c r="B1608" s="3"/>
      <c r="C1608" s="3"/>
      <c r="D1608" s="3"/>
      <c r="E1608" s="3"/>
      <c r="F1608" s="3"/>
      <c r="G1608" s="3"/>
    </row>
    <row r="1609">
      <c r="A1609" s="3"/>
      <c r="B1609" s="3"/>
      <c r="C1609" s="3"/>
      <c r="D1609" s="3"/>
      <c r="E1609" s="3"/>
      <c r="F1609" s="3"/>
      <c r="G1609" s="3"/>
    </row>
    <row r="1610">
      <c r="A1610" s="3"/>
      <c r="B1610" s="3"/>
      <c r="C1610" s="3"/>
      <c r="D1610" s="3"/>
      <c r="E1610" s="3"/>
      <c r="F1610" s="3"/>
      <c r="G1610" s="3"/>
    </row>
    <row r="1611">
      <c r="A1611" s="3"/>
      <c r="B1611" s="3"/>
      <c r="C1611" s="3"/>
      <c r="D1611" s="3"/>
      <c r="E1611" s="3"/>
      <c r="F1611" s="3"/>
      <c r="G1611" s="3"/>
    </row>
    <row r="1612">
      <c r="A1612" s="3"/>
      <c r="B1612" s="3"/>
      <c r="C1612" s="3"/>
      <c r="D1612" s="3"/>
      <c r="E1612" s="3"/>
      <c r="F1612" s="3"/>
      <c r="G1612" s="3"/>
    </row>
    <row r="1613">
      <c r="A1613" s="3"/>
      <c r="B1613" s="3"/>
      <c r="C1613" s="3"/>
      <c r="D1613" s="3"/>
      <c r="E1613" s="3"/>
      <c r="F1613" s="3"/>
      <c r="G1613" s="3"/>
    </row>
    <row r="1614">
      <c r="A1614" s="3"/>
      <c r="B1614" s="3"/>
      <c r="C1614" s="3"/>
      <c r="D1614" s="3"/>
      <c r="E1614" s="3"/>
      <c r="F1614" s="3"/>
      <c r="G1614" s="3"/>
    </row>
    <row r="1615">
      <c r="A1615" s="3"/>
      <c r="B1615" s="3"/>
      <c r="C1615" s="3"/>
      <c r="D1615" s="3"/>
      <c r="E1615" s="3"/>
      <c r="F1615" s="3"/>
      <c r="G1615" s="3"/>
    </row>
    <row r="1616">
      <c r="A1616" s="3"/>
      <c r="B1616" s="3"/>
      <c r="C1616" s="3"/>
      <c r="D1616" s="3"/>
      <c r="E1616" s="3"/>
      <c r="F1616" s="3"/>
      <c r="G1616" s="3"/>
    </row>
    <row r="1617">
      <c r="A1617" s="3"/>
      <c r="B1617" s="3"/>
      <c r="C1617" s="3"/>
      <c r="D1617" s="3"/>
      <c r="E1617" s="3"/>
      <c r="F1617" s="3"/>
      <c r="G1617" s="3"/>
    </row>
    <row r="1618">
      <c r="A1618" s="3"/>
      <c r="B1618" s="3"/>
      <c r="C1618" s="3"/>
      <c r="D1618" s="3"/>
      <c r="E1618" s="3"/>
      <c r="F1618" s="3"/>
      <c r="G1618" s="3"/>
    </row>
    <row r="1619">
      <c r="A1619" s="3"/>
      <c r="B1619" s="3"/>
      <c r="C1619" s="3"/>
      <c r="D1619" s="3"/>
      <c r="E1619" s="3"/>
      <c r="F1619" s="3"/>
      <c r="G1619" s="3"/>
    </row>
    <row r="1620">
      <c r="A1620" s="3"/>
      <c r="B1620" s="3"/>
      <c r="C1620" s="3"/>
      <c r="D1620" s="3"/>
      <c r="E1620" s="3"/>
      <c r="F1620" s="3"/>
      <c r="G1620" s="3"/>
    </row>
    <row r="1621">
      <c r="A1621" s="3"/>
      <c r="B1621" s="3"/>
      <c r="C1621" s="3"/>
      <c r="D1621" s="3"/>
      <c r="E1621" s="3"/>
      <c r="F1621" s="3"/>
      <c r="G1621" s="3"/>
    </row>
    <row r="1622">
      <c r="A1622" s="3"/>
      <c r="B1622" s="3"/>
      <c r="C1622" s="3"/>
      <c r="D1622" s="3"/>
      <c r="E1622" s="3"/>
      <c r="F1622" s="3"/>
      <c r="G1622" s="3"/>
    </row>
    <row r="1623">
      <c r="A1623" s="3"/>
      <c r="B1623" s="3"/>
      <c r="C1623" s="3"/>
      <c r="D1623" s="3"/>
      <c r="E1623" s="3"/>
      <c r="F1623" s="3"/>
      <c r="G1623" s="3"/>
    </row>
    <row r="1624">
      <c r="A1624" s="3"/>
      <c r="B1624" s="3"/>
      <c r="C1624" s="3"/>
      <c r="D1624" s="3"/>
      <c r="E1624" s="3"/>
      <c r="F1624" s="3"/>
      <c r="G1624" s="3"/>
    </row>
    <row r="1625">
      <c r="A1625" s="3"/>
      <c r="B1625" s="3"/>
      <c r="C1625" s="3"/>
      <c r="D1625" s="3"/>
      <c r="E1625" s="3"/>
      <c r="F1625" s="3"/>
      <c r="G1625" s="3"/>
    </row>
    <row r="1626">
      <c r="A1626" s="3"/>
      <c r="B1626" s="3"/>
      <c r="C1626" s="3"/>
      <c r="D1626" s="3"/>
      <c r="E1626" s="3"/>
      <c r="F1626" s="3"/>
      <c r="G1626" s="3"/>
    </row>
    <row r="1627">
      <c r="A1627" s="3"/>
      <c r="B1627" s="3"/>
      <c r="C1627" s="3"/>
      <c r="D1627" s="3"/>
      <c r="E1627" s="3"/>
      <c r="F1627" s="3"/>
      <c r="G1627" s="3"/>
    </row>
    <row r="1628">
      <c r="A1628" s="3"/>
      <c r="B1628" s="3"/>
      <c r="C1628" s="3"/>
      <c r="D1628" s="3"/>
      <c r="E1628" s="3"/>
      <c r="F1628" s="3"/>
      <c r="G1628" s="3"/>
    </row>
    <row r="1629">
      <c r="A1629" s="3"/>
      <c r="B1629" s="3"/>
      <c r="C1629" s="3"/>
      <c r="D1629" s="3"/>
      <c r="E1629" s="3"/>
      <c r="F1629" s="3"/>
      <c r="G1629" s="3"/>
    </row>
    <row r="1630">
      <c r="A1630" s="3"/>
      <c r="B1630" s="3"/>
      <c r="C1630" s="3"/>
      <c r="D1630" s="3"/>
      <c r="E1630" s="3"/>
      <c r="F1630" s="3"/>
      <c r="G1630" s="3"/>
    </row>
    <row r="1631">
      <c r="A1631" s="3"/>
      <c r="B1631" s="3"/>
      <c r="C1631" s="3"/>
      <c r="D1631" s="3"/>
      <c r="E1631" s="3"/>
      <c r="F1631" s="3"/>
      <c r="G1631" s="3"/>
    </row>
    <row r="1632">
      <c r="A1632" s="3"/>
      <c r="B1632" s="3"/>
      <c r="C1632" s="3"/>
      <c r="D1632" s="3"/>
      <c r="E1632" s="3"/>
      <c r="F1632" s="3"/>
      <c r="G1632" s="3"/>
    </row>
    <row r="1633">
      <c r="A1633" s="3"/>
      <c r="B1633" s="3"/>
      <c r="C1633" s="3"/>
      <c r="D1633" s="3"/>
      <c r="E1633" s="3"/>
      <c r="F1633" s="3"/>
      <c r="G1633" s="3"/>
    </row>
    <row r="1634">
      <c r="A1634" s="3"/>
      <c r="B1634" s="3"/>
      <c r="C1634" s="3"/>
      <c r="D1634" s="3"/>
      <c r="E1634" s="3"/>
      <c r="F1634" s="3"/>
      <c r="G1634" s="3"/>
    </row>
    <row r="1635">
      <c r="A1635" s="3"/>
      <c r="B1635" s="3"/>
      <c r="C1635" s="3"/>
      <c r="D1635" s="3"/>
      <c r="E1635" s="3"/>
      <c r="F1635" s="3"/>
      <c r="G1635" s="3"/>
    </row>
    <row r="1636">
      <c r="A1636" s="3"/>
      <c r="B1636" s="3"/>
      <c r="C1636" s="3"/>
      <c r="D1636" s="3"/>
      <c r="E1636" s="3"/>
      <c r="F1636" s="3"/>
      <c r="G1636" s="3"/>
    </row>
    <row r="1637">
      <c r="A1637" s="3"/>
      <c r="B1637" s="3"/>
      <c r="C1637" s="3"/>
      <c r="D1637" s="3"/>
      <c r="E1637" s="3"/>
      <c r="F1637" s="3"/>
      <c r="G1637" s="3"/>
    </row>
    <row r="1638">
      <c r="A1638" s="3"/>
      <c r="B1638" s="3"/>
      <c r="C1638" s="3"/>
      <c r="D1638" s="3"/>
      <c r="E1638" s="3"/>
      <c r="F1638" s="3"/>
      <c r="G1638" s="3"/>
    </row>
    <row r="1639">
      <c r="A1639" s="3"/>
      <c r="B1639" s="3"/>
      <c r="C1639" s="3"/>
      <c r="D1639" s="3"/>
      <c r="E1639" s="3"/>
      <c r="F1639" s="3"/>
      <c r="G1639" s="3"/>
    </row>
    <row r="1640">
      <c r="A1640" s="3"/>
      <c r="B1640" s="3"/>
      <c r="C1640" s="3"/>
      <c r="D1640" s="3"/>
      <c r="E1640" s="3"/>
      <c r="F1640" s="3"/>
      <c r="G1640" s="3"/>
    </row>
    <row r="1641">
      <c r="A1641" s="3"/>
      <c r="B1641" s="3"/>
      <c r="C1641" s="3"/>
      <c r="D1641" s="3"/>
      <c r="E1641" s="3"/>
      <c r="F1641" s="3"/>
      <c r="G1641" s="3"/>
    </row>
    <row r="1642">
      <c r="A1642" s="3"/>
      <c r="B1642" s="3"/>
      <c r="C1642" s="3"/>
      <c r="D1642" s="3"/>
      <c r="E1642" s="3"/>
      <c r="F1642" s="3"/>
      <c r="G1642" s="3"/>
    </row>
    <row r="1643">
      <c r="A1643" s="3"/>
      <c r="B1643" s="3"/>
      <c r="C1643" s="3"/>
      <c r="D1643" s="3"/>
      <c r="E1643" s="3"/>
      <c r="F1643" s="3"/>
      <c r="G1643" s="3"/>
    </row>
    <row r="1644">
      <c r="A1644" s="3"/>
      <c r="B1644" s="3"/>
      <c r="C1644" s="3"/>
      <c r="D1644" s="3"/>
      <c r="E1644" s="3"/>
      <c r="F1644" s="3"/>
      <c r="G1644" s="3"/>
    </row>
    <row r="1645">
      <c r="A1645" s="3"/>
      <c r="B1645" s="3"/>
      <c r="C1645" s="3"/>
      <c r="D1645" s="3"/>
      <c r="E1645" s="3"/>
      <c r="F1645" s="3"/>
      <c r="G1645" s="3"/>
    </row>
    <row r="1646">
      <c r="A1646" s="3"/>
      <c r="B1646" s="3"/>
      <c r="C1646" s="3"/>
      <c r="D1646" s="3"/>
      <c r="E1646" s="3"/>
      <c r="F1646" s="3"/>
      <c r="G1646" s="3"/>
    </row>
  </sheetData>
  <drawing r:id="rId1"/>
</worksheet>
</file>