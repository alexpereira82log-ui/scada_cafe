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2">
        <f>IFERROR(__xludf.DUMMYFUNCTION("""COMPUTED_VALUE"""),46045.0)</f>
        <v>46045</v>
      </c>
      <c r="B38" s="3" t="str">
        <f>IFERROR(__xludf.DUMMYFUNCTION("""COMPUTED_VALUE"""),"Torta Cheesecake")</f>
        <v>Torta Cheesecake</v>
      </c>
      <c r="C38" s="3" t="str">
        <f>IFERROR(__xludf.DUMMYFUNCTION("""COMPUTED_VALUE"""),"Produto final")</f>
        <v>Produto final</v>
      </c>
      <c r="D38" s="3">
        <f>IFERROR(__xludf.DUMMYFUNCTION("""COMPUTED_VALUE"""),2.0)</f>
        <v>2</v>
      </c>
      <c r="E38" s="3" t="str">
        <f>IFERROR(__xludf.DUMMYFUNCTION("""COMPUTED_VALUE"""),"Cliente")</f>
        <v>Cliente</v>
      </c>
      <c r="F38" s="3" t="str">
        <f>IFERROR(__xludf.DUMMYFUNCTION("""COMPUTED_VALUE"""),"David")</f>
        <v>David</v>
      </c>
      <c r="G38" s="3" t="str">
        <f>IFERROR(__xludf.DUMMYFUNCTION("""COMPUTED_VALUE"""),"Cliente reclamou de estar ruim")</f>
        <v>Cliente reclamou de estar ruim</v>
      </c>
    </row>
    <row r="39">
      <c r="A39" s="2">
        <f>IFERROR(__xludf.DUMMYFUNCTION("""COMPUTED_VALUE"""),46047.0)</f>
        <v>46047</v>
      </c>
      <c r="B39" s="3" t="str">
        <f>IFERROR(__xludf.DUMMYFUNCTION("""COMPUTED_VALUE"""),"Prato de Sobremesa ")</f>
        <v>Prato de Sobremesa </v>
      </c>
      <c r="C39" s="3" t="str">
        <f>IFERROR(__xludf.DUMMYFUNCTION("""COMPUTED_VALUE"""),"Utensílio")</f>
        <v>Utensílio</v>
      </c>
      <c r="D39" s="3">
        <f>IFERROR(__xludf.DUMMYFUNCTION("""COMPUTED_VALUE"""),1.0)</f>
        <v>1</v>
      </c>
      <c r="E39" s="3" t="str">
        <f>IFERROR(__xludf.DUMMYFUNCTION("""COMPUTED_VALUE"""),"Quebra")</f>
        <v>Quebra</v>
      </c>
      <c r="F39" s="3" t="str">
        <f>IFERROR(__xludf.DUMMYFUNCTION("""COMPUTED_VALUE"""),"David")</f>
        <v>David</v>
      </c>
      <c r="G39" s="3" t="str">
        <f>IFERROR(__xludf.DUMMYFUNCTION("""COMPUTED_VALUE"""),"Caiu")</f>
        <v>Caiu</v>
      </c>
    </row>
    <row r="40">
      <c r="A40" s="2">
        <f>IFERROR(__xludf.DUMMYFUNCTION("""COMPUTED_VALUE"""),46049.0)</f>
        <v>46049</v>
      </c>
      <c r="B40" s="3" t="str">
        <f>IFERROR(__xludf.DUMMYFUNCTION("""COMPUTED_VALUE"""),"Pão Ciabatta ")</f>
        <v>Pão Ciabatta </v>
      </c>
      <c r="C40" s="3" t="str">
        <f>IFERROR(__xludf.DUMMYFUNCTION("""COMPUTED_VALUE"""),"Produto final")</f>
        <v>Produto final</v>
      </c>
      <c r="D40" s="3" t="str">
        <f>IFERROR(__xludf.DUMMYFUNCTION("""COMPUTED_VALUE"""),"1/2")</f>
        <v>1/2</v>
      </c>
      <c r="E40" s="3" t="str">
        <f>IFERROR(__xludf.DUMMYFUNCTION("""COMPUTED_VALUE"""),"Erro de processo")</f>
        <v>Erro de processo</v>
      </c>
      <c r="F40" s="3" t="str">
        <f>IFERROR(__xludf.DUMMYFUNCTION("""COMPUTED_VALUE"""),"Naiane")</f>
        <v>Naiane</v>
      </c>
      <c r="G40" s="3" t="str">
        <f>IFERROR(__xludf.DUMMYFUNCTION("""COMPUTED_VALUE"""),"Queimou")</f>
        <v>Queimou</v>
      </c>
    </row>
    <row r="41">
      <c r="A41" s="2">
        <f>IFERROR(__xludf.DUMMYFUNCTION("""COMPUTED_VALUE"""),46051.0)</f>
        <v>46051</v>
      </c>
      <c r="B41" s="3" t="str">
        <f>IFERROR(__xludf.DUMMYFUNCTION("""COMPUTED_VALUE"""),"Torta Palmito")</f>
        <v>Torta Palmito</v>
      </c>
      <c r="C41" s="3" t="str">
        <f>IFERROR(__xludf.DUMMYFUNCTION("""COMPUTED_VALUE"""),"Produto final")</f>
        <v>Produto final</v>
      </c>
      <c r="D41" s="3">
        <f>IFERROR(__xludf.DUMMYFUNCTION("""COMPUTED_VALUE"""),1.0)</f>
        <v>1</v>
      </c>
      <c r="E41" s="3" t="str">
        <f>IFERROR(__xludf.DUMMYFUNCTION("""COMPUTED_VALUE"""),"Erro de processo")</f>
        <v>Erro de processo</v>
      </c>
      <c r="F41" s="3" t="str">
        <f>IFERROR(__xludf.DUMMYFUNCTION("""COMPUTED_VALUE"""),"Naiane")</f>
        <v>Naiane</v>
      </c>
      <c r="G41" s="3" t="str">
        <f>IFERROR(__xludf.DUMMYFUNCTION("""COMPUTED_VALUE"""),"Quebrou no meio ")</f>
        <v>Quebrou no meio </v>
      </c>
    </row>
    <row r="42">
      <c r="A42" s="2">
        <f>IFERROR(__xludf.DUMMYFUNCTION("""COMPUTED_VALUE"""),46051.0)</f>
        <v>46051</v>
      </c>
      <c r="B42" s="3" t="str">
        <f>IFERROR(__xludf.DUMMYFUNCTION("""COMPUTED_VALUE"""),"latte duplo")</f>
        <v>latte duplo</v>
      </c>
      <c r="C42" s="3" t="str">
        <f>IFERROR(__xludf.DUMMYFUNCTION("""COMPUTED_VALUE"""),"Produto final")</f>
        <v>Produto final</v>
      </c>
      <c r="D42" s="3">
        <f>IFERROR(__xludf.DUMMYFUNCTION("""COMPUTED_VALUE"""),1.0)</f>
        <v>1</v>
      </c>
      <c r="E42" s="3" t="str">
        <f>IFERROR(__xludf.DUMMYFUNCTION("""COMPUTED_VALUE"""),"Cliente")</f>
        <v>Cliente</v>
      </c>
      <c r="F42" s="3" t="str">
        <f>IFERROR(__xludf.DUMMYFUNCTION("""COMPUTED_VALUE"""),"Fábio")</f>
        <v>Fábio</v>
      </c>
      <c r="G42" s="3" t="str">
        <f>IFERROR(__xludf.DUMMYFUNCTION("""COMPUTED_VALUE"""),"Cliente alegou que prefere com café descafeinado. Orientamos o cliente.")</f>
        <v>Cliente alegou que prefere com café descafeinado. Orientamos o cliente.</v>
      </c>
    </row>
    <row r="43">
      <c r="A43" s="2">
        <f>IFERROR(__xludf.DUMMYFUNCTION("""COMPUTED_VALUE"""),46051.0)</f>
        <v>46051</v>
      </c>
      <c r="B43" s="3" t="str">
        <f>IFERROR(__xludf.DUMMYFUNCTION("""COMPUTED_VALUE"""),"Copo Shot")</f>
        <v>Copo Shot</v>
      </c>
      <c r="C43" s="3" t="str">
        <f>IFERROR(__xludf.DUMMYFUNCTION("""COMPUTED_VALUE"""),"Utensílio")</f>
        <v>Utensílio</v>
      </c>
      <c r="D43" s="3">
        <f>IFERROR(__xludf.DUMMYFUNCTION("""COMPUTED_VALUE"""),1.0)</f>
        <v>1</v>
      </c>
      <c r="E43" s="3" t="str">
        <f>IFERROR(__xludf.DUMMYFUNCTION("""COMPUTED_VALUE"""),"Quebra")</f>
        <v>Quebra</v>
      </c>
      <c r="F43" s="3" t="str">
        <f>IFERROR(__xludf.DUMMYFUNCTION("""COMPUTED_VALUE"""),"David")</f>
        <v>David</v>
      </c>
      <c r="G43" s="3" t="str">
        <f>IFERROR(__xludf.DUMMYFUNCTION("""COMPUTED_VALUE"""),"Quebrou ")</f>
        <v>Quebrou </v>
      </c>
    </row>
    <row r="44">
      <c r="A44" s="2">
        <f>IFERROR(__xludf.DUMMYFUNCTION("""COMPUTED_VALUE"""),46051.0)</f>
        <v>46051</v>
      </c>
      <c r="B44" s="3" t="str">
        <f>IFERROR(__xludf.DUMMYFUNCTION("""COMPUTED_VALUE"""),"Prato Sobremesa")</f>
        <v>Prato Sobremesa</v>
      </c>
      <c r="C44" s="3" t="str">
        <f>IFERROR(__xludf.DUMMYFUNCTION("""COMPUTED_VALUE"""),"Utensílio")</f>
        <v>Utensílio</v>
      </c>
      <c r="D44" s="3">
        <f>IFERROR(__xludf.DUMMYFUNCTION("""COMPUTED_VALUE"""),1.0)</f>
        <v>1</v>
      </c>
      <c r="E44" s="3" t="str">
        <f>IFERROR(__xludf.DUMMYFUNCTION("""COMPUTED_VALUE"""),"Quebra")</f>
        <v>Quebra</v>
      </c>
      <c r="F44" s="3" t="str">
        <f>IFERROR(__xludf.DUMMYFUNCTION("""COMPUTED_VALUE"""),"David")</f>
        <v>David</v>
      </c>
      <c r="G44" s="3" t="str">
        <f>IFERROR(__xludf.DUMMYFUNCTION("""COMPUTED_VALUE"""),"Quebrou")</f>
        <v>Quebrou</v>
      </c>
    </row>
    <row r="45">
      <c r="A45" s="2">
        <f>IFERROR(__xludf.DUMMYFUNCTION("""COMPUTED_VALUE"""),46052.0)</f>
        <v>46052</v>
      </c>
      <c r="B45" s="3" t="str">
        <f>IFERROR(__xludf.DUMMYFUNCTION("""COMPUTED_VALUE"""),"Rúcula ")</f>
        <v>Rúcula </v>
      </c>
      <c r="C45" s="3" t="str">
        <f>IFERROR(__xludf.DUMMYFUNCTION("""COMPUTED_VALUE"""),"Hortifruti")</f>
        <v>Hortifruti</v>
      </c>
      <c r="D45" s="3" t="str">
        <f>IFERROR(__xludf.DUMMYFUNCTION("""COMPUTED_VALUE"""),"0,017g")</f>
        <v>0,017g</v>
      </c>
      <c r="E45" s="3" t="str">
        <f>IFERROR(__xludf.DUMMYFUNCTION("""COMPUTED_VALUE"""),"Venceu (Validade)")</f>
        <v>Venceu (Validade)</v>
      </c>
      <c r="F45" s="3" t="str">
        <f>IFERROR(__xludf.DUMMYFUNCTION("""COMPUTED_VALUE"""),"Jesiana")</f>
        <v>Jesiana</v>
      </c>
      <c r="G45" s="3" t="str">
        <f>IFERROR(__xludf.DUMMYFUNCTION("""COMPUTED_VALUE"""),"N")</f>
        <v>N</v>
      </c>
    </row>
    <row r="46">
      <c r="A46" s="2">
        <f>IFERROR(__xludf.DUMMYFUNCTION("""COMPUTED_VALUE"""),46052.0)</f>
        <v>46052</v>
      </c>
      <c r="B46" s="3" t="str">
        <f>IFERROR(__xludf.DUMMYFUNCTION("""COMPUTED_VALUE"""),"Alface ")</f>
        <v>Alface </v>
      </c>
      <c r="C46" s="3" t="str">
        <f>IFERROR(__xludf.DUMMYFUNCTION("""COMPUTED_VALUE"""),"Hortifruti")</f>
        <v>Hortifruti</v>
      </c>
      <c r="D46" s="3" t="str">
        <f>IFERROR(__xludf.DUMMYFUNCTION("""COMPUTED_VALUE"""),"0,255g")</f>
        <v>0,255g</v>
      </c>
      <c r="E46" s="3" t="str">
        <f>IFERROR(__xludf.DUMMYFUNCTION("""COMPUTED_VALUE"""),"Venceu (Validade)")</f>
        <v>Venceu (Validade)</v>
      </c>
      <c r="F46" s="3" t="str">
        <f>IFERROR(__xludf.DUMMYFUNCTION("""COMPUTED_VALUE"""),"Jesiana")</f>
        <v>Jesiana</v>
      </c>
      <c r="G46" s="3" t="str">
        <f>IFERROR(__xludf.DUMMYFUNCTION("""COMPUTED_VALUE"""),"N")</f>
        <v>N</v>
      </c>
    </row>
    <row r="47">
      <c r="A47" s="2">
        <f>IFERROR(__xludf.DUMMYFUNCTION("""COMPUTED_VALUE"""),46052.0)</f>
        <v>46052</v>
      </c>
      <c r="B47" s="3" t="str">
        <f>IFERROR(__xludf.DUMMYFUNCTION("""COMPUTED_VALUE"""),"Molheira ")</f>
        <v>Molheira </v>
      </c>
      <c r="C47" s="3" t="str">
        <f>IFERROR(__xludf.DUMMYFUNCTION("""COMPUTED_VALUE"""),"Utensílio")</f>
        <v>Utensílio</v>
      </c>
      <c r="D47" s="3">
        <f>IFERROR(__xludf.DUMMYFUNCTION("""COMPUTED_VALUE"""),1.0)</f>
        <v>1</v>
      </c>
      <c r="E47" s="3" t="str">
        <f>IFERROR(__xludf.DUMMYFUNCTION("""COMPUTED_VALUE"""),"Quebra")</f>
        <v>Quebra</v>
      </c>
      <c r="F47" s="3" t="str">
        <f>IFERROR(__xludf.DUMMYFUNCTION("""COMPUTED_VALUE"""),"Jesiana")</f>
        <v>Jesiana</v>
      </c>
      <c r="G47" s="3" t="str">
        <f>IFERROR(__xludf.DUMMYFUNCTION("""COMPUTED_VALUE"""),"N")</f>
        <v>N</v>
      </c>
    </row>
    <row r="48">
      <c r="A48" s="3"/>
      <c r="B48" s="3"/>
      <c r="C48" s="3"/>
      <c r="D48" s="3"/>
      <c r="E48" s="3"/>
      <c r="F48" s="3"/>
      <c r="G48" s="3"/>
    </row>
    <row r="49">
      <c r="A49" s="3"/>
      <c r="B49" s="3"/>
      <c r="C49" s="3"/>
      <c r="D49" s="3"/>
      <c r="E49" s="3"/>
      <c r="F49" s="3"/>
      <c r="G49" s="3"/>
    </row>
    <row r="50">
      <c r="A50" s="3"/>
      <c r="B50" s="3"/>
      <c r="C50" s="3"/>
      <c r="D50" s="3"/>
      <c r="E50" s="3"/>
      <c r="F50" s="3"/>
      <c r="G50" s="3"/>
    </row>
    <row r="51">
      <c r="A51" s="3"/>
      <c r="B51" s="3"/>
      <c r="C51" s="3"/>
      <c r="D51" s="3"/>
      <c r="E51" s="3"/>
      <c r="F51" s="3"/>
      <c r="G51" s="3"/>
    </row>
    <row r="52">
      <c r="A52" s="3"/>
      <c r="B52" s="3"/>
      <c r="C52" s="3"/>
      <c r="D52" s="3"/>
      <c r="E52" s="3"/>
      <c r="F52" s="3"/>
      <c r="G52" s="3"/>
    </row>
    <row r="53">
      <c r="A53" s="3"/>
      <c r="B53" s="3"/>
      <c r="C53" s="3"/>
      <c r="D53" s="3"/>
      <c r="E53" s="3"/>
      <c r="F53" s="3"/>
      <c r="G53" s="3"/>
    </row>
    <row r="54">
      <c r="A54" s="3"/>
      <c r="B54" s="3"/>
      <c r="C54" s="3"/>
      <c r="D54" s="3"/>
      <c r="E54" s="3"/>
      <c r="F54" s="3"/>
      <c r="G54" s="3"/>
    </row>
    <row r="55">
      <c r="A55" s="3"/>
      <c r="B55" s="3"/>
      <c r="C55" s="3"/>
      <c r="D55" s="3"/>
      <c r="E55" s="3"/>
      <c r="F55" s="3"/>
      <c r="G55" s="3"/>
    </row>
    <row r="56">
      <c r="A56" s="3"/>
      <c r="B56" s="3"/>
      <c r="C56" s="3"/>
      <c r="D56" s="3"/>
      <c r="E56" s="3"/>
      <c r="F56" s="3"/>
      <c r="G56" s="3"/>
    </row>
    <row r="57">
      <c r="A57" s="3"/>
      <c r="B57" s="3"/>
      <c r="C57" s="3"/>
      <c r="D57" s="3"/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  <row r="140">
      <c r="A140" s="3"/>
      <c r="B140" s="3"/>
      <c r="C140" s="3"/>
      <c r="D140" s="3"/>
      <c r="E140" s="3"/>
      <c r="F140" s="3"/>
      <c r="G140" s="3"/>
    </row>
    <row r="141">
      <c r="A141" s="3"/>
      <c r="B141" s="3"/>
      <c r="C141" s="3"/>
      <c r="D141" s="3"/>
      <c r="E141" s="3"/>
      <c r="F141" s="3"/>
      <c r="G141" s="3"/>
    </row>
    <row r="142">
      <c r="A142" s="3"/>
      <c r="B142" s="3"/>
      <c r="C142" s="3"/>
      <c r="D142" s="3"/>
      <c r="E142" s="3"/>
      <c r="F142" s="3"/>
      <c r="G142" s="3"/>
    </row>
    <row r="143">
      <c r="A143" s="3"/>
      <c r="B143" s="3"/>
      <c r="C143" s="3"/>
      <c r="D143" s="3"/>
      <c r="E143" s="3"/>
      <c r="F143" s="3"/>
      <c r="G143" s="3"/>
    </row>
    <row r="144">
      <c r="A144" s="3"/>
      <c r="B144" s="3"/>
      <c r="C144" s="3"/>
      <c r="D144" s="3"/>
      <c r="E144" s="3"/>
      <c r="F144" s="3"/>
      <c r="G144" s="3"/>
    </row>
    <row r="145">
      <c r="A145" s="3"/>
      <c r="B145" s="3"/>
      <c r="C145" s="3"/>
      <c r="D145" s="3"/>
      <c r="E145" s="3"/>
      <c r="F145" s="3"/>
      <c r="G145" s="3"/>
    </row>
    <row r="146">
      <c r="A146" s="3"/>
      <c r="B146" s="3"/>
      <c r="C146" s="3"/>
      <c r="D146" s="3"/>
      <c r="E146" s="3"/>
      <c r="F146" s="3"/>
      <c r="G146" s="3"/>
    </row>
    <row r="147">
      <c r="A147" s="3"/>
      <c r="B147" s="3"/>
      <c r="C147" s="3"/>
      <c r="D147" s="3"/>
      <c r="E147" s="3"/>
      <c r="F147" s="3"/>
      <c r="G147" s="3"/>
    </row>
  </sheetData>
  <drawing r:id="rId1"/>
</worksheet>
</file>