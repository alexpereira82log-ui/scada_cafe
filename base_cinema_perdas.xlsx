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3">
        <f>IFERROR(__xludf.DUMMYFUNCTION("""COMPUTED_VALUE"""),46021.0)</f>
        <v>46021</v>
      </c>
      <c r="B578" s="1" t="str">
        <f>IFERROR(__xludf.DUMMYFUNCTION("""COMPUTED_VALUE"""),"Copo pequeno")</f>
        <v>Copo pequeno</v>
      </c>
      <c r="C578" s="1">
        <f>IFERROR(__xludf.DUMMYFUNCTION("""COMPUTED_VALUE"""),1.0)</f>
        <v>1</v>
      </c>
      <c r="D578" s="4">
        <f>IFERROR(__xludf.DUMMYFUNCTION("""COMPUTED_VALUE"""),3.98)</f>
        <v>3.98</v>
      </c>
      <c r="E578" s="1" t="str">
        <f>IFERROR(__xludf.DUMMYFUNCTION("""COMPUTED_VALUE"""),"Quebra")</f>
        <v>Quebra</v>
      </c>
      <c r="F578" s="1" t="str">
        <f>IFERROR(__xludf.DUMMYFUNCTION("""COMPUTED_VALUE"""),"JESSYCA")</f>
        <v>JESSYCA</v>
      </c>
      <c r="G578" s="1"/>
      <c r="H578" s="1" t="str">
        <f>IFERROR(__xludf.DUMMYFUNCTION("""COMPUTED_VALUE"""),"12/2025")</f>
        <v>12/2025</v>
      </c>
    </row>
    <row r="579">
      <c r="A579" s="3">
        <f>IFERROR(__xludf.DUMMYFUNCTION("""COMPUTED_VALUE"""),46024.0)</f>
        <v>46024</v>
      </c>
      <c r="B579" s="1" t="str">
        <f>IFERROR(__xludf.DUMMYFUNCTION("""COMPUTED_VALUE"""),"Copo pequeno")</f>
        <v>Copo pequeno</v>
      </c>
      <c r="C579" s="1">
        <f>IFERROR(__xludf.DUMMYFUNCTION("""COMPUTED_VALUE"""),1.0)</f>
        <v>1</v>
      </c>
      <c r="D579" s="4">
        <f>IFERROR(__xludf.DUMMYFUNCTION("""COMPUTED_VALUE"""),3.98)</f>
        <v>3.98</v>
      </c>
      <c r="E579" s="1" t="str">
        <f>IFERROR(__xludf.DUMMYFUNCTION("""COMPUTED_VALUE"""),"Quebra")</f>
        <v>Quebra</v>
      </c>
      <c r="F579" s="1" t="str">
        <f>IFERROR(__xludf.DUMMYFUNCTION("""COMPUTED_VALUE"""),"JAQUELINE")</f>
        <v>JAQUELINE</v>
      </c>
      <c r="G579" s="1" t="str">
        <f>IFERROR(__xludf.DUMMYFUNCTION("""COMPUTED_VALUE"""),"Encontrado quebrado em baixo do caixa")</f>
        <v>Encontrado quebrado em baixo do caixa</v>
      </c>
      <c r="H579" s="1" t="str">
        <f>IFERROR(__xludf.DUMMYFUNCTION("""COMPUTED_VALUE"""),"01/2025")</f>
        <v>01/2025</v>
      </c>
    </row>
    <row r="580">
      <c r="A580" s="3">
        <f>IFERROR(__xludf.DUMMYFUNCTION("""COMPUTED_VALUE"""),46024.0)</f>
        <v>46024</v>
      </c>
      <c r="B580" s="1" t="str">
        <f>IFERROR(__xludf.DUMMYFUNCTION("""COMPUTED_VALUE"""),"Copo shot")</f>
        <v>Copo shot</v>
      </c>
      <c r="C580" s="1">
        <f>IFERROR(__xludf.DUMMYFUNCTION("""COMPUTED_VALUE"""),1.0)</f>
        <v>1</v>
      </c>
      <c r="D580" s="4">
        <f>IFERROR(__xludf.DUMMYFUNCTION("""COMPUTED_VALUE"""),2.35)</f>
        <v>2.35</v>
      </c>
      <c r="E580" s="1" t="str">
        <f>IFERROR(__xludf.DUMMYFUNCTION("""COMPUTED_VALUE"""),"Quebra")</f>
        <v>Quebra</v>
      </c>
      <c r="F580" s="1" t="str">
        <f>IFERROR(__xludf.DUMMYFUNCTION("""COMPUTED_VALUE"""),"JAQUELINE")</f>
        <v>JAQUELINE</v>
      </c>
      <c r="G580" s="1" t="str">
        <f>IFERROR(__xludf.DUMMYFUNCTION("""COMPUTED_VALUE"""),"Lascado na bandeja")</f>
        <v>Lascado na bandeja</v>
      </c>
      <c r="H580" s="1" t="str">
        <f>IFERROR(__xludf.DUMMYFUNCTION("""COMPUTED_VALUE"""),"01/2025")</f>
        <v>01/2025</v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