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IFERROR(__xludf.DUMMYFUNCTION("""COMPUTED_VALUE"""),45806.0)</f>
        <v>45806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3">
        <f>IFERROR(__xludf.DUMMYFUNCTION("""COMPUTED_VALUE"""),46014.0)</f>
        <v>46014</v>
      </c>
      <c r="B567" s="1" t="str">
        <f>IFERROR(__xludf.DUMMYFUNCTION("""COMPUTED_VALUE"""),"Alface")</f>
        <v>Alface</v>
      </c>
      <c r="C567" s="1">
        <f>IFERROR(__xludf.DUMMYFUNCTION("""COMPUTED_VALUE"""),0.109)</f>
        <v>0.109</v>
      </c>
      <c r="D567" s="4">
        <f>IFERROR(__xludf.DUMMYFUNCTION("""COMPUTED_VALUE"""),0.76082)</f>
        <v>0.76082</v>
      </c>
      <c r="E567" s="1" t="str">
        <f>IFERROR(__xludf.DUMMYFUNCTION("""COMPUTED_VALUE"""),"Venceu (Validade)")</f>
        <v>Venceu (Validade)</v>
      </c>
      <c r="F567" s="1" t="str">
        <f>IFERROR(__xludf.DUMMYFUNCTION("""COMPUTED_VALUE"""),"JESIANA")</f>
        <v>JESIANA</v>
      </c>
      <c r="G567" s="1" t="str">
        <f>IFERROR(__xludf.DUMMYFUNCTION("""COMPUTED_VALUE"""),"Folhas amareladas")</f>
        <v>Folhas amareladas</v>
      </c>
      <c r="H567" s="1" t="str">
        <f>IFERROR(__xludf.DUMMYFUNCTION("""COMPUTED_VALUE"""),"12/2025")</f>
        <v>12/2025</v>
      </c>
    </row>
    <row r="568">
      <c r="A568" s="3">
        <f>IFERROR(__xludf.DUMMYFUNCTION("""COMPUTED_VALUE"""),46014.0)</f>
        <v>46014</v>
      </c>
      <c r="B568" s="1" t="str">
        <f>IFERROR(__xludf.DUMMYFUNCTION("""COMPUTED_VALUE"""),"Pão ciabata")</f>
        <v>Pão ciabata</v>
      </c>
      <c r="C568" s="1">
        <f>IFERROR(__xludf.DUMMYFUNCTION("""COMPUTED_VALUE"""),1.0)</f>
        <v>1</v>
      </c>
      <c r="D568" s="4">
        <f>IFERROR(__xludf.DUMMYFUNCTION("""COMPUTED_VALUE"""),5.0)</f>
        <v>5</v>
      </c>
      <c r="E568" s="1" t="str">
        <f>IFERROR(__xludf.DUMMYFUNCTION("""COMPUTED_VALUE"""),"Erro de processo")</f>
        <v>Erro de processo</v>
      </c>
      <c r="F568" s="1" t="str">
        <f>IFERROR(__xludf.DUMMYFUNCTION("""COMPUTED_VALUE"""),"JESIANA")</f>
        <v>JESIANA</v>
      </c>
      <c r="G568" s="1" t="str">
        <f>IFERROR(__xludf.DUMMYFUNCTION("""COMPUTED_VALUE"""),"Cortado errado (fatia fina)")</f>
        <v>Cortado errado (fatia fina)</v>
      </c>
      <c r="H568" s="1" t="str">
        <f>IFERROR(__xludf.DUMMYFUNCTION("""COMPUTED_VALUE"""),"12/2025")</f>
        <v>12/2025</v>
      </c>
    </row>
    <row r="569">
      <c r="A569" s="3">
        <f>IFERROR(__xludf.DUMMYFUNCTION("""COMPUTED_VALUE"""),46014.0)</f>
        <v>46014</v>
      </c>
      <c r="B569" s="1" t="str">
        <f>IFERROR(__xludf.DUMMYFUNCTION("""COMPUTED_VALUE"""),"Bolo Maça")</f>
        <v>Bolo Maça</v>
      </c>
      <c r="C569" s="1">
        <f>IFERROR(__xludf.DUMMYFUNCTION("""COMPUTED_VALUE"""),1.0)</f>
        <v>1</v>
      </c>
      <c r="D569" s="4" t="str">
        <f>IFERROR(__xludf.DUMMYFUNCTION("""COMPUTED_VALUE"""),"  ")</f>
        <v/>
      </c>
      <c r="E569" s="1" t="str">
        <f>IFERROR(__xludf.DUMMYFUNCTION("""COMPUTED_VALUE"""),"Erro de processo")</f>
        <v>Erro de processo</v>
      </c>
      <c r="F569" s="1" t="str">
        <f>IFERROR(__xludf.DUMMYFUNCTION("""COMPUTED_VALUE"""),"JESIANA")</f>
        <v>JESIANA</v>
      </c>
      <c r="G569" s="1" t="str">
        <f>IFERROR(__xludf.DUMMYFUNCTION("""COMPUTED_VALUE"""),"Última fatia pequena")</f>
        <v>Última fatia pequena</v>
      </c>
      <c r="H569" s="1" t="str">
        <f>IFERROR(__xludf.DUMMYFUNCTION("""COMPUTED_VALUE"""),"12/2025")</f>
        <v>12/2025</v>
      </c>
    </row>
    <row r="570">
      <c r="A570" s="3">
        <f>IFERROR(__xludf.DUMMYFUNCTION("""COMPUTED_VALUE"""),46014.0)</f>
        <v>46014</v>
      </c>
      <c r="B570" s="1" t="str">
        <f>IFERROR(__xludf.DUMMYFUNCTION("""COMPUTED_VALUE"""),"Queijo Minas")</f>
        <v>Queijo Minas</v>
      </c>
      <c r="C570" s="1">
        <f>IFERROR(__xludf.DUMMYFUNCTION("""COMPUTED_VALUE"""),0.021)</f>
        <v>0.021</v>
      </c>
      <c r="D570" s="4">
        <f>IFERROR(__xludf.DUMMYFUNCTION("""COMPUTED_VALUE"""),1.2159)</f>
        <v>1.2159</v>
      </c>
      <c r="E570" s="1" t="str">
        <f>IFERROR(__xludf.DUMMYFUNCTION("""COMPUTED_VALUE"""),"Venceu (Validade)")</f>
        <v>Venceu (Validade)</v>
      </c>
      <c r="F570" s="1" t="str">
        <f>IFERROR(__xludf.DUMMYFUNCTION("""COMPUTED_VALUE"""),"JESIANA")</f>
        <v>JESIANA</v>
      </c>
      <c r="G570" s="1" t="str">
        <f>IFERROR(__xludf.DUMMYFUNCTION("""COMPUTED_VALUE"""),"Vencido")</f>
        <v>Vencido</v>
      </c>
      <c r="H570" s="1" t="str">
        <f>IFERROR(__xludf.DUMMYFUNCTION("""COMPUTED_VALUE"""),"12/2025")</f>
        <v>12/2025</v>
      </c>
    </row>
    <row r="571">
      <c r="A571" s="3">
        <f>IFERROR(__xludf.DUMMYFUNCTION("""COMPUTED_VALUE"""),46016.0)</f>
        <v>46016</v>
      </c>
      <c r="B571" s="1" t="str">
        <f>IFERROR(__xludf.DUMMYFUNCTION("""COMPUTED_VALUE"""),"ovo")</f>
        <v>ovo</v>
      </c>
      <c r="C571" s="1">
        <f>IFERROR(__xludf.DUMMYFUNCTION("""COMPUTED_VALUE"""),1.0)</f>
        <v>1</v>
      </c>
      <c r="D571" s="4">
        <f>IFERROR(__xludf.DUMMYFUNCTION("""COMPUTED_VALUE"""),0.71)</f>
        <v>0.71</v>
      </c>
      <c r="E571" s="1" t="str">
        <f>IFERROR(__xludf.DUMMYFUNCTION("""COMPUTED_VALUE"""),"Venceu (Validade)")</f>
        <v>Venceu (Validade)</v>
      </c>
      <c r="F571" s="1" t="str">
        <f>IFERROR(__xludf.DUMMYFUNCTION("""COMPUTED_VALUE"""),"COZINHA")</f>
        <v>COZINHA</v>
      </c>
      <c r="G571" s="1" t="str">
        <f>IFERROR(__xludf.DUMMYFUNCTION("""COMPUTED_VALUE"""),"podre")</f>
        <v>podre</v>
      </c>
      <c r="H571" s="1" t="str">
        <f>IFERROR(__xludf.DUMMYFUNCTION("""COMPUTED_VALUE"""),"12/2025")</f>
        <v>12/2025</v>
      </c>
    </row>
    <row r="572">
      <c r="A572" s="3">
        <f>IFERROR(__xludf.DUMMYFUNCTION("""COMPUTED_VALUE"""),46017.0)</f>
        <v>46017</v>
      </c>
      <c r="B572" s="1" t="str">
        <f>IFERROR(__xludf.DUMMYFUNCTION("""COMPUTED_VALUE"""),"Empada palmito")</f>
        <v>Empada palmito</v>
      </c>
      <c r="C572" s="1">
        <f>IFERROR(__xludf.DUMMYFUNCTION("""COMPUTED_VALUE"""),2.0)</f>
        <v>2</v>
      </c>
      <c r="D572" s="4">
        <f>IFERROR(__xludf.DUMMYFUNCTION("""COMPUTED_VALUE"""),8.0)</f>
        <v>8</v>
      </c>
      <c r="E572" s="1" t="str">
        <f>IFERROR(__xludf.DUMMYFUNCTION("""COMPUTED_VALUE"""),"Venceu (Validade)")</f>
        <v>Venceu (Validade)</v>
      </c>
      <c r="F572" s="1" t="str">
        <f>IFERROR(__xludf.DUMMYFUNCTION("""COMPUTED_VALUE"""),"NAIANE")</f>
        <v>NAIANE</v>
      </c>
      <c r="G572" s="1" t="str">
        <f>IFERROR(__xludf.DUMMYFUNCTION("""COMPUTED_VALUE"""),"Vencido (tempo de vitrine)")</f>
        <v>Vencido (tempo de vitrine)</v>
      </c>
      <c r="H572" s="1" t="str">
        <f>IFERROR(__xludf.DUMMYFUNCTION("""COMPUTED_VALUE"""),"12/2025")</f>
        <v>12/2025</v>
      </c>
    </row>
    <row r="573">
      <c r="A573" s="3">
        <f>IFERROR(__xludf.DUMMYFUNCTION("""COMPUTED_VALUE"""),46017.0)</f>
        <v>46017</v>
      </c>
      <c r="B573" s="1" t="str">
        <f>IFERROR(__xludf.DUMMYFUNCTION("""COMPUTED_VALUE"""),"Brownie")</f>
        <v>Brownie</v>
      </c>
      <c r="C573" s="1">
        <f>IFERROR(__xludf.DUMMYFUNCTION("""COMPUTED_VALUE"""),1.0)</f>
        <v>1</v>
      </c>
      <c r="D573" s="4" t="str">
        <f>IFERROR(__xludf.DUMMYFUNCTION("""COMPUTED_VALUE"""),"  ")</f>
        <v/>
      </c>
      <c r="E573" s="1" t="str">
        <f>IFERROR(__xludf.DUMMYFUNCTION("""COMPUTED_VALUE"""),"Venceu (Validade)")</f>
        <v>Venceu (Validade)</v>
      </c>
      <c r="F573" s="1" t="str">
        <f>IFERROR(__xludf.DUMMYFUNCTION("""COMPUTED_VALUE"""),"NAIANE")</f>
        <v>NAIANE</v>
      </c>
      <c r="G573" s="1" t="str">
        <f>IFERROR(__xludf.DUMMYFUNCTION("""COMPUTED_VALUE"""),"Vencido (tempo de vitrine)")</f>
        <v>Vencido (tempo de vitrine)</v>
      </c>
      <c r="H573" s="1" t="str">
        <f>IFERROR(__xludf.DUMMYFUNCTION("""COMPUTED_VALUE"""),"12/2025")</f>
        <v>12/2025</v>
      </c>
    </row>
    <row r="574">
      <c r="A574" s="3">
        <f>IFERROR(__xludf.DUMMYFUNCTION("""COMPUTED_VALUE"""),46018.0)</f>
        <v>46018</v>
      </c>
      <c r="B574" s="1" t="str">
        <f>IFERROR(__xludf.DUMMYFUNCTION("""COMPUTED_VALUE"""),"shot")</f>
        <v>shot</v>
      </c>
      <c r="C574" s="1">
        <f>IFERROR(__xludf.DUMMYFUNCTION("""COMPUTED_VALUE"""),1.0)</f>
        <v>1</v>
      </c>
      <c r="D574" s="4" t="str">
        <f>IFERROR(__xludf.DUMMYFUNCTION("""COMPUTED_VALUE"""),"  ")</f>
        <v/>
      </c>
      <c r="E574" s="1" t="str">
        <f>IFERROR(__xludf.DUMMYFUNCTION("""COMPUTED_VALUE"""),"Erro de processo")</f>
        <v>Erro de processo</v>
      </c>
      <c r="F574" s="1" t="str">
        <f>IFERROR(__xludf.DUMMYFUNCTION("""COMPUTED_VALUE"""),"FABIO")</f>
        <v>FABIO</v>
      </c>
      <c r="G574" s="1" t="str">
        <f>IFERROR(__xludf.DUMMYFUNCTION("""COMPUTED_VALUE"""),"escorregou da mao")</f>
        <v>escorregou da mao</v>
      </c>
      <c r="H574" s="1" t="str">
        <f>IFERROR(__xludf.DUMMYFUNCTION("""COMPUTED_VALUE"""),"12/2025")</f>
        <v>12/2025</v>
      </c>
    </row>
    <row r="575">
      <c r="A575" s="8">
        <f>IFERROR(__xludf.DUMMYFUNCTION("""COMPUTED_VALUE"""),46020.0)</f>
        <v>46020</v>
      </c>
      <c r="B575" s="1" t="str">
        <f>IFERROR(__xludf.DUMMYFUNCTION("""COMPUTED_VALUE"""),"porcao pao de queijo")</f>
        <v>porcao pao de queijo</v>
      </c>
      <c r="C575" s="1">
        <f>IFERROR(__xludf.DUMMYFUNCTION("""COMPUTED_VALUE"""),4.0)</f>
        <v>4</v>
      </c>
      <c r="D575" s="4" t="str">
        <f>IFERROR(__xludf.DUMMYFUNCTION("""COMPUTED_VALUE"""),"  ")</f>
        <v/>
      </c>
      <c r="E575" s="1" t="str">
        <f>IFERROR(__xludf.DUMMYFUNCTION("""COMPUTED_VALUE"""),"Venceu (Validade)")</f>
        <v>Venceu (Validade)</v>
      </c>
      <c r="F575" s="1" t="str">
        <f>IFERROR(__xludf.DUMMYFUNCTION("""COMPUTED_VALUE"""),"COZINHA")</f>
        <v>COZINHA</v>
      </c>
      <c r="G575" s="1" t="str">
        <f>IFERROR(__xludf.DUMMYFUNCTION("""COMPUTED_VALUE"""),"passado")</f>
        <v>passado</v>
      </c>
      <c r="H575" s="1" t="str">
        <f>IFERROR(__xludf.DUMMYFUNCTION("""COMPUTED_VALUE"""),"12/2025")</f>
        <v>12/2025</v>
      </c>
    </row>
    <row r="576">
      <c r="A576" s="3">
        <f>IFERROR(__xludf.DUMMYFUNCTION("""COMPUTED_VALUE"""),46020.0)</f>
        <v>46020</v>
      </c>
      <c r="B576" s="1" t="str">
        <f>IFERROR(__xludf.DUMMYFUNCTION("""COMPUTED_VALUE"""),"unidade pao de quejo")</f>
        <v>unidade pao de quejo</v>
      </c>
      <c r="C576" s="1">
        <f>IFERROR(__xludf.DUMMYFUNCTION("""COMPUTED_VALUE"""),2.0)</f>
        <v>2</v>
      </c>
      <c r="D576" s="4" t="str">
        <f>IFERROR(__xludf.DUMMYFUNCTION("""COMPUTED_VALUE"""),"  ")</f>
        <v/>
      </c>
      <c r="E576" s="1" t="str">
        <f>IFERROR(__xludf.DUMMYFUNCTION("""COMPUTED_VALUE"""),"Venceu (Validade)")</f>
        <v>Venceu (Validade)</v>
      </c>
      <c r="F576" s="1" t="str">
        <f>IFERROR(__xludf.DUMMYFUNCTION("""COMPUTED_VALUE"""),"COZINHA")</f>
        <v>COZINHA</v>
      </c>
      <c r="G576" s="1" t="str">
        <f>IFERROR(__xludf.DUMMYFUNCTION("""COMPUTED_VALUE"""),"passado")</f>
        <v>passado</v>
      </c>
      <c r="H576" s="1" t="str">
        <f>IFERROR(__xludf.DUMMYFUNCTION("""COMPUTED_VALUE"""),"12/2025")</f>
        <v>12/2025</v>
      </c>
    </row>
    <row r="577">
      <c r="A577" s="3">
        <f>IFERROR(__xludf.DUMMYFUNCTION("""COMPUTED_VALUE"""),46020.0)</f>
        <v>46020</v>
      </c>
      <c r="B577" s="1" t="str">
        <f>IFERROR(__xludf.DUMMYFUNCTION("""COMPUTED_VALUE"""),"ovo")</f>
        <v>ovo</v>
      </c>
      <c r="C577" s="1">
        <f>IFERROR(__xludf.DUMMYFUNCTION("""COMPUTED_VALUE"""),3.0)</f>
        <v>3</v>
      </c>
      <c r="D577" s="4">
        <f>IFERROR(__xludf.DUMMYFUNCTION("""COMPUTED_VALUE"""),2.13)</f>
        <v>2.13</v>
      </c>
      <c r="E577" s="1" t="str">
        <f>IFERROR(__xludf.DUMMYFUNCTION("""COMPUTED_VALUE"""),"Venceu (Validade)")</f>
        <v>Venceu (Validade)</v>
      </c>
      <c r="F577" s="1" t="str">
        <f>IFERROR(__xludf.DUMMYFUNCTION("""COMPUTED_VALUE"""),"COZINHA")</f>
        <v>COZINHA</v>
      </c>
      <c r="G577" s="1" t="str">
        <f>IFERROR(__xludf.DUMMYFUNCTION("""COMPUTED_VALUE"""),"podre")</f>
        <v>podre</v>
      </c>
      <c r="H577" s="1" t="str">
        <f>IFERROR(__xludf.DUMMYFUNCTION("""COMPUTED_VALUE"""),"12/2025")</f>
        <v>12/2025</v>
      </c>
    </row>
    <row r="578">
      <c r="A578" s="3">
        <f>IFERROR(__xludf.DUMMYFUNCTION("""COMPUTED_VALUE"""),46021.0)</f>
        <v>46021</v>
      </c>
      <c r="B578" s="1" t="str">
        <f>IFERROR(__xludf.DUMMYFUNCTION("""COMPUTED_VALUE"""),"Copo pequeno")</f>
        <v>Copo pequeno</v>
      </c>
      <c r="C578" s="1">
        <f>IFERROR(__xludf.DUMMYFUNCTION("""COMPUTED_VALUE"""),1.0)</f>
        <v>1</v>
      </c>
      <c r="D578" s="4">
        <f>IFERROR(__xludf.DUMMYFUNCTION("""COMPUTED_VALUE"""),3.98)</f>
        <v>3.98</v>
      </c>
      <c r="E578" s="1" t="str">
        <f>IFERROR(__xludf.DUMMYFUNCTION("""COMPUTED_VALUE"""),"Quebra")</f>
        <v>Quebra</v>
      </c>
      <c r="F578" s="1" t="str">
        <f>IFERROR(__xludf.DUMMYFUNCTION("""COMPUTED_VALUE"""),"JESSYCA")</f>
        <v>JESSYCA</v>
      </c>
      <c r="G578" s="1"/>
      <c r="H578" s="1" t="str">
        <f>IFERROR(__xludf.DUMMYFUNCTION("""COMPUTED_VALUE"""),"12/2025")</f>
        <v>12/2025</v>
      </c>
    </row>
    <row r="579">
      <c r="A579" s="3">
        <f>IFERROR(__xludf.DUMMYFUNCTION("""COMPUTED_VALUE"""),46024.0)</f>
        <v>46024</v>
      </c>
      <c r="B579" s="1" t="str">
        <f>IFERROR(__xludf.DUMMYFUNCTION("""COMPUTED_VALUE"""),"Copo pequeno")</f>
        <v>Copo pequeno</v>
      </c>
      <c r="C579" s="1">
        <f>IFERROR(__xludf.DUMMYFUNCTION("""COMPUTED_VALUE"""),1.0)</f>
        <v>1</v>
      </c>
      <c r="D579" s="4">
        <f>IFERROR(__xludf.DUMMYFUNCTION("""COMPUTED_VALUE"""),3.98)</f>
        <v>3.98</v>
      </c>
      <c r="E579" s="1" t="str">
        <f>IFERROR(__xludf.DUMMYFUNCTION("""COMPUTED_VALUE"""),"Quebra")</f>
        <v>Quebra</v>
      </c>
      <c r="F579" s="1" t="str">
        <f>IFERROR(__xludf.DUMMYFUNCTION("""COMPUTED_VALUE"""),"JAQUELINE")</f>
        <v>JAQUELINE</v>
      </c>
      <c r="G579" s="1" t="str">
        <f>IFERROR(__xludf.DUMMYFUNCTION("""COMPUTED_VALUE"""),"Encontrado quebrado em baixo do caixa")</f>
        <v>Encontrado quebrado em baixo do caixa</v>
      </c>
      <c r="H579" s="1" t="str">
        <f>IFERROR(__xludf.DUMMYFUNCTION("""COMPUTED_VALUE"""),"01/2025")</f>
        <v>01/2025</v>
      </c>
    </row>
    <row r="580">
      <c r="A580" s="3">
        <f>IFERROR(__xludf.DUMMYFUNCTION("""COMPUTED_VALUE"""),46024.0)</f>
        <v>46024</v>
      </c>
      <c r="B580" s="1" t="str">
        <f>IFERROR(__xludf.DUMMYFUNCTION("""COMPUTED_VALUE"""),"Copo shot")</f>
        <v>Copo shot</v>
      </c>
      <c r="C580" s="1">
        <f>IFERROR(__xludf.DUMMYFUNCTION("""COMPUTED_VALUE"""),1.0)</f>
        <v>1</v>
      </c>
      <c r="D580" s="4">
        <f>IFERROR(__xludf.DUMMYFUNCTION("""COMPUTED_VALUE"""),2.35)</f>
        <v>2.35</v>
      </c>
      <c r="E580" s="1" t="str">
        <f>IFERROR(__xludf.DUMMYFUNCTION("""COMPUTED_VALUE"""),"Quebra")</f>
        <v>Quebra</v>
      </c>
      <c r="F580" s="1" t="str">
        <f>IFERROR(__xludf.DUMMYFUNCTION("""COMPUTED_VALUE"""),"JAQUELINE")</f>
        <v>JAQUELINE</v>
      </c>
      <c r="G580" s="1" t="str">
        <f>IFERROR(__xludf.DUMMYFUNCTION("""COMPUTED_VALUE"""),"Lascado na bandeja")</f>
        <v>Lascado na bandeja</v>
      </c>
      <c r="H580" s="1" t="str">
        <f>IFERROR(__xludf.DUMMYFUNCTION("""COMPUTED_VALUE"""),"01/2025")</f>
        <v>01/2025</v>
      </c>
    </row>
    <row r="581">
      <c r="A581" s="3">
        <f>IFERROR(__xludf.DUMMYFUNCTION("""COMPUTED_VALUE"""),46026.0)</f>
        <v>46026</v>
      </c>
      <c r="B581" s="1" t="str">
        <f>IFERROR(__xludf.DUMMYFUNCTION("""COMPUTED_VALUE"""),"Copo shot")</f>
        <v>Copo shot</v>
      </c>
      <c r="C581" s="1">
        <f>IFERROR(__xludf.DUMMYFUNCTION("""COMPUTED_VALUE"""),1.0)</f>
        <v>1</v>
      </c>
      <c r="D581" s="4">
        <f>IFERROR(__xludf.DUMMYFUNCTION("""COMPUTED_VALUE"""),2.35)</f>
        <v>2.35</v>
      </c>
      <c r="E581" s="1" t="str">
        <f>IFERROR(__xludf.DUMMYFUNCTION("""COMPUTED_VALUE"""),"Quebra")</f>
        <v>Quebra</v>
      </c>
      <c r="F581" s="1" t="str">
        <f>IFERROR(__xludf.DUMMYFUNCTION("""COMPUTED_VALUE"""),"JAQUELINE")</f>
        <v>JAQUELINE</v>
      </c>
      <c r="G581" s="1"/>
      <c r="H581" s="1" t="str">
        <f>IFERROR(__xludf.DUMMYFUNCTION("""COMPUTED_VALUE"""),"01/2025")</f>
        <v>01/2025</v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1"/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1"/>
      <c r="E1134" s="1"/>
      <c r="F1134" s="1"/>
      <c r="G1134" s="1"/>
      <c r="H1134" s="1"/>
    </row>
    <row r="1135">
      <c r="A1135" s="1"/>
      <c r="B1135" s="1"/>
      <c r="C1135" s="1"/>
      <c r="D1135" s="1"/>
      <c r="E1135" s="1"/>
      <c r="F1135" s="1"/>
      <c r="G1135" s="1"/>
      <c r="H1135" s="1"/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</sheetData>
  <drawing r:id="rId1"/>
</worksheet>
</file>