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2">
        <f>IFERROR(__xludf.DUMMYFUNCTION("""COMPUTED_VALUE"""),46067.0)</f>
        <v>46067</v>
      </c>
      <c r="B67" s="3" t="str">
        <f>IFERROR(__xludf.DUMMYFUNCTION("""COMPUTED_VALUE"""),"Alface")</f>
        <v>Alface</v>
      </c>
      <c r="C67" s="3" t="str">
        <f>IFERROR(__xludf.DUMMYFUNCTION("""COMPUTED_VALUE"""),"Hortifruti")</f>
        <v>Hortifruti</v>
      </c>
      <c r="D67" s="3">
        <f>IFERROR(__xludf.DUMMYFUNCTION("""COMPUTED_VALUE"""),0.14)</f>
        <v>0.14</v>
      </c>
      <c r="E67" s="3" t="str">
        <f>IFERROR(__xludf.DUMMYFUNCTION("""COMPUTED_VALUE"""),"Venceu (Validade)")</f>
        <v>Venceu (Validade)</v>
      </c>
      <c r="F67" s="3" t="str">
        <f>IFERROR(__xludf.DUMMYFUNCTION("""COMPUTED_VALUE"""),"Jesiana")</f>
        <v>Jesiana</v>
      </c>
      <c r="G67" s="3" t="str">
        <f>IFERROR(__xludf.DUMMYFUNCTION("""COMPUTED_VALUE"""),"Amarelada")</f>
        <v>Amarelada</v>
      </c>
    </row>
    <row r="68">
      <c r="A68" s="2">
        <f>IFERROR(__xludf.DUMMYFUNCTION("""COMPUTED_VALUE"""),46067.0)</f>
        <v>46067</v>
      </c>
      <c r="B68" s="3" t="str">
        <f>IFERROR(__xludf.DUMMYFUNCTION("""COMPUTED_VALUE"""),"Manjericão ")</f>
        <v>Manjericão </v>
      </c>
      <c r="C68" s="3" t="str">
        <f>IFERROR(__xludf.DUMMYFUNCTION("""COMPUTED_VALUE"""),"Hortifruti")</f>
        <v>Hortifruti</v>
      </c>
      <c r="D68" s="3">
        <f>IFERROR(__xludf.DUMMYFUNCTION("""COMPUTED_VALUE"""),0.03)</f>
        <v>0.03</v>
      </c>
      <c r="E68" s="3" t="str">
        <f>IFERROR(__xludf.DUMMYFUNCTION("""COMPUTED_VALUE"""),"Venceu (Validade)")</f>
        <v>Venceu (Validade)</v>
      </c>
      <c r="F68" s="3" t="str">
        <f>IFERROR(__xludf.DUMMYFUNCTION("""COMPUTED_VALUE"""),"Jesiana")</f>
        <v>Jesiana</v>
      </c>
      <c r="G68" s="3" t="str">
        <f>IFERROR(__xludf.DUMMYFUNCTION("""COMPUTED_VALUE"""),"Ruim")</f>
        <v>Ruim</v>
      </c>
    </row>
    <row r="69">
      <c r="A69" s="2">
        <f>IFERROR(__xludf.DUMMYFUNCTION("""COMPUTED_VALUE"""),46068.0)</f>
        <v>46068</v>
      </c>
      <c r="B69" s="3" t="str">
        <f>IFERROR(__xludf.DUMMYFUNCTION("""COMPUTED_VALUE"""),"Rúcula ")</f>
        <v>Rúcula </v>
      </c>
      <c r="C69" s="3" t="str">
        <f>IFERROR(__xludf.DUMMYFUNCTION("""COMPUTED_VALUE"""),"Hortifruti")</f>
        <v>Hortifruti</v>
      </c>
      <c r="D69" s="3" t="str">
        <f>IFERROR(__xludf.DUMMYFUNCTION("""COMPUTED_VALUE"""),"0,121g")</f>
        <v>0,121g</v>
      </c>
      <c r="E69" s="3" t="str">
        <f>IFERROR(__xludf.DUMMYFUNCTION("""COMPUTED_VALUE"""),"Venceu (Validade)")</f>
        <v>Venceu (Validade)</v>
      </c>
      <c r="F69" s="3" t="str">
        <f>IFERROR(__xludf.DUMMYFUNCTION("""COMPUTED_VALUE"""),"Jesiana")</f>
        <v>Jesiana</v>
      </c>
      <c r="G69" s="3" t="str">
        <f>IFERROR(__xludf.DUMMYFUNCTION("""COMPUTED_VALUE"""),"N")</f>
        <v>N</v>
      </c>
    </row>
    <row r="70">
      <c r="A70" s="2">
        <f>IFERROR(__xludf.DUMMYFUNCTION("""COMPUTED_VALUE"""),46068.0)</f>
        <v>46068</v>
      </c>
      <c r="B70" s="3" t="str">
        <f>IFERROR(__xludf.DUMMYFUNCTION("""COMPUTED_VALUE"""),"Alface ")</f>
        <v>Alface </v>
      </c>
      <c r="C70" s="3" t="str">
        <f>IFERROR(__xludf.DUMMYFUNCTION("""COMPUTED_VALUE"""),"Hortifruti")</f>
        <v>Hortifruti</v>
      </c>
      <c r="D70" s="3" t="str">
        <f>IFERROR(__xludf.DUMMYFUNCTION("""COMPUTED_VALUE"""),"0,083g")</f>
        <v>0,083g</v>
      </c>
      <c r="E70" s="3" t="str">
        <f>IFERROR(__xludf.DUMMYFUNCTION("""COMPUTED_VALUE"""),"Venceu (Validade)")</f>
        <v>Venceu (Validade)</v>
      </c>
      <c r="F70" s="3" t="str">
        <f>IFERROR(__xludf.DUMMYFUNCTION("""COMPUTED_VALUE"""),"Jesiana")</f>
        <v>Jesiana</v>
      </c>
      <c r="G70" s="3" t="str">
        <f>IFERROR(__xludf.DUMMYFUNCTION("""COMPUTED_VALUE"""),"N")</f>
        <v>N</v>
      </c>
    </row>
    <row r="71">
      <c r="A71" s="2">
        <f>IFERROR(__xludf.DUMMYFUNCTION("""COMPUTED_VALUE"""),46069.0)</f>
        <v>46069</v>
      </c>
      <c r="B71" s="3" t="str">
        <f>IFERROR(__xludf.DUMMYFUNCTION("""COMPUTED_VALUE"""),"Copo Grande")</f>
        <v>Copo Grande</v>
      </c>
      <c r="C71" s="3" t="str">
        <f>IFERROR(__xludf.DUMMYFUNCTION("""COMPUTED_VALUE"""),"Utensílio")</f>
        <v>Utensílio</v>
      </c>
      <c r="D71" s="3">
        <f>IFERROR(__xludf.DUMMYFUNCTION("""COMPUTED_VALUE"""),1.0)</f>
        <v>1</v>
      </c>
      <c r="E71" s="3" t="str">
        <f>IFERROR(__xludf.DUMMYFUNCTION("""COMPUTED_VALUE"""),"Quebra")</f>
        <v>Quebra</v>
      </c>
      <c r="F71" s="3" t="str">
        <f>IFERROR(__xludf.DUMMYFUNCTION("""COMPUTED_VALUE"""),"Alex")</f>
        <v>Alex</v>
      </c>
      <c r="G71" s="3" t="str">
        <f>IFERROR(__xludf.DUMMYFUNCTION("""COMPUTED_VALUE"""),"Quebrou na pia ")</f>
        <v>Quebrou na pia </v>
      </c>
    </row>
    <row r="72">
      <c r="A72" s="2">
        <f>IFERROR(__xludf.DUMMYFUNCTION("""COMPUTED_VALUE"""),46070.0)</f>
        <v>46070</v>
      </c>
      <c r="B72" s="3" t="str">
        <f>IFERROR(__xludf.DUMMYFUNCTION("""COMPUTED_VALUE"""),"Cheesecake ")</f>
        <v>Cheesecake </v>
      </c>
      <c r="C72" s="3" t="str">
        <f>IFERROR(__xludf.DUMMYFUNCTION("""COMPUTED_VALUE"""),"Outro")</f>
        <v>Outro</v>
      </c>
      <c r="D72" s="3">
        <f>IFERROR(__xludf.DUMMYFUNCTION("""COMPUTED_VALUE"""),1.0)</f>
        <v>1</v>
      </c>
      <c r="E72" s="3" t="str">
        <f>IFERROR(__xludf.DUMMYFUNCTION("""COMPUTED_VALUE"""),"Venceu (Validade)")</f>
        <v>Venceu (Validade)</v>
      </c>
      <c r="F72" s="3" t="str">
        <f>IFERROR(__xludf.DUMMYFUNCTION("""COMPUTED_VALUE"""),"Jesiana")</f>
        <v>Jesiana</v>
      </c>
      <c r="G72" s="3" t="str">
        <f>IFERROR(__xludf.DUMMYFUNCTION("""COMPUTED_VALUE"""),"N")</f>
        <v>N</v>
      </c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  <row r="171">
      <c r="A171" s="3"/>
      <c r="B171" s="3"/>
      <c r="C171" s="3"/>
      <c r="D171" s="3"/>
      <c r="E171" s="3"/>
      <c r="F171" s="3"/>
      <c r="G171" s="3"/>
    </row>
    <row r="172">
      <c r="A172" s="3"/>
      <c r="B172" s="3"/>
      <c r="C172" s="3"/>
      <c r="D172" s="3"/>
      <c r="E172" s="3"/>
      <c r="F172" s="3"/>
      <c r="G172" s="3"/>
    </row>
  </sheetData>
  <drawing r:id="rId1"/>
</worksheet>
</file>