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IFERROR(__xludf.DUMMYFUNCTION("""COMPUTED_VALUE"""),45806.0)</f>
        <v>45806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 t="str">
        <f>IFERROR(__xludf.DUMMYFUNCTION("""COMPUTED_VALUE"""),"Quebra")</f>
        <v>Quebra</v>
      </c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 t="str">
        <f>IFERROR(__xludf.DUMMYFUNCTION("""COMPUTED_VALUE"""),"Quebra")</f>
        <v>Quebra</v>
      </c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3">
        <f>IFERROR(__xludf.DUMMYFUNCTION("""COMPUTED_VALUE"""),46003.0)</f>
        <v>46003</v>
      </c>
      <c r="B547" s="1" t="str">
        <f>IFERROR(__xludf.DUMMYFUNCTION("""COMPUTED_VALUE"""),"Alface")</f>
        <v>Alface</v>
      </c>
      <c r="C547" s="1" t="str">
        <f>IFERROR(__xludf.DUMMYFUNCTION("""COMPUTED_VALUE"""),"110g")</f>
        <v>110g</v>
      </c>
      <c r="D547" s="4" t="str">
        <f>IFERROR(__xludf.DUMMYFUNCTION("""COMPUTED_VALUE"""),"  ")</f>
        <v/>
      </c>
      <c r="E547" s="1" t="str">
        <f>IFERROR(__xludf.DUMMYFUNCTION("""COMPUTED_VALUE"""),"Venceu (Validade)")</f>
        <v>Venceu (Validade)</v>
      </c>
      <c r="F547" s="1" t="str">
        <f>IFERROR(__xludf.DUMMYFUNCTION("""COMPUTED_VALUE"""),"NAIANE")</f>
        <v>NAIANE</v>
      </c>
      <c r="G547" s="1" t="str">
        <f>IFERROR(__xludf.DUMMYFUNCTION("""COMPUTED_VALUE"""),"Folhas amareladas")</f>
        <v>Folhas amareladas</v>
      </c>
      <c r="H547" s="1" t="str">
        <f>IFERROR(__xludf.DUMMYFUNCTION("""COMPUTED_VALUE"""),"12/2025")</f>
        <v>12/2025</v>
      </c>
    </row>
    <row r="548">
      <c r="A548" s="3">
        <f>IFERROR(__xludf.DUMMYFUNCTION("""COMPUTED_VALUE"""),46003.0)</f>
        <v>46003</v>
      </c>
      <c r="B548" s="1" t="str">
        <f>IFERROR(__xludf.DUMMYFUNCTION("""COMPUTED_VALUE"""),"Queijo Brie")</f>
        <v>Queijo Brie</v>
      </c>
      <c r="C548" s="1" t="str">
        <f>IFERROR(__xludf.DUMMYFUNCTION("""COMPUTED_VALUE"""),"11g")</f>
        <v>11g</v>
      </c>
      <c r="D548" s="4" t="str">
        <f>IFERROR(__xludf.DUMMYFUNCTION("""COMPUTED_VALUE"""),"  ")</f>
        <v/>
      </c>
      <c r="E548" s="1" t="str">
        <f>IFERROR(__xludf.DUMMYFUNCTION("""COMPUTED_VALUE"""),"Venceu (Validade)")</f>
        <v>Venceu (Validade)</v>
      </c>
      <c r="F548" s="1" t="str">
        <f>IFERROR(__xludf.DUMMYFUNCTION("""COMPUTED_VALUE"""),"NAIANE")</f>
        <v>NAIANE</v>
      </c>
      <c r="G548" s="1" t="str">
        <f>IFERROR(__xludf.DUMMYFUNCTION("""COMPUTED_VALUE"""),"Venceu")</f>
        <v>Venceu</v>
      </c>
      <c r="H548" s="1" t="str">
        <f>IFERROR(__xludf.DUMMYFUNCTION("""COMPUTED_VALUE"""),"12/2025")</f>
        <v>12/2025</v>
      </c>
    </row>
    <row r="549">
      <c r="A549" s="3">
        <f>IFERROR(__xludf.DUMMYFUNCTION("""COMPUTED_VALUE"""),46004.0)</f>
        <v>46004</v>
      </c>
      <c r="B549" s="1" t="str">
        <f>IFERROR(__xludf.DUMMYFUNCTION("""COMPUTED_VALUE"""),"Leite vegetal")</f>
        <v>Leite vegetal</v>
      </c>
      <c r="C549" s="1" t="str">
        <f>IFERROR(__xludf.DUMMYFUNCTION("""COMPUTED_VALUE"""),"2 litros")</f>
        <v>2 litros</v>
      </c>
      <c r="D549" s="4" t="str">
        <f>IFERROR(__xludf.DUMMYFUNCTION("""COMPUTED_VALUE"""),"  ")</f>
        <v/>
      </c>
      <c r="E549" s="1" t="str">
        <f>IFERROR(__xludf.DUMMYFUNCTION("""COMPUTED_VALUE"""),"Outro")</f>
        <v>Outro</v>
      </c>
      <c r="F549" s="1" t="str">
        <f>IFERROR(__xludf.DUMMYFUNCTION("""COMPUTED_VALUE"""),"ALEX")</f>
        <v>ALEX</v>
      </c>
      <c r="G549" s="1" t="str">
        <f>IFERROR(__xludf.DUMMYFUNCTION("""COMPUTED_VALUE"""),"Problema de qualidade")</f>
        <v>Problema de qualidade</v>
      </c>
      <c r="H549" s="1" t="str">
        <f>IFERROR(__xludf.DUMMYFUNCTION("""COMPUTED_VALUE"""),"12/2025")</f>
        <v>12/2025</v>
      </c>
    </row>
    <row r="550">
      <c r="A550" s="3">
        <f>IFERROR(__xludf.DUMMYFUNCTION("""COMPUTED_VALUE"""),46004.0)</f>
        <v>46004</v>
      </c>
      <c r="B550" s="1" t="str">
        <f>IFERROR(__xludf.DUMMYFUNCTION("""COMPUTED_VALUE"""),"Copo pequeno")</f>
        <v>Copo pequeno</v>
      </c>
      <c r="C550" s="1">
        <f>IFERROR(__xludf.DUMMYFUNCTION("""COMPUTED_VALUE"""),1.0)</f>
        <v>1</v>
      </c>
      <c r="D550" s="4">
        <f>IFERROR(__xludf.DUMMYFUNCTION("""COMPUTED_VALUE"""),3.98)</f>
        <v>3.98</v>
      </c>
      <c r="E550" s="1" t="str">
        <f>IFERROR(__xludf.DUMMYFUNCTION("""COMPUTED_VALUE"""),"Quebra")</f>
        <v>Quebra</v>
      </c>
      <c r="F550" s="1" t="str">
        <f>IFERROR(__xludf.DUMMYFUNCTION("""COMPUTED_VALUE"""),"GABRIELA")</f>
        <v>GABRIELA</v>
      </c>
      <c r="G550" s="1" t="str">
        <f>IFERROR(__xludf.DUMMYFUNCTION("""COMPUTED_VALUE"""),"Deixou cair")</f>
        <v>Deixou cair</v>
      </c>
      <c r="H550" s="1" t="str">
        <f>IFERROR(__xludf.DUMMYFUNCTION("""COMPUTED_VALUE"""),"12/2025")</f>
        <v>12/2025</v>
      </c>
    </row>
    <row r="551">
      <c r="A551" s="3">
        <f>IFERROR(__xludf.DUMMYFUNCTION("""COMPUTED_VALUE"""),46004.0)</f>
        <v>46004</v>
      </c>
      <c r="B551" s="1" t="str">
        <f>IFERROR(__xludf.DUMMYFUNCTION("""COMPUTED_VALUE"""),"Risoto Funghi")</f>
        <v>Risoto Funghi</v>
      </c>
      <c r="C551" s="1">
        <f>IFERROR(__xludf.DUMMYFUNCTION("""COMPUTED_VALUE"""),1.0)</f>
        <v>1</v>
      </c>
      <c r="D551" s="4" t="str">
        <f>IFERROR(__xludf.DUMMYFUNCTION("""COMPUTED_VALUE"""),"  ")</f>
        <v/>
      </c>
      <c r="E551" s="1" t="str">
        <f>IFERROR(__xludf.DUMMYFUNCTION("""COMPUTED_VALUE"""),"Outro")</f>
        <v>Outro</v>
      </c>
      <c r="F551" s="1" t="str">
        <f>IFERROR(__xludf.DUMMYFUNCTION("""COMPUTED_VALUE"""),"ALEX")</f>
        <v>ALEX</v>
      </c>
      <c r="G551" s="1" t="str">
        <f>IFERROR(__xludf.DUMMYFUNCTION("""COMPUTED_VALUE"""),"Cliente alega ter encontrado uma pedra no risoto. Tiramos uma foto para sinalizar o fornecedor.")</f>
        <v>Cliente alega ter encontrado uma pedra no risoto. Tiramos uma foto para sinalizar o fornecedor.</v>
      </c>
      <c r="H551" s="1" t="str">
        <f>IFERROR(__xludf.DUMMYFUNCTION("""COMPUTED_VALUE"""),"12/2025")</f>
        <v>12/2025</v>
      </c>
    </row>
    <row r="552">
      <c r="A552" s="3">
        <f>IFERROR(__xludf.DUMMYFUNCTION("""COMPUTED_VALUE"""),46006.0)</f>
        <v>46006</v>
      </c>
      <c r="B552" s="1" t="str">
        <f>IFERROR(__xludf.DUMMYFUNCTION("""COMPUTED_VALUE"""),"tomate")</f>
        <v>tomate</v>
      </c>
      <c r="C552" s="1" t="str">
        <f>IFERROR(__xludf.DUMMYFUNCTION("""COMPUTED_VALUE"""),"0,03g")</f>
        <v>0,03g</v>
      </c>
      <c r="D552" s="4" t="str">
        <f>IFERROR(__xludf.DUMMYFUNCTION("""COMPUTED_VALUE"""),"  ")</f>
        <v/>
      </c>
      <c r="E552" s="1" t="str">
        <f>IFERROR(__xludf.DUMMYFUNCTION("""COMPUTED_VALUE"""),"Venceu (Validade)")</f>
        <v>Venceu (Validade)</v>
      </c>
      <c r="F552" s="1" t="str">
        <f>IFERROR(__xludf.DUMMYFUNCTION("""COMPUTED_VALUE"""),"COZINHA")</f>
        <v>COZINHA</v>
      </c>
      <c r="G552" s="1" t="str">
        <f>IFERROR(__xludf.DUMMYFUNCTION("""COMPUTED_VALUE"""),"estragou")</f>
        <v>estragou</v>
      </c>
      <c r="H552" s="1" t="str">
        <f>IFERROR(__xludf.DUMMYFUNCTION("""COMPUTED_VALUE"""),"12/2025")</f>
        <v>12/2025</v>
      </c>
    </row>
    <row r="553">
      <c r="A553" s="3">
        <f>IFERROR(__xludf.DUMMYFUNCTION("""COMPUTED_VALUE"""),46006.0)</f>
        <v>46006</v>
      </c>
      <c r="B553" s="1" t="str">
        <f>IFERROR(__xludf.DUMMYFUNCTION("""COMPUTED_VALUE"""),"rucula")</f>
        <v>rucula</v>
      </c>
      <c r="C553" s="1" t="str">
        <f>IFERROR(__xludf.DUMMYFUNCTION("""COMPUTED_VALUE"""),"0,217g")</f>
        <v>0,217g</v>
      </c>
      <c r="D553" s="4" t="str">
        <f>IFERROR(__xludf.DUMMYFUNCTION("""COMPUTED_VALUE"""),"  ")</f>
        <v/>
      </c>
      <c r="E553" s="1" t="str">
        <f>IFERROR(__xludf.DUMMYFUNCTION("""COMPUTED_VALUE"""),"Venceu (Validade)")</f>
        <v>Venceu (Validade)</v>
      </c>
      <c r="F553" s="1" t="str">
        <f>IFERROR(__xludf.DUMMYFUNCTION("""COMPUTED_VALUE"""),"COZINHA")</f>
        <v>COZINHA</v>
      </c>
      <c r="G553" s="1" t="str">
        <f>IFERROR(__xludf.DUMMYFUNCTION("""COMPUTED_VALUE"""),"amarelou")</f>
        <v>amarelou</v>
      </c>
      <c r="H553" s="1" t="str">
        <f>IFERROR(__xludf.DUMMYFUNCTION("""COMPUTED_VALUE"""),"12/2025")</f>
        <v>12/2025</v>
      </c>
    </row>
    <row r="554">
      <c r="A554" s="3">
        <f>IFERROR(__xludf.DUMMYFUNCTION("""COMPUTED_VALUE"""),46006.0)</f>
        <v>46006</v>
      </c>
      <c r="B554" s="1" t="str">
        <f>IFERROR(__xludf.DUMMYFUNCTION("""COMPUTED_VALUE"""),"manjericao")</f>
        <v>manjericao</v>
      </c>
      <c r="C554" s="1">
        <f>IFERROR(__xludf.DUMMYFUNCTION("""COMPUTED_VALUE"""),0.041)</f>
        <v>0.041</v>
      </c>
      <c r="D554" s="4">
        <f>IFERROR(__xludf.DUMMYFUNCTION("""COMPUTED_VALUE"""),1.6318)</f>
        <v>1.6318</v>
      </c>
      <c r="E554" s="1" t="str">
        <f>IFERROR(__xludf.DUMMYFUNCTION("""COMPUTED_VALUE"""),"Venceu (Validade)")</f>
        <v>Venceu (Validade)</v>
      </c>
      <c r="F554" s="1" t="str">
        <f>IFERROR(__xludf.DUMMYFUNCTION("""COMPUTED_VALUE"""),"COZINHA")</f>
        <v>COZINHA</v>
      </c>
      <c r="G554" s="1" t="str">
        <f>IFERROR(__xludf.DUMMYFUNCTION("""COMPUTED_VALUE"""),"murchou")</f>
        <v>murchou</v>
      </c>
      <c r="H554" s="1" t="str">
        <f>IFERROR(__xludf.DUMMYFUNCTION("""COMPUTED_VALUE"""),"12/2025")</f>
        <v>12/2025</v>
      </c>
    </row>
    <row r="555">
      <c r="A555" s="3">
        <f>IFERROR(__xludf.DUMMYFUNCTION("""COMPUTED_VALUE"""),46007.0)</f>
        <v>46007</v>
      </c>
      <c r="B555" s="1" t="str">
        <f>IFERROR(__xludf.DUMMYFUNCTION("""COMPUTED_VALUE"""),"MATCHA GELADO")</f>
        <v>MATCHA GELADO</v>
      </c>
      <c r="C555" s="1">
        <f>IFERROR(__xludf.DUMMYFUNCTION("""COMPUTED_VALUE"""),1.0)</f>
        <v>1</v>
      </c>
      <c r="D555" s="4">
        <f>IFERROR(__xludf.DUMMYFUNCTION("""COMPUTED_VALUE"""),5.71)</f>
        <v>5.71</v>
      </c>
      <c r="E555" s="1" t="str">
        <f>IFERROR(__xludf.DUMMYFUNCTION("""COMPUTED_VALUE"""),"Cliente")</f>
        <v>Cliente</v>
      </c>
      <c r="F555" s="1" t="str">
        <f>IFERROR(__xludf.DUMMYFUNCTION("""COMPUTED_VALUE"""),"FABIO")</f>
        <v>FABIO</v>
      </c>
      <c r="G555" s="1" t="str">
        <f>IFERROR(__xludf.DUMMYFUNCTION("""COMPUTED_VALUE"""),"cliente nao quis mais")</f>
        <v>cliente nao quis mais</v>
      </c>
      <c r="H555" s="1" t="str">
        <f>IFERROR(__xludf.DUMMYFUNCTION("""COMPUTED_VALUE"""),"12/2025")</f>
        <v>12/2025</v>
      </c>
    </row>
    <row r="556">
      <c r="A556" s="3">
        <f>IFERROR(__xludf.DUMMYFUNCTION("""COMPUTED_VALUE"""),46008.0)</f>
        <v>46008</v>
      </c>
      <c r="B556" s="1" t="str">
        <f>IFERROR(__xludf.DUMMYFUNCTION("""COMPUTED_VALUE"""),"Manjericão")</f>
        <v>Manjericão</v>
      </c>
      <c r="C556" s="1" t="str">
        <f>IFERROR(__xludf.DUMMYFUNCTION("""COMPUTED_VALUE"""),"200gr")</f>
        <v>200gr</v>
      </c>
      <c r="D556" s="4" t="str">
        <f>IFERROR(__xludf.DUMMYFUNCTION("""COMPUTED_VALUE"""),"  ")</f>
        <v/>
      </c>
      <c r="E556" s="1" t="str">
        <f>IFERROR(__xludf.DUMMYFUNCTION("""COMPUTED_VALUE"""),"Venceu (Validade)")</f>
        <v>Venceu (Validade)</v>
      </c>
      <c r="F556" s="1" t="str">
        <f>IFERROR(__xludf.DUMMYFUNCTION("""COMPUTED_VALUE"""),"JESIANA")</f>
        <v>JESIANA</v>
      </c>
      <c r="G556" s="1" t="str">
        <f>IFERROR(__xludf.DUMMYFUNCTION("""COMPUTED_VALUE"""),"Murchou")</f>
        <v>Murchou</v>
      </c>
      <c r="H556" s="1" t="str">
        <f>IFERROR(__xludf.DUMMYFUNCTION("""COMPUTED_VALUE"""),"12/2025")</f>
        <v>12/2025</v>
      </c>
    </row>
    <row r="557">
      <c r="A557" s="3">
        <f>IFERROR(__xludf.DUMMYFUNCTION("""COMPUTED_VALUE"""),46010.0)</f>
        <v>46010</v>
      </c>
      <c r="B557" s="1" t="str">
        <f>IFERROR(__xludf.DUMMYFUNCTION("""COMPUTED_VALUE"""),"Pão de batata")</f>
        <v>Pão de batata</v>
      </c>
      <c r="C557" s="1">
        <f>IFERROR(__xludf.DUMMYFUNCTION("""COMPUTED_VALUE"""),1.0)</f>
        <v>1</v>
      </c>
      <c r="D557" s="4" t="str">
        <f>IFERROR(__xludf.DUMMYFUNCTION("""COMPUTED_VALUE"""),"  ")</f>
        <v/>
      </c>
      <c r="E557" s="1" t="str">
        <f>IFERROR(__xludf.DUMMYFUNCTION("""COMPUTED_VALUE"""),"Outro")</f>
        <v>Outro</v>
      </c>
      <c r="F557" s="1" t="str">
        <f>IFERROR(__xludf.DUMMYFUNCTION("""COMPUTED_VALUE"""),"ALEX")</f>
        <v>ALEX</v>
      </c>
      <c r="G557" s="1" t="str">
        <f>IFERROR(__xludf.DUMMYFUNCTION("""COMPUTED_VALUE"""),"Separado para prova a pedido do Renan ")</f>
        <v>Separado para prova a pedido do Renan </v>
      </c>
      <c r="H557" s="1" t="str">
        <f>IFERROR(__xludf.DUMMYFUNCTION("""COMPUTED_VALUE"""),"12/2025")</f>
        <v>12/2025</v>
      </c>
    </row>
    <row r="558">
      <c r="A558" s="3">
        <f>IFERROR(__xludf.DUMMYFUNCTION("""COMPUTED_VALUE"""),46010.0)</f>
        <v>46010</v>
      </c>
      <c r="B558" s="1" t="str">
        <f>IFERROR(__xludf.DUMMYFUNCTION("""COMPUTED_VALUE"""),"Brigadeiro premium")</f>
        <v>Brigadeiro premium</v>
      </c>
      <c r="C558" s="1">
        <f>IFERROR(__xludf.DUMMYFUNCTION("""COMPUTED_VALUE"""),2.0)</f>
        <v>2</v>
      </c>
      <c r="D558" s="4" t="str">
        <f>IFERROR(__xludf.DUMMYFUNCTION("""COMPUTED_VALUE"""),"  ")</f>
        <v/>
      </c>
      <c r="E558" s="1" t="str">
        <f>IFERROR(__xludf.DUMMYFUNCTION("""COMPUTED_VALUE"""),"Venceu (Validade)")</f>
        <v>Venceu (Validade)</v>
      </c>
      <c r="F558" s="1" t="str">
        <f>IFERROR(__xludf.DUMMYFUNCTION("""COMPUTED_VALUE"""),"ALEX")</f>
        <v>ALEX</v>
      </c>
      <c r="G558" s="1" t="str">
        <f>IFERROR(__xludf.DUMMYFUNCTION("""COMPUTED_VALUE"""),"Vencido. ")</f>
        <v>Vencido. </v>
      </c>
      <c r="H558" s="1" t="str">
        <f>IFERROR(__xludf.DUMMYFUNCTION("""COMPUTED_VALUE"""),"12/2025")</f>
        <v>12/2025</v>
      </c>
    </row>
    <row r="559">
      <c r="A559" s="3">
        <f>IFERROR(__xludf.DUMMYFUNCTION("""COMPUTED_VALUE"""),46011.0)</f>
        <v>46011</v>
      </c>
      <c r="B559" s="1" t="str">
        <f>IFERROR(__xludf.DUMMYFUNCTION("""COMPUTED_VALUE"""),"Palha italiana")</f>
        <v>Palha italiana</v>
      </c>
      <c r="C559" s="1">
        <f>IFERROR(__xludf.DUMMYFUNCTION("""COMPUTED_VALUE"""),2.0)</f>
        <v>2</v>
      </c>
      <c r="D559" s="4">
        <f>IFERROR(__xludf.DUMMYFUNCTION("""COMPUTED_VALUE"""),20.7)</f>
        <v>20.7</v>
      </c>
      <c r="E559" s="1" t="str">
        <f>IFERROR(__xludf.DUMMYFUNCTION("""COMPUTED_VALUE"""),"Outro")</f>
        <v>Outro</v>
      </c>
      <c r="F559" s="1" t="str">
        <f>IFERROR(__xludf.DUMMYFUNCTION("""COMPUTED_VALUE"""),"ALEX")</f>
        <v>ALEX</v>
      </c>
      <c r="G559" s="1" t="str">
        <f>IFERROR(__xludf.DUMMYFUNCTION("""COMPUTED_VALUE"""),"Prova - Autorizado Brunna")</f>
        <v>Prova - Autorizado Brunna</v>
      </c>
      <c r="H559" s="1" t="str">
        <f>IFERROR(__xludf.DUMMYFUNCTION("""COMPUTED_VALUE"""),"12/2025")</f>
        <v>12/2025</v>
      </c>
    </row>
    <row r="560">
      <c r="A560" s="3">
        <f>IFERROR(__xludf.DUMMYFUNCTION("""COMPUTED_VALUE"""),46011.0)</f>
        <v>46011</v>
      </c>
      <c r="B560" s="1" t="str">
        <f>IFERROR(__xludf.DUMMYFUNCTION("""COMPUTED_VALUE"""),"CAPPUCCINO ITALIANO")</f>
        <v>CAPPUCCINO ITALIANO</v>
      </c>
      <c r="C560" s="1">
        <f>IFERROR(__xludf.DUMMYFUNCTION("""COMPUTED_VALUE"""),1.0)</f>
        <v>1</v>
      </c>
      <c r="D560" s="4">
        <f>IFERROR(__xludf.DUMMYFUNCTION("""COMPUTED_VALUE"""),2.71)</f>
        <v>2.71</v>
      </c>
      <c r="E560" s="1" t="str">
        <f>IFERROR(__xludf.DUMMYFUNCTION("""COMPUTED_VALUE"""),"Erro de processo")</f>
        <v>Erro de processo</v>
      </c>
      <c r="F560" s="1" t="str">
        <f>IFERROR(__xludf.DUMMYFUNCTION("""COMPUTED_VALUE"""),"JESSYCA")</f>
        <v>JESSYCA</v>
      </c>
      <c r="G560" s="1" t="str">
        <f>IFERROR(__xludf.DUMMYFUNCTION("""COMPUTED_VALUE"""),"FEZ ERRADO")</f>
        <v>FEZ ERRADO</v>
      </c>
      <c r="H560" s="1" t="str">
        <f>IFERROR(__xludf.DUMMYFUNCTION("""COMPUTED_VALUE"""),"12/2025")</f>
        <v>12/2025</v>
      </c>
    </row>
    <row r="561">
      <c r="A561" s="3">
        <f>IFERROR(__xludf.DUMMYFUNCTION("""COMPUTED_VALUE"""),46011.0)</f>
        <v>46011</v>
      </c>
      <c r="B561" s="1" t="str">
        <f>IFERROR(__xludf.DUMMYFUNCTION("""COMPUTED_VALUE"""),"COXINHA")</f>
        <v>COXINHA</v>
      </c>
      <c r="C561" s="1">
        <f>IFERROR(__xludf.DUMMYFUNCTION("""COMPUTED_VALUE"""),1.0)</f>
        <v>1</v>
      </c>
      <c r="D561" s="4">
        <f>IFERROR(__xludf.DUMMYFUNCTION("""COMPUTED_VALUE"""),4.0)</f>
        <v>4</v>
      </c>
      <c r="E561" s="1" t="str">
        <f>IFERROR(__xludf.DUMMYFUNCTION("""COMPUTED_VALUE"""),"Outro")</f>
        <v>Outro</v>
      </c>
      <c r="F561" s="1" t="str">
        <f>IFERROR(__xludf.DUMMYFUNCTION("""COMPUTED_VALUE"""),"COZINHA")</f>
        <v>COZINHA</v>
      </c>
      <c r="G561" s="1" t="str">
        <f>IFERROR(__xludf.DUMMYFUNCTION("""COMPUTED_VALUE"""),"SE ABRIU")</f>
        <v>SE ABRIU</v>
      </c>
      <c r="H561" s="1" t="str">
        <f>IFERROR(__xludf.DUMMYFUNCTION("""COMPUTED_VALUE"""),"12/2025")</f>
        <v>12/2025</v>
      </c>
    </row>
    <row r="562">
      <c r="A562" s="3">
        <f>IFERROR(__xludf.DUMMYFUNCTION("""COMPUTED_VALUE"""),46011.0)</f>
        <v>46011</v>
      </c>
      <c r="B562" s="1" t="str">
        <f>IFERROR(__xludf.DUMMYFUNCTION("""COMPUTED_VALUE"""),"BOLO TAPIOCA")</f>
        <v>BOLO TAPIOCA</v>
      </c>
      <c r="C562" s="1">
        <f>IFERROR(__xludf.DUMMYFUNCTION("""COMPUTED_VALUE"""),1.0)</f>
        <v>1</v>
      </c>
      <c r="D562" s="4">
        <f>IFERROR(__xludf.DUMMYFUNCTION("""COMPUTED_VALUE"""),10.35)</f>
        <v>10.35</v>
      </c>
      <c r="E562" s="1" t="str">
        <f>IFERROR(__xludf.DUMMYFUNCTION("""COMPUTED_VALUE"""),"Erro de processo")</f>
        <v>Erro de processo</v>
      </c>
      <c r="F562" s="1" t="str">
        <f>IFERROR(__xludf.DUMMYFUNCTION("""COMPUTED_VALUE"""),"NAIANE")</f>
        <v>NAIANE</v>
      </c>
      <c r="G562" s="1" t="str">
        <f>IFERROR(__xludf.DUMMYFUNCTION("""COMPUTED_VALUE"""),"FATIA PEQUENA")</f>
        <v>FATIA PEQUENA</v>
      </c>
      <c r="H562" s="1" t="str">
        <f>IFERROR(__xludf.DUMMYFUNCTION("""COMPUTED_VALUE"""),"12/2025")</f>
        <v>12/2025</v>
      </c>
    </row>
    <row r="563">
      <c r="A563" s="3">
        <f>IFERROR(__xludf.DUMMYFUNCTION("""COMPUTED_VALUE"""),46012.0)</f>
        <v>46012</v>
      </c>
      <c r="B563" s="1" t="str">
        <f>IFERROR(__xludf.DUMMYFUNCTION("""COMPUTED_VALUE"""),"COPO GRANDE")</f>
        <v>COPO GRANDE</v>
      </c>
      <c r="C563" s="1">
        <f>IFERROR(__xludf.DUMMYFUNCTION("""COMPUTED_VALUE"""),1.0)</f>
        <v>1</v>
      </c>
      <c r="D563" s="4">
        <f>IFERROR(__xludf.DUMMYFUNCTION("""COMPUTED_VALUE"""),3.0)</f>
        <v>3</v>
      </c>
      <c r="E563" s="1" t="str">
        <f>IFERROR(__xludf.DUMMYFUNCTION("""COMPUTED_VALUE"""),"Quebra")</f>
        <v>Quebra</v>
      </c>
      <c r="F563" s="1" t="str">
        <f>IFERROR(__xludf.DUMMYFUNCTION("""COMPUTED_VALUE"""),"GABRIELA")</f>
        <v>GABRIELA</v>
      </c>
      <c r="G563" s="1" t="str">
        <f>IFERROR(__xludf.DUMMYFUNCTION("""COMPUTED_VALUE"""),"deixou cair na louça")</f>
        <v>deixou cair na louça</v>
      </c>
      <c r="H563" s="1" t="str">
        <f>IFERROR(__xludf.DUMMYFUNCTION("""COMPUTED_VALUE"""),"12/2025")</f>
        <v>12/2025</v>
      </c>
    </row>
    <row r="564">
      <c r="A564" s="3">
        <f>IFERROR(__xludf.DUMMYFUNCTION("""COMPUTED_VALUE"""),46012.0)</f>
        <v>46012</v>
      </c>
      <c r="B564" s="1" t="str">
        <f>IFERROR(__xludf.DUMMYFUNCTION("""COMPUTED_VALUE"""),"rucula")</f>
        <v>rucula</v>
      </c>
      <c r="C564" s="1">
        <f>IFERROR(__xludf.DUMMYFUNCTION("""COMPUTED_VALUE"""),0.014)</f>
        <v>0.014</v>
      </c>
      <c r="D564" s="4">
        <f>IFERROR(__xludf.DUMMYFUNCTION("""COMPUTED_VALUE"""),0.04746)</f>
        <v>0.04746</v>
      </c>
      <c r="E564" s="1" t="str">
        <f>IFERROR(__xludf.DUMMYFUNCTION("""COMPUTED_VALUE"""),"Venceu (Validade)")</f>
        <v>Venceu (Validade)</v>
      </c>
      <c r="F564" s="1" t="str">
        <f>IFERROR(__xludf.DUMMYFUNCTION("""COMPUTED_VALUE"""),"COZINHA")</f>
        <v>COZINHA</v>
      </c>
      <c r="G564" s="1" t="str">
        <f>IFERROR(__xludf.DUMMYFUNCTION("""COMPUTED_VALUE"""),"amarelou")</f>
        <v>amarelou</v>
      </c>
      <c r="H564" s="1" t="str">
        <f>IFERROR(__xludf.DUMMYFUNCTION("""COMPUTED_VALUE"""),"12/2025")</f>
        <v>12/2025</v>
      </c>
    </row>
    <row r="565">
      <c r="A565" s="3">
        <f>IFERROR(__xludf.DUMMYFUNCTION("""COMPUTED_VALUE"""),46012.0)</f>
        <v>46012</v>
      </c>
      <c r="B565" s="1" t="str">
        <f>IFERROR(__xludf.DUMMYFUNCTION("""COMPUTED_VALUE"""),"OVO")</f>
        <v>OVO</v>
      </c>
      <c r="C565" s="1">
        <f>IFERROR(__xludf.DUMMYFUNCTION("""COMPUTED_VALUE"""),1.0)</f>
        <v>1</v>
      </c>
      <c r="D565" s="4">
        <f>IFERROR(__xludf.DUMMYFUNCTION("""COMPUTED_VALUE"""),0.71)</f>
        <v>0.71</v>
      </c>
      <c r="E565" s="1" t="str">
        <f>IFERROR(__xludf.DUMMYFUNCTION("""COMPUTED_VALUE"""),"Venceu (Validade)")</f>
        <v>Venceu (Validade)</v>
      </c>
      <c r="F565" s="1" t="str">
        <f>IFERROR(__xludf.DUMMYFUNCTION("""COMPUTED_VALUE"""),"COZINHA")</f>
        <v>COZINHA</v>
      </c>
      <c r="G565" s="1" t="str">
        <f>IFERROR(__xludf.DUMMYFUNCTION("""COMPUTED_VALUE"""),"PODRE")</f>
        <v>PODRE</v>
      </c>
      <c r="H565" s="1" t="str">
        <f>IFERROR(__xludf.DUMMYFUNCTION("""COMPUTED_VALUE"""),"12/2025")</f>
        <v>12/2025</v>
      </c>
    </row>
    <row r="566">
      <c r="A566" s="3">
        <f>IFERROR(__xludf.DUMMYFUNCTION("""COMPUTED_VALUE"""),46013.0)</f>
        <v>46013</v>
      </c>
      <c r="B566" s="1" t="str">
        <f>IFERROR(__xludf.DUMMYFUNCTION("""COMPUTED_VALUE"""),"Copo grande")</f>
        <v>Copo grande</v>
      </c>
      <c r="C566" s="1">
        <f>IFERROR(__xludf.DUMMYFUNCTION("""COMPUTED_VALUE"""),1.0)</f>
        <v>1</v>
      </c>
      <c r="D566" s="4">
        <f>IFERROR(__xludf.DUMMYFUNCTION("""COMPUTED_VALUE"""),3.0)</f>
        <v>3</v>
      </c>
      <c r="E566" s="1" t="str">
        <f>IFERROR(__xludf.DUMMYFUNCTION("""COMPUTED_VALUE"""),"Quebra")</f>
        <v>Quebra</v>
      </c>
      <c r="F566" s="1" t="str">
        <f>IFERROR(__xludf.DUMMYFUNCTION("""COMPUTED_VALUE"""),"ALEX")</f>
        <v>ALEX</v>
      </c>
      <c r="G566" s="1" t="str">
        <f>IFERROR(__xludf.DUMMYFUNCTION("""COMPUTED_VALUE"""),"Cliente quebrou na mesa")</f>
        <v>Cliente quebrou na mesa</v>
      </c>
      <c r="H566" s="1" t="str">
        <f>IFERROR(__xludf.DUMMYFUNCTION("""COMPUTED_VALUE"""),"12/2025")</f>
        <v>12/2025</v>
      </c>
    </row>
    <row r="567">
      <c r="A567" s="3">
        <f>IFERROR(__xludf.DUMMYFUNCTION("""COMPUTED_VALUE"""),46014.0)</f>
        <v>46014</v>
      </c>
      <c r="B567" s="1" t="str">
        <f>IFERROR(__xludf.DUMMYFUNCTION("""COMPUTED_VALUE"""),"Alface")</f>
        <v>Alface</v>
      </c>
      <c r="C567" s="1">
        <f>IFERROR(__xludf.DUMMYFUNCTION("""COMPUTED_VALUE"""),0.109)</f>
        <v>0.109</v>
      </c>
      <c r="D567" s="4">
        <f>IFERROR(__xludf.DUMMYFUNCTION("""COMPUTED_VALUE"""),0.76082)</f>
        <v>0.76082</v>
      </c>
      <c r="E567" s="1" t="str">
        <f>IFERROR(__xludf.DUMMYFUNCTION("""COMPUTED_VALUE"""),"Venceu (Validade)")</f>
        <v>Venceu (Validade)</v>
      </c>
      <c r="F567" s="1" t="str">
        <f>IFERROR(__xludf.DUMMYFUNCTION("""COMPUTED_VALUE"""),"JESIANA")</f>
        <v>JESIANA</v>
      </c>
      <c r="G567" s="1" t="str">
        <f>IFERROR(__xludf.DUMMYFUNCTION("""COMPUTED_VALUE"""),"Folhas amareladas")</f>
        <v>Folhas amareladas</v>
      </c>
      <c r="H567" s="1" t="str">
        <f>IFERROR(__xludf.DUMMYFUNCTION("""COMPUTED_VALUE"""),"12/2025")</f>
        <v>12/2025</v>
      </c>
    </row>
    <row r="568">
      <c r="A568" s="3">
        <f>IFERROR(__xludf.DUMMYFUNCTION("""COMPUTED_VALUE"""),46014.0)</f>
        <v>46014</v>
      </c>
      <c r="B568" s="1" t="str">
        <f>IFERROR(__xludf.DUMMYFUNCTION("""COMPUTED_VALUE"""),"Pão ciabata")</f>
        <v>Pão ciabata</v>
      </c>
      <c r="C568" s="1">
        <f>IFERROR(__xludf.DUMMYFUNCTION("""COMPUTED_VALUE"""),1.0)</f>
        <v>1</v>
      </c>
      <c r="D568" s="4">
        <f>IFERROR(__xludf.DUMMYFUNCTION("""COMPUTED_VALUE"""),5.0)</f>
        <v>5</v>
      </c>
      <c r="E568" s="1" t="str">
        <f>IFERROR(__xludf.DUMMYFUNCTION("""COMPUTED_VALUE"""),"Erro de processo")</f>
        <v>Erro de processo</v>
      </c>
      <c r="F568" s="1" t="str">
        <f>IFERROR(__xludf.DUMMYFUNCTION("""COMPUTED_VALUE"""),"JESIANA")</f>
        <v>JESIANA</v>
      </c>
      <c r="G568" s="1" t="str">
        <f>IFERROR(__xludf.DUMMYFUNCTION("""COMPUTED_VALUE"""),"Cortado errado (fatia fina)")</f>
        <v>Cortado errado (fatia fina)</v>
      </c>
      <c r="H568" s="1" t="str">
        <f>IFERROR(__xludf.DUMMYFUNCTION("""COMPUTED_VALUE"""),"12/2025")</f>
        <v>12/2025</v>
      </c>
    </row>
    <row r="569">
      <c r="A569" s="3">
        <f>IFERROR(__xludf.DUMMYFUNCTION("""COMPUTED_VALUE"""),46014.0)</f>
        <v>46014</v>
      </c>
      <c r="B569" s="1" t="str">
        <f>IFERROR(__xludf.DUMMYFUNCTION("""COMPUTED_VALUE"""),"Bolo Maça")</f>
        <v>Bolo Maça</v>
      </c>
      <c r="C569" s="1">
        <f>IFERROR(__xludf.DUMMYFUNCTION("""COMPUTED_VALUE"""),1.0)</f>
        <v>1</v>
      </c>
      <c r="D569" s="4" t="str">
        <f>IFERROR(__xludf.DUMMYFUNCTION("""COMPUTED_VALUE"""),"  ")</f>
        <v/>
      </c>
      <c r="E569" s="1" t="str">
        <f>IFERROR(__xludf.DUMMYFUNCTION("""COMPUTED_VALUE"""),"Erro de processo")</f>
        <v>Erro de processo</v>
      </c>
      <c r="F569" s="1" t="str">
        <f>IFERROR(__xludf.DUMMYFUNCTION("""COMPUTED_VALUE"""),"JESIANA")</f>
        <v>JESIANA</v>
      </c>
      <c r="G569" s="1" t="str">
        <f>IFERROR(__xludf.DUMMYFUNCTION("""COMPUTED_VALUE"""),"Última fatia pequena")</f>
        <v>Última fatia pequena</v>
      </c>
      <c r="H569" s="1" t="str">
        <f>IFERROR(__xludf.DUMMYFUNCTION("""COMPUTED_VALUE"""),"12/2025")</f>
        <v>12/2025</v>
      </c>
    </row>
    <row r="570">
      <c r="A570" s="3">
        <f>IFERROR(__xludf.DUMMYFUNCTION("""COMPUTED_VALUE"""),46014.0)</f>
        <v>46014</v>
      </c>
      <c r="B570" s="1" t="str">
        <f>IFERROR(__xludf.DUMMYFUNCTION("""COMPUTED_VALUE"""),"Queijo Minas")</f>
        <v>Queijo Minas</v>
      </c>
      <c r="C570" s="1">
        <f>IFERROR(__xludf.DUMMYFUNCTION("""COMPUTED_VALUE"""),0.021)</f>
        <v>0.021</v>
      </c>
      <c r="D570" s="4">
        <f>IFERROR(__xludf.DUMMYFUNCTION("""COMPUTED_VALUE"""),1.2159)</f>
        <v>1.2159</v>
      </c>
      <c r="E570" s="1" t="str">
        <f>IFERROR(__xludf.DUMMYFUNCTION("""COMPUTED_VALUE"""),"Venceu (Validade)")</f>
        <v>Venceu (Validade)</v>
      </c>
      <c r="F570" s="1" t="str">
        <f>IFERROR(__xludf.DUMMYFUNCTION("""COMPUTED_VALUE"""),"JESIANA")</f>
        <v>JESIANA</v>
      </c>
      <c r="G570" s="1" t="str">
        <f>IFERROR(__xludf.DUMMYFUNCTION("""COMPUTED_VALUE"""),"Vencido")</f>
        <v>Vencido</v>
      </c>
      <c r="H570" s="1" t="str">
        <f>IFERROR(__xludf.DUMMYFUNCTION("""COMPUTED_VALUE"""),"12/2025")</f>
        <v>12/2025</v>
      </c>
    </row>
    <row r="571">
      <c r="A571" s="3">
        <f>IFERROR(__xludf.DUMMYFUNCTION("""COMPUTED_VALUE"""),46016.0)</f>
        <v>46016</v>
      </c>
      <c r="B571" s="1" t="str">
        <f>IFERROR(__xludf.DUMMYFUNCTION("""COMPUTED_VALUE"""),"ovo")</f>
        <v>ovo</v>
      </c>
      <c r="C571" s="1">
        <f>IFERROR(__xludf.DUMMYFUNCTION("""COMPUTED_VALUE"""),1.0)</f>
        <v>1</v>
      </c>
      <c r="D571" s="4">
        <f>IFERROR(__xludf.DUMMYFUNCTION("""COMPUTED_VALUE"""),0.71)</f>
        <v>0.71</v>
      </c>
      <c r="E571" s="1" t="str">
        <f>IFERROR(__xludf.DUMMYFUNCTION("""COMPUTED_VALUE"""),"Venceu (Validade)")</f>
        <v>Venceu (Validade)</v>
      </c>
      <c r="F571" s="1" t="str">
        <f>IFERROR(__xludf.DUMMYFUNCTION("""COMPUTED_VALUE"""),"COZINHA")</f>
        <v>COZINHA</v>
      </c>
      <c r="G571" s="1" t="str">
        <f>IFERROR(__xludf.DUMMYFUNCTION("""COMPUTED_VALUE"""),"podre")</f>
        <v>podre</v>
      </c>
      <c r="H571" s="1" t="str">
        <f>IFERROR(__xludf.DUMMYFUNCTION("""COMPUTED_VALUE"""),"12/2025")</f>
        <v>12/2025</v>
      </c>
    </row>
    <row r="572">
      <c r="A572" s="3">
        <f>IFERROR(__xludf.DUMMYFUNCTION("""COMPUTED_VALUE"""),46017.0)</f>
        <v>46017</v>
      </c>
      <c r="B572" s="1" t="str">
        <f>IFERROR(__xludf.DUMMYFUNCTION("""COMPUTED_VALUE"""),"Empada palmito")</f>
        <v>Empada palmito</v>
      </c>
      <c r="C572" s="1">
        <f>IFERROR(__xludf.DUMMYFUNCTION("""COMPUTED_VALUE"""),2.0)</f>
        <v>2</v>
      </c>
      <c r="D572" s="4">
        <f>IFERROR(__xludf.DUMMYFUNCTION("""COMPUTED_VALUE"""),8.0)</f>
        <v>8</v>
      </c>
      <c r="E572" s="1" t="str">
        <f>IFERROR(__xludf.DUMMYFUNCTION("""COMPUTED_VALUE"""),"Venceu (Validade)")</f>
        <v>Venceu (Validade)</v>
      </c>
      <c r="F572" s="1" t="str">
        <f>IFERROR(__xludf.DUMMYFUNCTION("""COMPUTED_VALUE"""),"NAIANE")</f>
        <v>NAIANE</v>
      </c>
      <c r="G572" s="1" t="str">
        <f>IFERROR(__xludf.DUMMYFUNCTION("""COMPUTED_VALUE"""),"Vencido (tempo de vitrine)")</f>
        <v>Vencido (tempo de vitrine)</v>
      </c>
      <c r="H572" s="1" t="str">
        <f>IFERROR(__xludf.DUMMYFUNCTION("""COMPUTED_VALUE"""),"12/2025")</f>
        <v>12/2025</v>
      </c>
    </row>
    <row r="573">
      <c r="A573" s="3">
        <f>IFERROR(__xludf.DUMMYFUNCTION("""COMPUTED_VALUE"""),46017.0)</f>
        <v>46017</v>
      </c>
      <c r="B573" s="1" t="str">
        <f>IFERROR(__xludf.DUMMYFUNCTION("""COMPUTED_VALUE"""),"Brownie")</f>
        <v>Brownie</v>
      </c>
      <c r="C573" s="1">
        <f>IFERROR(__xludf.DUMMYFUNCTION("""COMPUTED_VALUE"""),1.0)</f>
        <v>1</v>
      </c>
      <c r="D573" s="4" t="str">
        <f>IFERROR(__xludf.DUMMYFUNCTION("""COMPUTED_VALUE"""),"  ")</f>
        <v/>
      </c>
      <c r="E573" s="1" t="str">
        <f>IFERROR(__xludf.DUMMYFUNCTION("""COMPUTED_VALUE"""),"Venceu (Validade)")</f>
        <v>Venceu (Validade)</v>
      </c>
      <c r="F573" s="1" t="str">
        <f>IFERROR(__xludf.DUMMYFUNCTION("""COMPUTED_VALUE"""),"NAIANE")</f>
        <v>NAIANE</v>
      </c>
      <c r="G573" s="1" t="str">
        <f>IFERROR(__xludf.DUMMYFUNCTION("""COMPUTED_VALUE"""),"Vencido (tempo de vitrine)")</f>
        <v>Vencido (tempo de vitrine)</v>
      </c>
      <c r="H573" s="1" t="str">
        <f>IFERROR(__xludf.DUMMYFUNCTION("""COMPUTED_VALUE"""),"12/2025")</f>
        <v>12/2025</v>
      </c>
    </row>
    <row r="574">
      <c r="A574" s="3">
        <f>IFERROR(__xludf.DUMMYFUNCTION("""COMPUTED_VALUE"""),46018.0)</f>
        <v>46018</v>
      </c>
      <c r="B574" s="1" t="str">
        <f>IFERROR(__xludf.DUMMYFUNCTION("""COMPUTED_VALUE"""),"shot")</f>
        <v>shot</v>
      </c>
      <c r="C574" s="1">
        <f>IFERROR(__xludf.DUMMYFUNCTION("""COMPUTED_VALUE"""),1.0)</f>
        <v>1</v>
      </c>
      <c r="D574" s="4" t="str">
        <f>IFERROR(__xludf.DUMMYFUNCTION("""COMPUTED_VALUE"""),"  ")</f>
        <v/>
      </c>
      <c r="E574" s="1" t="str">
        <f>IFERROR(__xludf.DUMMYFUNCTION("""COMPUTED_VALUE"""),"Erro de processo")</f>
        <v>Erro de processo</v>
      </c>
      <c r="F574" s="1" t="str">
        <f>IFERROR(__xludf.DUMMYFUNCTION("""COMPUTED_VALUE"""),"FABIO")</f>
        <v>FABIO</v>
      </c>
      <c r="G574" s="1" t="str">
        <f>IFERROR(__xludf.DUMMYFUNCTION("""COMPUTED_VALUE"""),"escorregou da mao")</f>
        <v>escorregou da mao</v>
      </c>
      <c r="H574" s="1" t="str">
        <f>IFERROR(__xludf.DUMMYFUNCTION("""COMPUTED_VALUE"""),"12/2025")</f>
        <v>12/2025</v>
      </c>
    </row>
    <row r="575">
      <c r="A575" s="8">
        <f>IFERROR(__xludf.DUMMYFUNCTION("""COMPUTED_VALUE"""),46020.0)</f>
        <v>46020</v>
      </c>
      <c r="B575" s="1" t="str">
        <f>IFERROR(__xludf.DUMMYFUNCTION("""COMPUTED_VALUE"""),"porcao pao de queijo")</f>
        <v>porcao pao de queijo</v>
      </c>
      <c r="C575" s="1">
        <f>IFERROR(__xludf.DUMMYFUNCTION("""COMPUTED_VALUE"""),4.0)</f>
        <v>4</v>
      </c>
      <c r="D575" s="4" t="str">
        <f>IFERROR(__xludf.DUMMYFUNCTION("""COMPUTED_VALUE"""),"  ")</f>
        <v/>
      </c>
      <c r="E575" s="1" t="str">
        <f>IFERROR(__xludf.DUMMYFUNCTION("""COMPUTED_VALUE"""),"Venceu (Validade)")</f>
        <v>Venceu (Validade)</v>
      </c>
      <c r="F575" s="1" t="str">
        <f>IFERROR(__xludf.DUMMYFUNCTION("""COMPUTED_VALUE"""),"COZINHA")</f>
        <v>COZINHA</v>
      </c>
      <c r="G575" s="1" t="str">
        <f>IFERROR(__xludf.DUMMYFUNCTION("""COMPUTED_VALUE"""),"passado")</f>
        <v>passado</v>
      </c>
      <c r="H575" s="1" t="str">
        <f>IFERROR(__xludf.DUMMYFUNCTION("""COMPUTED_VALUE"""),"12/2025")</f>
        <v>12/2025</v>
      </c>
    </row>
    <row r="576">
      <c r="A576" s="3">
        <f>IFERROR(__xludf.DUMMYFUNCTION("""COMPUTED_VALUE"""),46020.0)</f>
        <v>46020</v>
      </c>
      <c r="B576" s="1" t="str">
        <f>IFERROR(__xludf.DUMMYFUNCTION("""COMPUTED_VALUE"""),"unidade pao de quejo")</f>
        <v>unidade pao de quejo</v>
      </c>
      <c r="C576" s="1">
        <f>IFERROR(__xludf.DUMMYFUNCTION("""COMPUTED_VALUE"""),2.0)</f>
        <v>2</v>
      </c>
      <c r="D576" s="4" t="str">
        <f>IFERROR(__xludf.DUMMYFUNCTION("""COMPUTED_VALUE"""),"  ")</f>
        <v/>
      </c>
      <c r="E576" s="1" t="str">
        <f>IFERROR(__xludf.DUMMYFUNCTION("""COMPUTED_VALUE"""),"Venceu (Validade)")</f>
        <v>Venceu (Validade)</v>
      </c>
      <c r="F576" s="1" t="str">
        <f>IFERROR(__xludf.DUMMYFUNCTION("""COMPUTED_VALUE"""),"COZINHA")</f>
        <v>COZINHA</v>
      </c>
      <c r="G576" s="1" t="str">
        <f>IFERROR(__xludf.DUMMYFUNCTION("""COMPUTED_VALUE"""),"passado")</f>
        <v>passado</v>
      </c>
      <c r="H576" s="1" t="str">
        <f>IFERROR(__xludf.DUMMYFUNCTION("""COMPUTED_VALUE"""),"12/2025")</f>
        <v>12/2025</v>
      </c>
    </row>
    <row r="577">
      <c r="A577" s="3">
        <f>IFERROR(__xludf.DUMMYFUNCTION("""COMPUTED_VALUE"""),46020.0)</f>
        <v>46020</v>
      </c>
      <c r="B577" s="1" t="str">
        <f>IFERROR(__xludf.DUMMYFUNCTION("""COMPUTED_VALUE"""),"ovo")</f>
        <v>ovo</v>
      </c>
      <c r="C577" s="1">
        <f>IFERROR(__xludf.DUMMYFUNCTION("""COMPUTED_VALUE"""),3.0)</f>
        <v>3</v>
      </c>
      <c r="D577" s="4">
        <f>IFERROR(__xludf.DUMMYFUNCTION("""COMPUTED_VALUE"""),2.13)</f>
        <v>2.13</v>
      </c>
      <c r="E577" s="1" t="str">
        <f>IFERROR(__xludf.DUMMYFUNCTION("""COMPUTED_VALUE"""),"Venceu (Validade)")</f>
        <v>Venceu (Validade)</v>
      </c>
      <c r="F577" s="1" t="str">
        <f>IFERROR(__xludf.DUMMYFUNCTION("""COMPUTED_VALUE"""),"COZINHA")</f>
        <v>COZINHA</v>
      </c>
      <c r="G577" s="1" t="str">
        <f>IFERROR(__xludf.DUMMYFUNCTION("""COMPUTED_VALUE"""),"podre")</f>
        <v>podre</v>
      </c>
      <c r="H577" s="1" t="str">
        <f>IFERROR(__xludf.DUMMYFUNCTION("""COMPUTED_VALUE"""),"12/2025")</f>
        <v>12/2025</v>
      </c>
    </row>
    <row r="578">
      <c r="A578" s="3">
        <f>IFERROR(__xludf.DUMMYFUNCTION("""COMPUTED_VALUE"""),46021.0)</f>
        <v>46021</v>
      </c>
      <c r="B578" s="1" t="str">
        <f>IFERROR(__xludf.DUMMYFUNCTION("""COMPUTED_VALUE"""),"Copo pequeno")</f>
        <v>Copo pequeno</v>
      </c>
      <c r="C578" s="1">
        <f>IFERROR(__xludf.DUMMYFUNCTION("""COMPUTED_VALUE"""),1.0)</f>
        <v>1</v>
      </c>
      <c r="D578" s="4">
        <f>IFERROR(__xludf.DUMMYFUNCTION("""COMPUTED_VALUE"""),3.98)</f>
        <v>3.98</v>
      </c>
      <c r="E578" s="1" t="str">
        <f>IFERROR(__xludf.DUMMYFUNCTION("""COMPUTED_VALUE"""),"Quebra")</f>
        <v>Quebra</v>
      </c>
      <c r="F578" s="1" t="str">
        <f>IFERROR(__xludf.DUMMYFUNCTION("""COMPUTED_VALUE"""),"JESSYCA")</f>
        <v>JESSYCA</v>
      </c>
      <c r="G578" s="1"/>
      <c r="H578" s="1" t="str">
        <f>IFERROR(__xludf.DUMMYFUNCTION("""COMPUTED_VALUE"""),"12/2025")</f>
        <v>12/2025</v>
      </c>
    </row>
    <row r="579">
      <c r="A579" s="3">
        <f>IFERROR(__xludf.DUMMYFUNCTION("""COMPUTED_VALUE"""),46024.0)</f>
        <v>46024</v>
      </c>
      <c r="B579" s="1" t="str">
        <f>IFERROR(__xludf.DUMMYFUNCTION("""COMPUTED_VALUE"""),"Copo pequeno")</f>
        <v>Copo pequeno</v>
      </c>
      <c r="C579" s="1">
        <f>IFERROR(__xludf.DUMMYFUNCTION("""COMPUTED_VALUE"""),1.0)</f>
        <v>1</v>
      </c>
      <c r="D579" s="4">
        <f>IFERROR(__xludf.DUMMYFUNCTION("""COMPUTED_VALUE"""),3.98)</f>
        <v>3.98</v>
      </c>
      <c r="E579" s="1" t="str">
        <f>IFERROR(__xludf.DUMMYFUNCTION("""COMPUTED_VALUE"""),"Quebra")</f>
        <v>Quebra</v>
      </c>
      <c r="F579" s="1" t="str">
        <f>IFERROR(__xludf.DUMMYFUNCTION("""COMPUTED_VALUE"""),"JAQUELINE")</f>
        <v>JAQUELINE</v>
      </c>
      <c r="G579" s="1" t="str">
        <f>IFERROR(__xludf.DUMMYFUNCTION("""COMPUTED_VALUE"""),"Encontrado quebrado em baixo do caixa")</f>
        <v>Encontrado quebrado em baixo do caixa</v>
      </c>
      <c r="H579" s="1" t="str">
        <f>IFERROR(__xludf.DUMMYFUNCTION("""COMPUTED_VALUE"""),"01/2025")</f>
        <v>01/2025</v>
      </c>
    </row>
    <row r="580">
      <c r="A580" s="3">
        <f>IFERROR(__xludf.DUMMYFUNCTION("""COMPUTED_VALUE"""),46024.0)</f>
        <v>46024</v>
      </c>
      <c r="B580" s="1" t="str">
        <f>IFERROR(__xludf.DUMMYFUNCTION("""COMPUTED_VALUE"""),"Copo shot")</f>
        <v>Copo shot</v>
      </c>
      <c r="C580" s="1">
        <f>IFERROR(__xludf.DUMMYFUNCTION("""COMPUTED_VALUE"""),1.0)</f>
        <v>1</v>
      </c>
      <c r="D580" s="4">
        <f>IFERROR(__xludf.DUMMYFUNCTION("""COMPUTED_VALUE"""),2.35)</f>
        <v>2.35</v>
      </c>
      <c r="E580" s="1" t="str">
        <f>IFERROR(__xludf.DUMMYFUNCTION("""COMPUTED_VALUE"""),"Quebra")</f>
        <v>Quebra</v>
      </c>
      <c r="F580" s="1" t="str">
        <f>IFERROR(__xludf.DUMMYFUNCTION("""COMPUTED_VALUE"""),"JAQUELINE")</f>
        <v>JAQUELINE</v>
      </c>
      <c r="G580" s="1" t="str">
        <f>IFERROR(__xludf.DUMMYFUNCTION("""COMPUTED_VALUE"""),"Lascado na bandeja")</f>
        <v>Lascado na bandeja</v>
      </c>
      <c r="H580" s="1" t="str">
        <f>IFERROR(__xludf.DUMMYFUNCTION("""COMPUTED_VALUE"""),"01/2025")</f>
        <v>01/2025</v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1"/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1"/>
      <c r="E1134" s="1"/>
      <c r="F1134" s="1"/>
      <c r="G1134" s="1"/>
      <c r="H1134" s="1"/>
    </row>
    <row r="1135">
      <c r="A1135" s="1"/>
      <c r="B1135" s="1"/>
      <c r="C1135" s="1"/>
      <c r="D1135" s="1"/>
      <c r="E1135" s="1"/>
      <c r="F1135" s="1"/>
      <c r="G1135" s="1"/>
      <c r="H1135" s="1"/>
    </row>
    <row r="1136">
      <c r="A1136" s="1"/>
      <c r="B1136" s="1"/>
      <c r="C1136" s="1"/>
      <c r="D1136" s="1"/>
      <c r="E1136" s="1"/>
      <c r="F1136" s="1"/>
      <c r="G1136" s="1"/>
      <c r="H1136" s="1"/>
    </row>
    <row r="1137">
      <c r="A1137" s="1"/>
      <c r="B1137" s="1"/>
      <c r="C1137" s="1"/>
      <c r="D1137" s="1"/>
      <c r="E1137" s="1"/>
      <c r="F1137" s="1"/>
      <c r="G1137" s="1"/>
      <c r="H1137" s="1"/>
    </row>
    <row r="1138">
      <c r="A1138" s="1"/>
      <c r="B1138" s="1"/>
      <c r="C1138" s="1"/>
      <c r="D1138" s="1"/>
      <c r="E1138" s="1"/>
      <c r="F1138" s="1"/>
      <c r="G1138" s="1"/>
      <c r="H1138" s="1"/>
    </row>
    <row r="1139">
      <c r="A1139" s="1"/>
      <c r="B1139" s="1"/>
      <c r="C1139" s="1"/>
      <c r="D1139" s="1"/>
      <c r="E1139" s="1"/>
      <c r="F1139" s="1"/>
      <c r="G1139" s="1"/>
      <c r="H1139" s="1"/>
    </row>
  </sheetData>
  <drawing r:id="rId1"/>
</worksheet>
</file>