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2">
        <f>IFERROR(__xludf.DUMMYFUNCTION("""COMPUTED_VALUE"""),46042.0)</f>
        <v>46042</v>
      </c>
      <c r="B27" s="3" t="str">
        <f>IFERROR(__xludf.DUMMYFUNCTION("""COMPUTED_VALUE"""),"Leite")</f>
        <v>Leite</v>
      </c>
      <c r="C27" s="3" t="str">
        <f>IFERROR(__xludf.DUMMYFUNCTION("""COMPUTED_VALUE"""),"Produto final")</f>
        <v>Produto final</v>
      </c>
      <c r="D27" s="3" t="str">
        <f>IFERROR(__xludf.DUMMYFUNCTION("""COMPUTED_VALUE"""),"100 ml")</f>
        <v>100 ml</v>
      </c>
      <c r="E27" s="3" t="str">
        <f>IFERROR(__xludf.DUMMYFUNCTION("""COMPUTED_VALUE"""),"Erro de processo")</f>
        <v>Erro de processo</v>
      </c>
      <c r="F27" s="3" t="str">
        <f>IFERROR(__xludf.DUMMYFUNCTION("""COMPUTED_VALUE"""),"Fábio")</f>
        <v>Fábio</v>
      </c>
      <c r="G27" s="3" t="str">
        <f>IFERROR(__xludf.DUMMYFUNCTION("""COMPUTED_VALUE"""),"Copo escorregou no pó de café ")</f>
        <v>Copo escorregou no pó de café </v>
      </c>
    </row>
    <row r="28">
      <c r="A28" s="2">
        <f>IFERROR(__xludf.DUMMYFUNCTION("""COMPUTED_VALUE"""),46042.0)</f>
        <v>46042</v>
      </c>
      <c r="B28" s="3" t="str">
        <f>IFERROR(__xludf.DUMMYFUNCTION("""COMPUTED_VALUE"""),"Blend")</f>
        <v>Blend</v>
      </c>
      <c r="C28" s="3" t="str">
        <f>IFERROR(__xludf.DUMMYFUNCTION("""COMPUTED_VALUE"""),"Produto final")</f>
        <v>Produto final</v>
      </c>
      <c r="D28" s="3" t="str">
        <f>IFERROR(__xludf.DUMMYFUNCTION("""COMPUTED_VALUE"""),"10g")</f>
        <v>10g</v>
      </c>
      <c r="E28" s="3" t="str">
        <f>IFERROR(__xludf.DUMMYFUNCTION("""COMPUTED_VALUE"""),"Erro de processo")</f>
        <v>Erro de processo</v>
      </c>
      <c r="F28" s="3" t="str">
        <f>IFERROR(__xludf.DUMMYFUNCTION("""COMPUTED_VALUE"""),"Jaqueline")</f>
        <v>Jaqueline</v>
      </c>
      <c r="G28" s="3" t="str">
        <f>IFERROR(__xludf.DUMMYFUNCTION("""COMPUTED_VALUE"""),"Derrubou no balcão ")</f>
        <v>Derrubou no balcão </v>
      </c>
    </row>
    <row r="29">
      <c r="A29" s="2">
        <f>IFERROR(__xludf.DUMMYFUNCTION("""COMPUTED_VALUE"""),46042.0)</f>
        <v>46042</v>
      </c>
      <c r="B29" s="3" t="str">
        <f>IFERROR(__xludf.DUMMYFUNCTION("""COMPUTED_VALUE"""),"Shot ")</f>
        <v>Shot </v>
      </c>
      <c r="C29" s="3" t="str">
        <f>IFERROR(__xludf.DUMMYFUNCTION("""COMPUTED_VALUE"""),"Utensílio")</f>
        <v>Utensílio</v>
      </c>
      <c r="D29" s="3">
        <f>IFERROR(__xludf.DUMMYFUNCTION("""COMPUTED_VALUE"""),1.0)</f>
        <v>1</v>
      </c>
      <c r="E29" s="3" t="str">
        <f>IFERROR(__xludf.DUMMYFUNCTION("""COMPUTED_VALUE"""),"Quebra")</f>
        <v>Quebra</v>
      </c>
      <c r="F29" s="3" t="str">
        <f>IFERROR(__xludf.DUMMYFUNCTION("""COMPUTED_VALUE"""),"Fátima")</f>
        <v>Fátima</v>
      </c>
      <c r="G29" s="3" t="str">
        <f>IFERROR(__xludf.DUMMYFUNCTION("""COMPUTED_VALUE"""),"N")</f>
        <v>N</v>
      </c>
    </row>
    <row r="30">
      <c r="A30" s="2">
        <f>IFERROR(__xludf.DUMMYFUNCTION("""COMPUTED_VALUE"""),46042.0)</f>
        <v>46042</v>
      </c>
      <c r="B30" s="3" t="str">
        <f>IFERROR(__xludf.DUMMYFUNCTION("""COMPUTED_VALUE"""),"rúcula ")</f>
        <v>rúcula </v>
      </c>
      <c r="C30" s="3" t="str">
        <f>IFERROR(__xludf.DUMMYFUNCTION("""COMPUTED_VALUE"""),"Hortifruti")</f>
        <v>Hortifruti</v>
      </c>
      <c r="D30" s="3" t="str">
        <f>IFERROR(__xludf.DUMMYFUNCTION("""COMPUTED_VALUE"""),"20g")</f>
        <v>20g</v>
      </c>
      <c r="E30" s="3" t="str">
        <f>IFERROR(__xludf.DUMMYFUNCTION("""COMPUTED_VALUE"""),"Venceu (Validade)")</f>
        <v>Venceu (Validade)</v>
      </c>
      <c r="F30" s="3" t="str">
        <f>IFERROR(__xludf.DUMMYFUNCTION("""COMPUTED_VALUE"""),"Jesiana")</f>
        <v>Jesiana</v>
      </c>
      <c r="G30" s="3" t="str">
        <f>IFERROR(__xludf.DUMMYFUNCTION("""COMPUTED_VALUE"""),"N")</f>
        <v>N</v>
      </c>
    </row>
    <row r="31">
      <c r="A31" s="2">
        <f>IFERROR(__xludf.DUMMYFUNCTION("""COMPUTED_VALUE"""),46042.0)</f>
        <v>46042</v>
      </c>
      <c r="B31" s="3" t="str">
        <f>IFERROR(__xludf.DUMMYFUNCTION("""COMPUTED_VALUE"""),"Alface ")</f>
        <v>Alface </v>
      </c>
      <c r="C31" s="3" t="str">
        <f>IFERROR(__xludf.DUMMYFUNCTION("""COMPUTED_VALUE"""),"Hortifruti")</f>
        <v>Hortifruti</v>
      </c>
      <c r="D31" s="3" t="str">
        <f>IFERROR(__xludf.DUMMYFUNCTION("""COMPUTED_VALUE"""),"28g")</f>
        <v>28g</v>
      </c>
      <c r="E31" s="3" t="str">
        <f>IFERROR(__xludf.DUMMYFUNCTION("""COMPUTED_VALUE"""),"Venceu (Validade)")</f>
        <v>Venceu (Validade)</v>
      </c>
      <c r="F31" s="3" t="str">
        <f>IFERROR(__xludf.DUMMYFUNCTION("""COMPUTED_VALUE"""),"Jesiana")</f>
        <v>Jesiana</v>
      </c>
      <c r="G31" s="3" t="str">
        <f>IFERROR(__xludf.DUMMYFUNCTION("""COMPUTED_VALUE"""),"N")</f>
        <v>N</v>
      </c>
    </row>
    <row r="32">
      <c r="A32" s="2">
        <f>IFERROR(__xludf.DUMMYFUNCTION("""COMPUTED_VALUE"""),46043.0)</f>
        <v>46043</v>
      </c>
      <c r="B32" s="3" t="str">
        <f>IFERROR(__xludf.DUMMYFUNCTION("""COMPUTED_VALUE"""),"Prato Sobremesa")</f>
        <v>Prato Sobremesa</v>
      </c>
      <c r="C32" s="3" t="str">
        <f>IFERROR(__xludf.DUMMYFUNCTION("""COMPUTED_VALUE"""),"Utensílio")</f>
        <v>Utensílio</v>
      </c>
      <c r="D32" s="3">
        <f>IFERROR(__xludf.DUMMYFUNCTION("""COMPUTED_VALUE"""),1.0)</f>
        <v>1</v>
      </c>
      <c r="E32" s="3" t="str">
        <f>IFERROR(__xludf.DUMMYFUNCTION("""COMPUTED_VALUE"""),"Quebra")</f>
        <v>Quebra</v>
      </c>
      <c r="F32" s="3" t="str">
        <f>IFERROR(__xludf.DUMMYFUNCTION("""COMPUTED_VALUE"""),"David")</f>
        <v>David</v>
      </c>
      <c r="G32" s="3" t="str">
        <f>IFERROR(__xludf.DUMMYFUNCTION("""COMPUTED_VALUE"""),"Deixou cair.")</f>
        <v>Deixou cair.</v>
      </c>
    </row>
    <row r="33">
      <c r="A33" s="2">
        <f>IFERROR(__xludf.DUMMYFUNCTION("""COMPUTED_VALUE"""),46043.0)</f>
        <v>46043</v>
      </c>
      <c r="B33" s="3" t="str">
        <f>IFERROR(__xludf.DUMMYFUNCTION("""COMPUTED_VALUE"""),"Bolo Fubá ")</f>
        <v>Bolo Fubá </v>
      </c>
      <c r="C33" s="3" t="str">
        <f>IFERROR(__xludf.DUMMYFUNCTION("""COMPUTED_VALUE"""),"Produto final")</f>
        <v>Produto final</v>
      </c>
      <c r="D33" s="3">
        <f>IFERROR(__xludf.DUMMYFUNCTION("""COMPUTED_VALUE"""),1.0)</f>
        <v>1</v>
      </c>
      <c r="E33" s="3" t="str">
        <f>IFERROR(__xludf.DUMMYFUNCTION("""COMPUTED_VALUE"""),"Erro de processo")</f>
        <v>Erro de processo</v>
      </c>
      <c r="F33" s="3" t="str">
        <f>IFERROR(__xludf.DUMMYFUNCTION("""COMPUTED_VALUE"""),"David")</f>
        <v>David</v>
      </c>
      <c r="G33" s="3" t="str">
        <f>IFERROR(__xludf.DUMMYFUNCTION("""COMPUTED_VALUE"""),"Deixou cair.")</f>
        <v>Deixou cair.</v>
      </c>
    </row>
    <row r="34">
      <c r="A34" s="2">
        <f>IFERROR(__xludf.DUMMYFUNCTION("""COMPUTED_VALUE"""),46044.0)</f>
        <v>46044</v>
      </c>
      <c r="B34" s="3" t="str">
        <f>IFERROR(__xludf.DUMMYFUNCTION("""COMPUTED_VALUE"""),"Salsa ")</f>
        <v>Salsa </v>
      </c>
      <c r="C34" s="3" t="str">
        <f>IFERROR(__xludf.DUMMYFUNCTION("""COMPUTED_VALUE"""),"Hortifruti")</f>
        <v>Hortifruti</v>
      </c>
      <c r="D34" s="3" t="str">
        <f>IFERROR(__xludf.DUMMYFUNCTION("""COMPUTED_VALUE"""),"0,160g")</f>
        <v>0,160g</v>
      </c>
      <c r="E34" s="3" t="str">
        <f>IFERROR(__xludf.DUMMYFUNCTION("""COMPUTED_VALUE"""),"Venceu (Validade)")</f>
        <v>Venceu (Validade)</v>
      </c>
      <c r="F34" s="3" t="str">
        <f>IFERROR(__xludf.DUMMYFUNCTION("""COMPUTED_VALUE"""),"Jesiana")</f>
        <v>Jesiana</v>
      </c>
      <c r="G34" s="3" t="str">
        <f>IFERROR(__xludf.DUMMYFUNCTION("""COMPUTED_VALUE"""),"N")</f>
        <v>N</v>
      </c>
    </row>
    <row r="35">
      <c r="A35" s="2">
        <f>IFERROR(__xludf.DUMMYFUNCTION("""COMPUTED_VALUE"""),46044.0)</f>
        <v>46044</v>
      </c>
      <c r="B35" s="3" t="str">
        <f>IFERROR(__xludf.DUMMYFUNCTION("""COMPUTED_VALUE"""),"Alface ")</f>
        <v>Alface </v>
      </c>
      <c r="C35" s="3" t="str">
        <f>IFERROR(__xludf.DUMMYFUNCTION("""COMPUTED_VALUE"""),"Hortifruti")</f>
        <v>Hortifruti</v>
      </c>
      <c r="D35" s="3" t="str">
        <f>IFERROR(__xludf.DUMMYFUNCTION("""COMPUTED_VALUE"""),"0,120g")</f>
        <v>0,120g</v>
      </c>
      <c r="E35" s="3" t="str">
        <f>IFERROR(__xludf.DUMMYFUNCTION("""COMPUTED_VALUE"""),"Venceu (Validade)")</f>
        <v>Venceu (Validade)</v>
      </c>
      <c r="F35" s="3" t="str">
        <f>IFERROR(__xludf.DUMMYFUNCTION("""COMPUTED_VALUE"""),"Jesiana")</f>
        <v>Jesiana</v>
      </c>
      <c r="G35" s="3" t="str">
        <f>IFERROR(__xludf.DUMMYFUNCTION("""COMPUTED_VALUE"""),"N")</f>
        <v>N</v>
      </c>
    </row>
    <row r="36">
      <c r="A36" s="2">
        <f>IFERROR(__xludf.DUMMYFUNCTION("""COMPUTED_VALUE"""),46044.0)</f>
        <v>46044</v>
      </c>
      <c r="B36" s="3" t="str">
        <f>IFERROR(__xludf.DUMMYFUNCTION("""COMPUTED_VALUE"""),"Rúcula ")</f>
        <v>Rúcula </v>
      </c>
      <c r="C36" s="3" t="str">
        <f>IFERROR(__xludf.DUMMYFUNCTION("""COMPUTED_VALUE"""),"Hortifruti")</f>
        <v>Hortifruti</v>
      </c>
      <c r="D36" s="3" t="str">
        <f>IFERROR(__xludf.DUMMYFUNCTION("""COMPUTED_VALUE"""),"0,081g")</f>
        <v>0,081g</v>
      </c>
      <c r="E36" s="3" t="str">
        <f>IFERROR(__xludf.DUMMYFUNCTION("""COMPUTED_VALUE"""),"Venceu (Validade)")</f>
        <v>Venceu (Validade)</v>
      </c>
      <c r="F36" s="3" t="str">
        <f>IFERROR(__xludf.DUMMYFUNCTION("""COMPUTED_VALUE"""),"Jesiana")</f>
        <v>Jesiana</v>
      </c>
      <c r="G36" s="3" t="str">
        <f>IFERROR(__xludf.DUMMYFUNCTION("""COMPUTED_VALUE"""),"N")</f>
        <v>N</v>
      </c>
    </row>
    <row r="37">
      <c r="A37" s="2">
        <f>IFERROR(__xludf.DUMMYFUNCTION("""COMPUTED_VALUE"""),46044.0)</f>
        <v>46044</v>
      </c>
      <c r="B37" s="3" t="str">
        <f>IFERROR(__xludf.DUMMYFUNCTION("""COMPUTED_VALUE"""),"Bacon ")</f>
        <v>Bacon </v>
      </c>
      <c r="C37" s="3" t="str">
        <f>IFERROR(__xludf.DUMMYFUNCTION("""COMPUTED_VALUE"""),"Outro")</f>
        <v>Outro</v>
      </c>
      <c r="D37" s="3" t="str">
        <f>IFERROR(__xludf.DUMMYFUNCTION("""COMPUTED_VALUE"""),"0,105g")</f>
        <v>0,105g</v>
      </c>
      <c r="E37" s="3" t="str">
        <f>IFERROR(__xludf.DUMMYFUNCTION("""COMPUTED_VALUE"""),"Venceu (Validade)")</f>
        <v>Venceu (Validade)</v>
      </c>
      <c r="F37" s="3" t="str">
        <f>IFERROR(__xludf.DUMMYFUNCTION("""COMPUTED_VALUE"""),"Jesiana")</f>
        <v>Jesiana</v>
      </c>
      <c r="G37" s="3" t="str">
        <f>IFERROR(__xludf.DUMMYFUNCTION("""COMPUTED_VALUE"""),"N")</f>
        <v>N</v>
      </c>
    </row>
    <row r="38">
      <c r="A38" s="2">
        <f>IFERROR(__xludf.DUMMYFUNCTION("""COMPUTED_VALUE"""),46045.0)</f>
        <v>46045</v>
      </c>
      <c r="B38" s="3" t="str">
        <f>IFERROR(__xludf.DUMMYFUNCTION("""COMPUTED_VALUE"""),"Torta Cheesecake")</f>
        <v>Torta Cheesecake</v>
      </c>
      <c r="C38" s="3" t="str">
        <f>IFERROR(__xludf.DUMMYFUNCTION("""COMPUTED_VALUE"""),"Produto final")</f>
        <v>Produto final</v>
      </c>
      <c r="D38" s="3">
        <f>IFERROR(__xludf.DUMMYFUNCTION("""COMPUTED_VALUE"""),2.0)</f>
        <v>2</v>
      </c>
      <c r="E38" s="3" t="str">
        <f>IFERROR(__xludf.DUMMYFUNCTION("""COMPUTED_VALUE"""),"Cliente")</f>
        <v>Cliente</v>
      </c>
      <c r="F38" s="3" t="str">
        <f>IFERROR(__xludf.DUMMYFUNCTION("""COMPUTED_VALUE"""),"David")</f>
        <v>David</v>
      </c>
      <c r="G38" s="3" t="str">
        <f>IFERROR(__xludf.DUMMYFUNCTION("""COMPUTED_VALUE"""),"Cliente reclamou de estar ruim")</f>
        <v>Cliente reclamou de estar ruim</v>
      </c>
    </row>
    <row r="39">
      <c r="A39" s="2">
        <f>IFERROR(__xludf.DUMMYFUNCTION("""COMPUTED_VALUE"""),46047.0)</f>
        <v>46047</v>
      </c>
      <c r="B39" s="3" t="str">
        <f>IFERROR(__xludf.DUMMYFUNCTION("""COMPUTED_VALUE"""),"Prato de Sobremesa ")</f>
        <v>Prato de Sobremesa </v>
      </c>
      <c r="C39" s="3" t="str">
        <f>IFERROR(__xludf.DUMMYFUNCTION("""COMPUTED_VALUE"""),"Utensílio")</f>
        <v>Utensílio</v>
      </c>
      <c r="D39" s="3">
        <f>IFERROR(__xludf.DUMMYFUNCTION("""COMPUTED_VALUE"""),1.0)</f>
        <v>1</v>
      </c>
      <c r="E39" s="3" t="str">
        <f>IFERROR(__xludf.DUMMYFUNCTION("""COMPUTED_VALUE"""),"Quebra")</f>
        <v>Quebra</v>
      </c>
      <c r="F39" s="3" t="str">
        <f>IFERROR(__xludf.DUMMYFUNCTION("""COMPUTED_VALUE"""),"David")</f>
        <v>David</v>
      </c>
      <c r="G39" s="3" t="str">
        <f>IFERROR(__xludf.DUMMYFUNCTION("""COMPUTED_VALUE"""),"Caiu")</f>
        <v>Caiu</v>
      </c>
    </row>
    <row r="40">
      <c r="A40" s="2">
        <f>IFERROR(__xludf.DUMMYFUNCTION("""COMPUTED_VALUE"""),46049.0)</f>
        <v>46049</v>
      </c>
      <c r="B40" s="3" t="str">
        <f>IFERROR(__xludf.DUMMYFUNCTION("""COMPUTED_VALUE"""),"Pão Ciabatta ")</f>
        <v>Pão Ciabatta </v>
      </c>
      <c r="C40" s="3" t="str">
        <f>IFERROR(__xludf.DUMMYFUNCTION("""COMPUTED_VALUE"""),"Produto final")</f>
        <v>Produto final</v>
      </c>
      <c r="D40" s="3" t="str">
        <f>IFERROR(__xludf.DUMMYFUNCTION("""COMPUTED_VALUE"""),"1/2")</f>
        <v>1/2</v>
      </c>
      <c r="E40" s="3" t="str">
        <f>IFERROR(__xludf.DUMMYFUNCTION("""COMPUTED_VALUE"""),"Erro de processo")</f>
        <v>Erro de processo</v>
      </c>
      <c r="F40" s="3" t="str">
        <f>IFERROR(__xludf.DUMMYFUNCTION("""COMPUTED_VALUE"""),"Naiane")</f>
        <v>Naiane</v>
      </c>
      <c r="G40" s="3" t="str">
        <f>IFERROR(__xludf.DUMMYFUNCTION("""COMPUTED_VALUE"""),"Queimou")</f>
        <v>Queimou</v>
      </c>
    </row>
    <row r="41">
      <c r="A41" s="2">
        <f>IFERROR(__xludf.DUMMYFUNCTION("""COMPUTED_VALUE"""),46051.0)</f>
        <v>46051</v>
      </c>
      <c r="B41" s="3" t="str">
        <f>IFERROR(__xludf.DUMMYFUNCTION("""COMPUTED_VALUE"""),"Torta Palmito")</f>
        <v>Torta Palmito</v>
      </c>
      <c r="C41" s="3" t="str">
        <f>IFERROR(__xludf.DUMMYFUNCTION("""COMPUTED_VALUE"""),"Produto final")</f>
        <v>Produto final</v>
      </c>
      <c r="D41" s="3">
        <f>IFERROR(__xludf.DUMMYFUNCTION("""COMPUTED_VALUE"""),1.0)</f>
        <v>1</v>
      </c>
      <c r="E41" s="3" t="str">
        <f>IFERROR(__xludf.DUMMYFUNCTION("""COMPUTED_VALUE"""),"Erro de processo")</f>
        <v>Erro de processo</v>
      </c>
      <c r="F41" s="3" t="str">
        <f>IFERROR(__xludf.DUMMYFUNCTION("""COMPUTED_VALUE"""),"Naiane")</f>
        <v>Naiane</v>
      </c>
      <c r="G41" s="3" t="str">
        <f>IFERROR(__xludf.DUMMYFUNCTION("""COMPUTED_VALUE"""),"Quebrou no meio ")</f>
        <v>Quebrou no meio </v>
      </c>
    </row>
    <row r="42">
      <c r="A42" s="2">
        <f>IFERROR(__xludf.DUMMYFUNCTION("""COMPUTED_VALUE"""),46051.0)</f>
        <v>46051</v>
      </c>
      <c r="B42" s="3" t="str">
        <f>IFERROR(__xludf.DUMMYFUNCTION("""COMPUTED_VALUE"""),"latte duplo")</f>
        <v>latte duplo</v>
      </c>
      <c r="C42" s="3" t="str">
        <f>IFERROR(__xludf.DUMMYFUNCTION("""COMPUTED_VALUE"""),"Produto final")</f>
        <v>Produto final</v>
      </c>
      <c r="D42" s="3">
        <f>IFERROR(__xludf.DUMMYFUNCTION("""COMPUTED_VALUE"""),1.0)</f>
        <v>1</v>
      </c>
      <c r="E42" s="3" t="str">
        <f>IFERROR(__xludf.DUMMYFUNCTION("""COMPUTED_VALUE"""),"Cliente")</f>
        <v>Cliente</v>
      </c>
      <c r="F42" s="3" t="str">
        <f>IFERROR(__xludf.DUMMYFUNCTION("""COMPUTED_VALUE"""),"Fábio")</f>
        <v>Fábio</v>
      </c>
      <c r="G42" s="3" t="str">
        <f>IFERROR(__xludf.DUMMYFUNCTION("""COMPUTED_VALUE"""),"Cliente alegou que prefere com café descafeinado. Orientamos o cliente.")</f>
        <v>Cliente alegou que prefere com café descafeinado. Orientamos o cliente.</v>
      </c>
    </row>
    <row r="43">
      <c r="A43" s="2">
        <f>IFERROR(__xludf.DUMMYFUNCTION("""COMPUTED_VALUE"""),46051.0)</f>
        <v>46051</v>
      </c>
      <c r="B43" s="3" t="str">
        <f>IFERROR(__xludf.DUMMYFUNCTION("""COMPUTED_VALUE"""),"Copo Shot")</f>
        <v>Copo Shot</v>
      </c>
      <c r="C43" s="3" t="str">
        <f>IFERROR(__xludf.DUMMYFUNCTION("""COMPUTED_VALUE"""),"Utensílio")</f>
        <v>Utensílio</v>
      </c>
      <c r="D43" s="3">
        <f>IFERROR(__xludf.DUMMYFUNCTION("""COMPUTED_VALUE"""),1.0)</f>
        <v>1</v>
      </c>
      <c r="E43" s="3" t="str">
        <f>IFERROR(__xludf.DUMMYFUNCTION("""COMPUTED_VALUE"""),"Quebra")</f>
        <v>Quebra</v>
      </c>
      <c r="F43" s="3" t="str">
        <f>IFERROR(__xludf.DUMMYFUNCTION("""COMPUTED_VALUE"""),"David")</f>
        <v>David</v>
      </c>
      <c r="G43" s="3" t="str">
        <f>IFERROR(__xludf.DUMMYFUNCTION("""COMPUTED_VALUE"""),"Quebrou ")</f>
        <v>Quebrou </v>
      </c>
    </row>
    <row r="44">
      <c r="A44" s="2">
        <f>IFERROR(__xludf.DUMMYFUNCTION("""COMPUTED_VALUE"""),46051.0)</f>
        <v>46051</v>
      </c>
      <c r="B44" s="3" t="str">
        <f>IFERROR(__xludf.DUMMYFUNCTION("""COMPUTED_VALUE"""),"Prato Sobremesa")</f>
        <v>Prato Sobremesa</v>
      </c>
      <c r="C44" s="3" t="str">
        <f>IFERROR(__xludf.DUMMYFUNCTION("""COMPUTED_VALUE"""),"Utensílio")</f>
        <v>Utensílio</v>
      </c>
      <c r="D44" s="3">
        <f>IFERROR(__xludf.DUMMYFUNCTION("""COMPUTED_VALUE"""),1.0)</f>
        <v>1</v>
      </c>
      <c r="E44" s="3" t="str">
        <f>IFERROR(__xludf.DUMMYFUNCTION("""COMPUTED_VALUE"""),"Quebra")</f>
        <v>Quebra</v>
      </c>
      <c r="F44" s="3" t="str">
        <f>IFERROR(__xludf.DUMMYFUNCTION("""COMPUTED_VALUE"""),"David")</f>
        <v>David</v>
      </c>
      <c r="G44" s="3" t="str">
        <f>IFERROR(__xludf.DUMMYFUNCTION("""COMPUTED_VALUE"""),"Quebrou")</f>
        <v>Quebrou</v>
      </c>
    </row>
    <row r="45">
      <c r="A45" s="2">
        <f>IFERROR(__xludf.DUMMYFUNCTION("""COMPUTED_VALUE"""),46052.0)</f>
        <v>46052</v>
      </c>
      <c r="B45" s="3" t="str">
        <f>IFERROR(__xludf.DUMMYFUNCTION("""COMPUTED_VALUE"""),"Rúcula ")</f>
        <v>Rúcula </v>
      </c>
      <c r="C45" s="3" t="str">
        <f>IFERROR(__xludf.DUMMYFUNCTION("""COMPUTED_VALUE"""),"Hortifruti")</f>
        <v>Hortifruti</v>
      </c>
      <c r="D45" s="3" t="str">
        <f>IFERROR(__xludf.DUMMYFUNCTION("""COMPUTED_VALUE"""),"0,017g")</f>
        <v>0,017g</v>
      </c>
      <c r="E45" s="3" t="str">
        <f>IFERROR(__xludf.DUMMYFUNCTION("""COMPUTED_VALUE"""),"Venceu (Validade)")</f>
        <v>Venceu (Validade)</v>
      </c>
      <c r="F45" s="3" t="str">
        <f>IFERROR(__xludf.DUMMYFUNCTION("""COMPUTED_VALUE"""),"Jesiana")</f>
        <v>Jesiana</v>
      </c>
      <c r="G45" s="3" t="str">
        <f>IFERROR(__xludf.DUMMYFUNCTION("""COMPUTED_VALUE"""),"N")</f>
        <v>N</v>
      </c>
    </row>
    <row r="46">
      <c r="A46" s="2">
        <f>IFERROR(__xludf.DUMMYFUNCTION("""COMPUTED_VALUE"""),46052.0)</f>
        <v>46052</v>
      </c>
      <c r="B46" s="3" t="str">
        <f>IFERROR(__xludf.DUMMYFUNCTION("""COMPUTED_VALUE"""),"Alface ")</f>
        <v>Alface </v>
      </c>
      <c r="C46" s="3" t="str">
        <f>IFERROR(__xludf.DUMMYFUNCTION("""COMPUTED_VALUE"""),"Hortifruti")</f>
        <v>Hortifruti</v>
      </c>
      <c r="D46" s="3" t="str">
        <f>IFERROR(__xludf.DUMMYFUNCTION("""COMPUTED_VALUE"""),"0,255g")</f>
        <v>0,255g</v>
      </c>
      <c r="E46" s="3" t="str">
        <f>IFERROR(__xludf.DUMMYFUNCTION("""COMPUTED_VALUE"""),"Venceu (Validade)")</f>
        <v>Venceu (Validade)</v>
      </c>
      <c r="F46" s="3" t="str">
        <f>IFERROR(__xludf.DUMMYFUNCTION("""COMPUTED_VALUE"""),"Jesiana")</f>
        <v>Jesiana</v>
      </c>
      <c r="G46" s="3" t="str">
        <f>IFERROR(__xludf.DUMMYFUNCTION("""COMPUTED_VALUE"""),"N")</f>
        <v>N</v>
      </c>
    </row>
    <row r="47">
      <c r="A47" s="2">
        <f>IFERROR(__xludf.DUMMYFUNCTION("""COMPUTED_VALUE"""),46052.0)</f>
        <v>46052</v>
      </c>
      <c r="B47" s="3" t="str">
        <f>IFERROR(__xludf.DUMMYFUNCTION("""COMPUTED_VALUE"""),"Molheira ")</f>
        <v>Molheira </v>
      </c>
      <c r="C47" s="3" t="str">
        <f>IFERROR(__xludf.DUMMYFUNCTION("""COMPUTED_VALUE"""),"Utensílio")</f>
        <v>Utensílio</v>
      </c>
      <c r="D47" s="3">
        <f>IFERROR(__xludf.DUMMYFUNCTION("""COMPUTED_VALUE"""),1.0)</f>
        <v>1</v>
      </c>
      <c r="E47" s="3" t="str">
        <f>IFERROR(__xludf.DUMMYFUNCTION("""COMPUTED_VALUE"""),"Quebra")</f>
        <v>Quebra</v>
      </c>
      <c r="F47" s="3" t="str">
        <f>IFERROR(__xludf.DUMMYFUNCTION("""COMPUTED_VALUE"""),"Jesiana")</f>
        <v>Jesiana</v>
      </c>
      <c r="G47" s="3" t="str">
        <f>IFERROR(__xludf.DUMMYFUNCTION("""COMPUTED_VALUE"""),"N")</f>
        <v>N</v>
      </c>
    </row>
    <row r="48">
      <c r="A48" s="2">
        <f>IFERROR(__xludf.DUMMYFUNCTION("""COMPUTED_VALUE"""),46053.0)</f>
        <v>46053</v>
      </c>
      <c r="B48" s="3" t="str">
        <f>IFERROR(__xludf.DUMMYFUNCTION("""COMPUTED_VALUE"""),"Arroz arbóreo")</f>
        <v>Arroz arbóreo</v>
      </c>
      <c r="C48" s="3" t="str">
        <f>IFERROR(__xludf.DUMMYFUNCTION("""COMPUTED_VALUE"""),"Insumo")</f>
        <v>Insumo</v>
      </c>
      <c r="D48" s="3">
        <f>IFERROR(__xludf.DUMMYFUNCTION("""COMPUTED_VALUE"""),1.0)</f>
        <v>1</v>
      </c>
      <c r="E48" s="3" t="str">
        <f>IFERROR(__xludf.DUMMYFUNCTION("""COMPUTED_VALUE"""),"Venceu (Validade)")</f>
        <v>Venceu (Validade)</v>
      </c>
      <c r="F48" s="3" t="str">
        <f>IFERROR(__xludf.DUMMYFUNCTION("""COMPUTED_VALUE"""),"Brunna")</f>
        <v>Brunna</v>
      </c>
      <c r="G48" s="3" t="str">
        <f>IFERROR(__xludf.DUMMYFUNCTION("""COMPUTED_VALUE"""),"Aspecto fora do padrão de qualidade")</f>
        <v>Aspecto fora do padrão de qualidade</v>
      </c>
    </row>
    <row r="49">
      <c r="A49" s="2">
        <f>IFERROR(__xludf.DUMMYFUNCTION("""COMPUTED_VALUE"""),46056.0)</f>
        <v>46056</v>
      </c>
      <c r="B49" s="3" t="str">
        <f>IFERROR(__xludf.DUMMYFUNCTION("""COMPUTED_VALUE"""),"Torta cheesecake ")</f>
        <v>Torta cheesecake 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IFERROR(__xludf.DUMMYFUNCTION("""COMPUTED_VALUE"""),"Venceu (Validade)")</f>
        <v>Venceu (Validade)</v>
      </c>
      <c r="F49" s="3" t="str">
        <f>IFERROR(__xludf.DUMMYFUNCTION("""COMPUTED_VALUE"""),"Fábio")</f>
        <v>Fábio</v>
      </c>
      <c r="G49" s="3" t="str">
        <f>IFERROR(__xludf.DUMMYFUNCTION("""COMPUTED_VALUE"""),"Estragou")</f>
        <v>Estragou</v>
      </c>
    </row>
    <row r="50">
      <c r="A50" s="2">
        <f>IFERROR(__xludf.DUMMYFUNCTION("""COMPUTED_VALUE"""),46054.0)</f>
        <v>46054</v>
      </c>
      <c r="B50" s="3" t="str">
        <f>IFERROR(__xludf.DUMMYFUNCTION("""COMPUTED_VALUE"""),"Soda italiana framboesa ")</f>
        <v>Soda italiana framboesa </v>
      </c>
      <c r="C50" s="3" t="str">
        <f>IFERROR(__xludf.DUMMYFUNCTION("""COMPUTED_VALUE"""),"Produto final")</f>
        <v>Produto final</v>
      </c>
      <c r="D50" s="3">
        <f>IFERROR(__xludf.DUMMYFUNCTION("""COMPUTED_VALUE"""),1.0)</f>
        <v>1</v>
      </c>
      <c r="E50" s="3" t="str">
        <f>IFERROR(__xludf.DUMMYFUNCTION("""COMPUTED_VALUE"""),"Cliente")</f>
        <v>Cliente</v>
      </c>
      <c r="F50" s="3" t="str">
        <f>IFERROR(__xludf.DUMMYFUNCTION("""COMPUTED_VALUE"""),"Fábio")</f>
        <v>Fábio</v>
      </c>
      <c r="G50" s="3" t="str">
        <f>IFERROR(__xludf.DUMMYFUNCTION("""COMPUTED_VALUE"""),"Cliente pediu de framboesa e depois pediu para trocar de sabor ")</f>
        <v>Cliente pediu de framboesa e depois pediu para trocar de sabor </v>
      </c>
    </row>
    <row r="51">
      <c r="A51" s="2">
        <f>IFERROR(__xludf.DUMMYFUNCTION("""COMPUTED_VALUE"""),46054.0)</f>
        <v>46054</v>
      </c>
      <c r="B51" s="3" t="str">
        <f>IFERROR(__xludf.DUMMYFUNCTION("""COMPUTED_VALUE"""),"Empada palmito ")</f>
        <v>Empada palmito 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IFERROR(__xludf.DUMMYFUNCTION("""COMPUTED_VALUE"""),"Fábio")</f>
        <v>Fábio</v>
      </c>
      <c r="G51" s="3" t="str">
        <f>IFERROR(__xludf.DUMMYFUNCTION("""COMPUTED_VALUE"""),"Cliente falou que era de frango, mesmo sendo explicado que era de palmito ela não quis ")</f>
        <v>Cliente falou que era de frango, mesmo sendo explicado que era de palmito ela não quis </v>
      </c>
    </row>
    <row r="52">
      <c r="A52" s="2">
        <f>IFERROR(__xludf.DUMMYFUNCTION("""COMPUTED_VALUE"""),46054.0)</f>
        <v>46054</v>
      </c>
      <c r="B52" s="3" t="str">
        <f>IFERROR(__xludf.DUMMYFUNCTION("""COMPUTED_VALUE"""),"Copo pequeno ")</f>
        <v>Copo pequeno </v>
      </c>
      <c r="C52" s="3" t="str">
        <f>IFERROR(__xludf.DUMMYFUNCTION("""COMPUTED_VALUE"""),"Utensílio")</f>
        <v>Utensílio</v>
      </c>
      <c r="D52" s="3">
        <f>IFERROR(__xludf.DUMMYFUNCTION("""COMPUTED_VALUE"""),1.0)</f>
        <v>1</v>
      </c>
      <c r="E52" s="3" t="str">
        <f>IFERROR(__xludf.DUMMYFUNCTION("""COMPUTED_VALUE"""),"Quebra")</f>
        <v>Quebra</v>
      </c>
      <c r="F52" s="3" t="str">
        <f>IFERROR(__xludf.DUMMYFUNCTION("""COMPUTED_VALUE"""),"Fátima")</f>
        <v>Fátima</v>
      </c>
      <c r="G52" s="3" t="str">
        <f>IFERROR(__xludf.DUMMYFUNCTION("""COMPUTED_VALUE"""),"Escorregou da mão ")</f>
        <v>Escorregou da mão </v>
      </c>
    </row>
    <row r="53">
      <c r="A53" s="2">
        <f>IFERROR(__xludf.DUMMYFUNCTION("""COMPUTED_VALUE"""),46054.0)</f>
        <v>46054</v>
      </c>
      <c r="B53" s="3" t="str">
        <f>IFERROR(__xludf.DUMMYFUNCTION("""COMPUTED_VALUE"""),"Caldo verde ")</f>
        <v>Caldo verde </v>
      </c>
      <c r="C53" s="3" t="str">
        <f>IFERROR(__xludf.DUMMYFUNCTION("""COMPUTED_VALUE"""),"Produto final")</f>
        <v>Produto final</v>
      </c>
      <c r="D53" s="3">
        <f>IFERROR(__xludf.DUMMYFUNCTION("""COMPUTED_VALUE"""),4.0)</f>
        <v>4</v>
      </c>
      <c r="E53" s="3" t="str">
        <f>IFERROR(__xludf.DUMMYFUNCTION("""COMPUTED_VALUE"""),"Venceu (Validade)")</f>
        <v>Venceu (Validade)</v>
      </c>
      <c r="F53" s="3" t="str">
        <f>IFERROR(__xludf.DUMMYFUNCTION("""COMPUTED_VALUE"""),"Fábio")</f>
        <v>Fábio</v>
      </c>
      <c r="G53" s="3" t="str">
        <f>IFERROR(__xludf.DUMMYFUNCTION("""COMPUTED_VALUE"""),"Data vencida")</f>
        <v>Data vencida</v>
      </c>
    </row>
    <row r="54">
      <c r="A54" s="2">
        <f>IFERROR(__xludf.DUMMYFUNCTION("""COMPUTED_VALUE"""),46058.0)</f>
        <v>46058</v>
      </c>
      <c r="B54" s="3" t="str">
        <f>IFERROR(__xludf.DUMMYFUNCTION("""COMPUTED_VALUE""")," caneca nadir de alça ")</f>
        <v> caneca nadir de alça </v>
      </c>
      <c r="C54" s="3" t="str">
        <f>IFERROR(__xludf.DUMMYFUNCTION("""COMPUTED_VALUE"""),"Utensílio")</f>
        <v>Utensílio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IFERROR(__xludf.DUMMYFUNCTION("""COMPUTED_VALUE"""),"Jaqueline")</f>
        <v>Jaqueline</v>
      </c>
      <c r="G54" s="3" t="str">
        <f>IFERROR(__xludf.DUMMYFUNCTION("""COMPUTED_VALUE"""),"Cliente pediu gelo pra colocar junto com o café trincou a caneca ")</f>
        <v>Cliente pediu gelo pra colocar junto com o café trincou a caneca </v>
      </c>
    </row>
    <row r="55">
      <c r="A55" s="2">
        <f>IFERROR(__xludf.DUMMYFUNCTION("""COMPUTED_VALUE"""),46062.0)</f>
        <v>46062</v>
      </c>
      <c r="B55" s="3" t="str">
        <f>IFERROR(__xludf.DUMMYFUNCTION("""COMPUTED_VALUE"""),"latte simples")</f>
        <v>latte simples</v>
      </c>
      <c r="C55" s="3" t="str">
        <f>IFERROR(__xludf.DUMMYFUNCTION("""COMPUTED_VALUE"""),"Produto final")</f>
        <v>Produto final</v>
      </c>
      <c r="D55" s="3">
        <f>IFERROR(__xludf.DUMMYFUNCTION("""COMPUTED_VALUE"""),1.0)</f>
        <v>1</v>
      </c>
      <c r="E55" s="3" t="str">
        <f>IFERROR(__xludf.DUMMYFUNCTION("""COMPUTED_VALUE"""),"Erro de processo")</f>
        <v>Erro de processo</v>
      </c>
      <c r="F55" s="3" t="str">
        <f>IFERROR(__xludf.DUMMYFUNCTION("""COMPUTED_VALUE"""),"Fátima")</f>
        <v>Fátima</v>
      </c>
      <c r="G55" s="3" t="str">
        <f>IFERROR(__xludf.DUMMYFUNCTION("""COMPUTED_VALUE"""),"fez com o leite errado.")</f>
        <v>fez com o leite errado.</v>
      </c>
    </row>
    <row r="56">
      <c r="A56" s="2">
        <f>IFERROR(__xludf.DUMMYFUNCTION("""COMPUTED_VALUE"""),46062.0)</f>
        <v>46062</v>
      </c>
      <c r="B56" s="3" t="str">
        <f>IFERROR(__xludf.DUMMYFUNCTION("""COMPUTED_VALUE"""),"xicara pequena")</f>
        <v>xicara pequena</v>
      </c>
      <c r="C56" s="3" t="str">
        <f>IFERROR(__xludf.DUMMYFUNCTION("""COMPUTED_VALUE"""),"Utensílio")</f>
        <v>Utensílio</v>
      </c>
      <c r="D56" s="3">
        <f>IFERROR(__xludf.DUMMYFUNCTION("""COMPUTED_VALUE"""),1.0)</f>
        <v>1</v>
      </c>
      <c r="E56" s="3" t="str">
        <f>IFERROR(__xludf.DUMMYFUNCTION("""COMPUTED_VALUE"""),"Quebra")</f>
        <v>Quebra</v>
      </c>
      <c r="F56" s="3" t="str">
        <f>IFERROR(__xludf.DUMMYFUNCTION("""COMPUTED_VALUE"""),"Fábio")</f>
        <v>Fábio</v>
      </c>
      <c r="G56" s="3" t="str">
        <f>IFERROR(__xludf.DUMMYFUNCTION("""COMPUTED_VALUE"""),"alça quebrou na minha mao")</f>
        <v>alça quebrou na minha mao</v>
      </c>
    </row>
    <row r="57">
      <c r="A57" s="2">
        <f>IFERROR(__xludf.DUMMYFUNCTION("""COMPUTED_VALUE"""),46062.0)</f>
        <v>46062</v>
      </c>
      <c r="B57" s="3" t="str">
        <f>IFERROR(__xludf.DUMMYFUNCTION("""COMPUTED_VALUE"""),"Manjericão ")</f>
        <v>Manjericão </v>
      </c>
      <c r="C57" s="3" t="str">
        <f>IFERROR(__xludf.DUMMYFUNCTION("""COMPUTED_VALUE"""),"Hortifruti")</f>
        <v>Hortifruti</v>
      </c>
      <c r="D57" s="3" t="str">
        <f>IFERROR(__xludf.DUMMYFUNCTION("""COMPUTED_VALUE"""),"0,320g")</f>
        <v>0,320g</v>
      </c>
      <c r="E57" s="3" t="str">
        <f>IFERROR(__xludf.DUMMYFUNCTION("""COMPUTED_VALUE"""),"Venceu (Validade)")</f>
        <v>Venceu (Validade)</v>
      </c>
      <c r="F57" s="3" t="str">
        <f>IFERROR(__xludf.DUMMYFUNCTION("""COMPUTED_VALUE"""),"Jesiana")</f>
        <v>Jesiana</v>
      </c>
      <c r="G57" s="3" t="str">
        <f>IFERROR(__xludf.DUMMYFUNCTION("""COMPUTED_VALUE"""),"N")</f>
        <v>N</v>
      </c>
    </row>
    <row r="58">
      <c r="A58" s="2">
        <f>IFERROR(__xludf.DUMMYFUNCTION("""COMPUTED_VALUE"""),46061.0)</f>
        <v>46061</v>
      </c>
      <c r="B58" s="3" t="str">
        <f>IFERROR(__xludf.DUMMYFUNCTION("""COMPUTED_VALUE"""),"Tomate")</f>
        <v>Tomate</v>
      </c>
      <c r="C58" s="3" t="str">
        <f>IFERROR(__xludf.DUMMYFUNCTION("""COMPUTED_VALUE"""),"Hortifruti")</f>
        <v>Hortifruti</v>
      </c>
      <c r="D58" s="3" t="str">
        <f>IFERROR(__xludf.DUMMYFUNCTION("""COMPUTED_VALUE"""),"35g")</f>
        <v>35g</v>
      </c>
      <c r="E58" s="3" t="str">
        <f>IFERROR(__xludf.DUMMYFUNCTION("""COMPUTED_VALUE"""),"Venceu (Validade)")</f>
        <v>Venceu (Validade)</v>
      </c>
      <c r="F58" s="3" t="str">
        <f>IFERROR(__xludf.DUMMYFUNCTION("""COMPUTED_VALUE"""),"Naiane")</f>
        <v>Naiane</v>
      </c>
      <c r="G58" s="3" t="str">
        <f>IFERROR(__xludf.DUMMYFUNCTION("""COMPUTED_VALUE"""),"Estragado")</f>
        <v>Estragado</v>
      </c>
    </row>
    <row r="59">
      <c r="A59" s="2">
        <f>IFERROR(__xludf.DUMMYFUNCTION("""COMPUTED_VALUE"""),46061.0)</f>
        <v>46061</v>
      </c>
      <c r="B59" s="3" t="str">
        <f>IFERROR(__xludf.DUMMYFUNCTION("""COMPUTED_VALUE"""),"Ovo")</f>
        <v>Ovo</v>
      </c>
      <c r="C59" s="3" t="str">
        <f>IFERROR(__xludf.DUMMYFUNCTION("""COMPUTED_VALUE"""),"Insumo")</f>
        <v>Insumo</v>
      </c>
      <c r="D59" s="3">
        <f>IFERROR(__xludf.DUMMYFUNCTION("""COMPUTED_VALUE"""),1.0)</f>
        <v>1</v>
      </c>
      <c r="E59" s="3" t="str">
        <f>IFERROR(__xludf.DUMMYFUNCTION("""COMPUTED_VALUE"""),"Venceu (Validade)")</f>
        <v>Venceu (Validade)</v>
      </c>
      <c r="F59" s="3" t="str">
        <f>IFERROR(__xludf.DUMMYFUNCTION("""COMPUTED_VALUE"""),"Naiane")</f>
        <v>Naiane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IFERROR(__xludf.DUMMYFUNCTION("""COMPUTED_VALUE"""),46063.0)</f>
        <v>46063</v>
      </c>
      <c r="B60" s="3" t="str">
        <f>IFERROR(__xludf.DUMMYFUNCTION("""COMPUTED_VALUE"""),"Matcha Gelado")</f>
        <v>Matcha Gelado</v>
      </c>
      <c r="C60" s="3" t="str">
        <f>IFERROR(__xludf.DUMMYFUNCTION("""COMPUTED_VALUE"""),"Produto final")</f>
        <v>Produto final</v>
      </c>
      <c r="D60" s="3">
        <f>IFERROR(__xludf.DUMMYFUNCTION("""COMPUTED_VALUE"""),1.0)</f>
        <v>1</v>
      </c>
      <c r="E60" s="3" t="str">
        <f>IFERROR(__xludf.DUMMYFUNCTION("""COMPUTED_VALUE"""),"Erro de processo")</f>
        <v>Erro de processo</v>
      </c>
      <c r="F60" s="3" t="str">
        <f>IFERROR(__xludf.DUMMYFUNCTION("""COMPUTED_VALUE"""),"David")</f>
        <v>David</v>
      </c>
      <c r="G60" s="3" t="str">
        <f>IFERROR(__xludf.DUMMYFUNCTION("""COMPUTED_VALUE"""),"Fez errado ")</f>
        <v>Fez errado </v>
      </c>
    </row>
    <row r="61">
      <c r="A61" s="2">
        <f>IFERROR(__xludf.DUMMYFUNCTION("""COMPUTED_VALUE"""),46063.0)</f>
        <v>46063</v>
      </c>
      <c r="B61" s="3" t="str">
        <f>IFERROR(__xludf.DUMMYFUNCTION("""COMPUTED_VALUE"""),"Rúcula ")</f>
        <v>Rúcula </v>
      </c>
      <c r="C61" s="3" t="str">
        <f>IFERROR(__xludf.DUMMYFUNCTION("""COMPUTED_VALUE"""),"Hortifruti")</f>
        <v>Hortifruti</v>
      </c>
      <c r="D61" s="3">
        <f>IFERROR(__xludf.DUMMYFUNCTION("""COMPUTED_VALUE"""),0.07)</f>
        <v>0.07</v>
      </c>
      <c r="E61" s="3" t="str">
        <f>IFERROR(__xludf.DUMMYFUNCTION("""COMPUTED_VALUE"""),"Venceu (Validade)")</f>
        <v>Venceu (Validade)</v>
      </c>
      <c r="F61" s="3" t="str">
        <f>IFERROR(__xludf.DUMMYFUNCTION("""COMPUTED_VALUE"""),"Naiane")</f>
        <v>Naiane</v>
      </c>
      <c r="G61" s="3" t="str">
        <f>IFERROR(__xludf.DUMMYFUNCTION("""COMPUTED_VALUE"""),"Amarelado")</f>
        <v>Amarelado</v>
      </c>
    </row>
    <row r="62">
      <c r="A62" s="2">
        <f>IFERROR(__xludf.DUMMYFUNCTION("""COMPUTED_VALUE"""),46064.0)</f>
        <v>46064</v>
      </c>
      <c r="B62" s="3" t="str">
        <f>IFERROR(__xludf.DUMMYFUNCTION("""COMPUTED_VALUE"""),"Espresso simples")</f>
        <v>Espresso simples</v>
      </c>
      <c r="C62" s="3" t="str">
        <f>IFERROR(__xludf.DUMMYFUNCTION("""COMPUTED_VALUE"""),"Produto final")</f>
        <v>Produto final</v>
      </c>
      <c r="D62" s="3">
        <f>IFERROR(__xludf.DUMMYFUNCTION("""COMPUTED_VALUE"""),1.0)</f>
        <v>1</v>
      </c>
      <c r="E62" s="3" t="str">
        <f>IFERROR(__xludf.DUMMYFUNCTION("""COMPUTED_VALUE"""),"Lançamento errado")</f>
        <v>Lançamento errado</v>
      </c>
      <c r="F62" s="3" t="str">
        <f>IFERROR(__xludf.DUMMYFUNCTION("""COMPUTED_VALUE"""),"Fátima")</f>
        <v>Fátima</v>
      </c>
      <c r="G62" s="3" t="str">
        <f>IFERROR(__xludf.DUMMYFUNCTION("""COMPUTED_VALUE""")," ")</f>
        <v> </v>
      </c>
    </row>
    <row r="63">
      <c r="A63" s="2">
        <f>IFERROR(__xludf.DUMMYFUNCTION("""COMPUTED_VALUE"""),46064.0)</f>
        <v>46064</v>
      </c>
      <c r="B63" s="3" t="str">
        <f>IFERROR(__xludf.DUMMYFUNCTION("""COMPUTED_VALUE"""),"Latte simples")</f>
        <v>Latte simples</v>
      </c>
      <c r="C63" s="3" t="str">
        <f>IFERROR(__xludf.DUMMYFUNCTION("""COMPUTED_VALUE"""),"Produto final")</f>
        <v>Produto final</v>
      </c>
      <c r="D63" s="3">
        <f>IFERROR(__xludf.DUMMYFUNCTION("""COMPUTED_VALUE"""),1.0)</f>
        <v>1</v>
      </c>
      <c r="E63" s="3" t="str">
        <f>IFERROR(__xludf.DUMMYFUNCTION("""COMPUTED_VALUE"""),"Lançamento errado")</f>
        <v>Lançamento errado</v>
      </c>
      <c r="F63" s="3" t="str">
        <f>IFERROR(__xludf.DUMMYFUNCTION("""COMPUTED_VALUE"""),"Fátima")</f>
        <v>Fátima</v>
      </c>
      <c r="G63" s="3" t="str">
        <f>IFERROR(__xludf.DUMMYFUNCTION("""COMPUTED_VALUE""")," ")</f>
        <v> </v>
      </c>
    </row>
    <row r="64">
      <c r="A64" s="2">
        <f>IFERROR(__xludf.DUMMYFUNCTION("""COMPUTED_VALUE"""),46064.0)</f>
        <v>46064</v>
      </c>
      <c r="B64" s="3" t="str">
        <f>IFERROR(__xludf.DUMMYFUNCTION("""COMPUTED_VALUE"""),"Alface")</f>
        <v>Alface</v>
      </c>
      <c r="C64" s="3" t="str">
        <f>IFERROR(__xludf.DUMMYFUNCTION("""COMPUTED_VALUE"""),"Hortifruti")</f>
        <v>Hortifruti</v>
      </c>
      <c r="D64" s="3" t="str">
        <f>IFERROR(__xludf.DUMMYFUNCTION("""COMPUTED_VALUE"""),"290g")</f>
        <v>290g</v>
      </c>
      <c r="E64" s="3" t="str">
        <f>IFERROR(__xludf.DUMMYFUNCTION("""COMPUTED_VALUE"""),"Venceu (Validade)")</f>
        <v>Venceu (Validade)</v>
      </c>
      <c r="F64" s="3" t="str">
        <f>IFERROR(__xludf.DUMMYFUNCTION("""COMPUTED_VALUE"""),"Jesiana")</f>
        <v>Jesiana</v>
      </c>
      <c r="G64" s="3" t="str">
        <f>IFERROR(__xludf.DUMMYFUNCTION("""COMPUTED_VALUE""")," ")</f>
        <v> </v>
      </c>
    </row>
    <row r="65">
      <c r="A65" s="2">
        <f>IFERROR(__xludf.DUMMYFUNCTION("""COMPUTED_VALUE"""),46064.0)</f>
        <v>46064</v>
      </c>
      <c r="B65" s="3" t="str">
        <f>IFERROR(__xludf.DUMMYFUNCTION("""COMPUTED_VALUE"""),"Rúcula")</f>
        <v>Rúcula</v>
      </c>
      <c r="C65" s="3" t="str">
        <f>IFERROR(__xludf.DUMMYFUNCTION("""COMPUTED_VALUE"""),"Hortifruti")</f>
        <v>Hortifruti</v>
      </c>
      <c r="D65" s="3" t="str">
        <f>IFERROR(__xludf.DUMMYFUNCTION("""COMPUTED_VALUE"""),"61g")</f>
        <v>61g</v>
      </c>
      <c r="E65" s="3" t="str">
        <f>IFERROR(__xludf.DUMMYFUNCTION("""COMPUTED_VALUE"""),"Venceu (Validade)")</f>
        <v>Venceu (Validade)</v>
      </c>
      <c r="F65" s="3" t="str">
        <f>IFERROR(__xludf.DUMMYFUNCTION("""COMPUTED_VALUE"""),"Jesiana")</f>
        <v>Jesiana</v>
      </c>
      <c r="G65" s="3" t="str">
        <f>IFERROR(__xludf.DUMMYFUNCTION("""COMPUTED_VALUE""")," ")</f>
        <v> </v>
      </c>
    </row>
    <row r="66">
      <c r="A66" s="2">
        <f>IFERROR(__xludf.DUMMYFUNCTION("""COMPUTED_VALUE"""),46064.0)</f>
        <v>46064</v>
      </c>
      <c r="B66" s="3" t="str">
        <f>IFERROR(__xludf.DUMMYFUNCTION("""COMPUTED_VALUE"""),"Ovo")</f>
        <v>Ovo</v>
      </c>
      <c r="C66" s="3" t="str">
        <f>IFERROR(__xludf.DUMMYFUNCTION("""COMPUTED_VALUE"""),"Insumo")</f>
        <v>Insumo</v>
      </c>
      <c r="D66" s="3">
        <f>IFERROR(__xludf.DUMMYFUNCTION("""COMPUTED_VALUE"""),1.0)</f>
        <v>1</v>
      </c>
      <c r="E66" s="3" t="str">
        <f>IFERROR(__xludf.DUMMYFUNCTION("""COMPUTED_VALUE"""),"Venceu (Validade)")</f>
        <v>Venceu (Validade)</v>
      </c>
      <c r="F66" s="3" t="str">
        <f>IFERROR(__xludf.DUMMYFUNCTION("""COMPUTED_VALUE"""),"Jesiana")</f>
        <v>Jesiana</v>
      </c>
      <c r="G66" s="3" t="str">
        <f>IFERROR(__xludf.DUMMYFUNCTION("""COMPUTED_VALUE"""),"Podre")</f>
        <v>Podre</v>
      </c>
    </row>
    <row r="67">
      <c r="A67" s="2">
        <f>IFERROR(__xludf.DUMMYFUNCTION("""COMPUTED_VALUE"""),46067.0)</f>
        <v>46067</v>
      </c>
      <c r="B67" s="3" t="str">
        <f>IFERROR(__xludf.DUMMYFUNCTION("""COMPUTED_VALUE"""),"Alface")</f>
        <v>Alface</v>
      </c>
      <c r="C67" s="3" t="str">
        <f>IFERROR(__xludf.DUMMYFUNCTION("""COMPUTED_VALUE"""),"Hortifruti")</f>
        <v>Hortifruti</v>
      </c>
      <c r="D67" s="3">
        <f>IFERROR(__xludf.DUMMYFUNCTION("""COMPUTED_VALUE"""),0.14)</f>
        <v>0.14</v>
      </c>
      <c r="E67" s="3" t="str">
        <f>IFERROR(__xludf.DUMMYFUNCTION("""COMPUTED_VALUE"""),"Venceu (Validade)")</f>
        <v>Venceu (Validade)</v>
      </c>
      <c r="F67" s="3" t="str">
        <f>IFERROR(__xludf.DUMMYFUNCTION("""COMPUTED_VALUE"""),"Jesiana")</f>
        <v>Jesiana</v>
      </c>
      <c r="G67" s="3" t="str">
        <f>IFERROR(__xludf.DUMMYFUNCTION("""COMPUTED_VALUE"""),"Amarelada")</f>
        <v>Amarelada</v>
      </c>
    </row>
    <row r="68">
      <c r="A68" s="2">
        <f>IFERROR(__xludf.DUMMYFUNCTION("""COMPUTED_VALUE"""),46067.0)</f>
        <v>46067</v>
      </c>
      <c r="B68" s="3" t="str">
        <f>IFERROR(__xludf.DUMMYFUNCTION("""COMPUTED_VALUE"""),"Manjericão ")</f>
        <v>Manjericão </v>
      </c>
      <c r="C68" s="3" t="str">
        <f>IFERROR(__xludf.DUMMYFUNCTION("""COMPUTED_VALUE"""),"Hortifruti")</f>
        <v>Hortifruti</v>
      </c>
      <c r="D68" s="3">
        <f>IFERROR(__xludf.DUMMYFUNCTION("""COMPUTED_VALUE"""),0.03)</f>
        <v>0.03</v>
      </c>
      <c r="E68" s="3" t="str">
        <f>IFERROR(__xludf.DUMMYFUNCTION("""COMPUTED_VALUE"""),"Venceu (Validade)")</f>
        <v>Venceu (Validade)</v>
      </c>
      <c r="F68" s="3" t="str">
        <f>IFERROR(__xludf.DUMMYFUNCTION("""COMPUTED_VALUE"""),"Jesiana")</f>
        <v>Jesiana</v>
      </c>
      <c r="G68" s="3" t="str">
        <f>IFERROR(__xludf.DUMMYFUNCTION("""COMPUTED_VALUE"""),"Ruim")</f>
        <v>Ruim</v>
      </c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  <row r="134">
      <c r="A134" s="3"/>
      <c r="B134" s="3"/>
      <c r="C134" s="3"/>
      <c r="D134" s="3"/>
      <c r="E134" s="3"/>
      <c r="F134" s="3"/>
      <c r="G134" s="3"/>
    </row>
    <row r="135">
      <c r="A135" s="3"/>
      <c r="B135" s="3"/>
      <c r="C135" s="3"/>
      <c r="D135" s="3"/>
      <c r="E135" s="3"/>
      <c r="F135" s="3"/>
      <c r="G135" s="3"/>
    </row>
    <row r="136">
      <c r="A136" s="3"/>
      <c r="B136" s="3"/>
      <c r="C136" s="3"/>
      <c r="D136" s="3"/>
      <c r="E136" s="3"/>
      <c r="F136" s="3"/>
      <c r="G136" s="3"/>
    </row>
    <row r="137">
      <c r="A137" s="3"/>
      <c r="B137" s="3"/>
      <c r="C137" s="3"/>
      <c r="D137" s="3"/>
      <c r="E137" s="3"/>
      <c r="F137" s="3"/>
      <c r="G137" s="3"/>
    </row>
    <row r="138">
      <c r="A138" s="3"/>
      <c r="B138" s="3"/>
      <c r="C138" s="3"/>
      <c r="D138" s="3"/>
      <c r="E138" s="3"/>
      <c r="F138" s="3"/>
      <c r="G138" s="3"/>
    </row>
    <row r="139">
      <c r="A139" s="3"/>
      <c r="B139" s="3"/>
      <c r="C139" s="3"/>
      <c r="D139" s="3"/>
      <c r="E139" s="3"/>
      <c r="F139" s="3"/>
      <c r="G139" s="3"/>
    </row>
    <row r="140">
      <c r="A140" s="3"/>
      <c r="B140" s="3"/>
      <c r="C140" s="3"/>
      <c r="D140" s="3"/>
      <c r="E140" s="3"/>
      <c r="F140" s="3"/>
      <c r="G140" s="3"/>
    </row>
    <row r="141">
      <c r="A141" s="3"/>
      <c r="B141" s="3"/>
      <c r="C141" s="3"/>
      <c r="D141" s="3"/>
      <c r="E141" s="3"/>
      <c r="F141" s="3"/>
      <c r="G141" s="3"/>
    </row>
    <row r="142">
      <c r="A142" s="3"/>
      <c r="B142" s="3"/>
      <c r="C142" s="3"/>
      <c r="D142" s="3"/>
      <c r="E142" s="3"/>
      <c r="F142" s="3"/>
      <c r="G142" s="3"/>
    </row>
    <row r="143">
      <c r="A143" s="3"/>
      <c r="B143" s="3"/>
      <c r="C143" s="3"/>
      <c r="D143" s="3"/>
      <c r="E143" s="3"/>
      <c r="F143" s="3"/>
      <c r="G143" s="3"/>
    </row>
    <row r="144">
      <c r="A144" s="3"/>
      <c r="B144" s="3"/>
      <c r="C144" s="3"/>
      <c r="D144" s="3"/>
      <c r="E144" s="3"/>
      <c r="F144" s="3"/>
      <c r="G144" s="3"/>
    </row>
    <row r="145">
      <c r="A145" s="3"/>
      <c r="B145" s="3"/>
      <c r="C145" s="3"/>
      <c r="D145" s="3"/>
      <c r="E145" s="3"/>
      <c r="F145" s="3"/>
      <c r="G145" s="3"/>
    </row>
    <row r="146">
      <c r="A146" s="3"/>
      <c r="B146" s="3"/>
      <c r="C146" s="3"/>
      <c r="D146" s="3"/>
      <c r="E146" s="3"/>
      <c r="F146" s="3"/>
      <c r="G146" s="3"/>
    </row>
    <row r="147">
      <c r="A147" s="3"/>
      <c r="B147" s="3"/>
      <c r="C147" s="3"/>
      <c r="D147" s="3"/>
      <c r="E147" s="3"/>
      <c r="F147" s="3"/>
      <c r="G147" s="3"/>
    </row>
    <row r="148">
      <c r="A148" s="3"/>
      <c r="B148" s="3"/>
      <c r="C148" s="3"/>
      <c r="D148" s="3"/>
      <c r="E148" s="3"/>
      <c r="F148" s="3"/>
      <c r="G148" s="3"/>
    </row>
    <row r="149">
      <c r="A149" s="3"/>
      <c r="B149" s="3"/>
      <c r="C149" s="3"/>
      <c r="D149" s="3"/>
      <c r="E149" s="3"/>
      <c r="F149" s="3"/>
      <c r="G149" s="3"/>
    </row>
    <row r="150">
      <c r="A150" s="3"/>
      <c r="B150" s="3"/>
      <c r="C150" s="3"/>
      <c r="D150" s="3"/>
      <c r="E150" s="3"/>
      <c r="F150" s="3"/>
      <c r="G150" s="3"/>
    </row>
    <row r="151">
      <c r="A151" s="3"/>
      <c r="B151" s="3"/>
      <c r="C151" s="3"/>
      <c r="D151" s="3"/>
      <c r="E151" s="3"/>
      <c r="F151" s="3"/>
      <c r="G151" s="3"/>
    </row>
    <row r="152">
      <c r="A152" s="3"/>
      <c r="B152" s="3"/>
      <c r="C152" s="3"/>
      <c r="D152" s="3"/>
      <c r="E152" s="3"/>
      <c r="F152" s="3"/>
      <c r="G152" s="3"/>
    </row>
    <row r="153">
      <c r="A153" s="3"/>
      <c r="B153" s="3"/>
      <c r="C153" s="3"/>
      <c r="D153" s="3"/>
      <c r="E153" s="3"/>
      <c r="F153" s="3"/>
      <c r="G153" s="3"/>
    </row>
    <row r="154">
      <c r="A154" s="3"/>
      <c r="B154" s="3"/>
      <c r="C154" s="3"/>
      <c r="D154" s="3"/>
      <c r="E154" s="3"/>
      <c r="F154" s="3"/>
      <c r="G154" s="3"/>
    </row>
    <row r="155">
      <c r="A155" s="3"/>
      <c r="B155" s="3"/>
      <c r="C155" s="3"/>
      <c r="D155" s="3"/>
      <c r="E155" s="3"/>
      <c r="F155" s="3"/>
      <c r="G155" s="3"/>
    </row>
    <row r="156">
      <c r="A156" s="3"/>
      <c r="B156" s="3"/>
      <c r="C156" s="3"/>
      <c r="D156" s="3"/>
      <c r="E156" s="3"/>
      <c r="F156" s="3"/>
      <c r="G156" s="3"/>
    </row>
    <row r="157">
      <c r="A157" s="3"/>
      <c r="B157" s="3"/>
      <c r="C157" s="3"/>
      <c r="D157" s="3"/>
      <c r="E157" s="3"/>
      <c r="F157" s="3"/>
      <c r="G157" s="3"/>
    </row>
    <row r="158">
      <c r="A158" s="3"/>
      <c r="B158" s="3"/>
      <c r="C158" s="3"/>
      <c r="D158" s="3"/>
      <c r="E158" s="3"/>
      <c r="F158" s="3"/>
      <c r="G158" s="3"/>
    </row>
    <row r="159">
      <c r="A159" s="3"/>
      <c r="B159" s="3"/>
      <c r="C159" s="3"/>
      <c r="D159" s="3"/>
      <c r="E159" s="3"/>
      <c r="F159" s="3"/>
      <c r="G159" s="3"/>
    </row>
    <row r="160">
      <c r="A160" s="3"/>
      <c r="B160" s="3"/>
      <c r="C160" s="3"/>
      <c r="D160" s="3"/>
      <c r="E160" s="3"/>
      <c r="F160" s="3"/>
      <c r="G160" s="3"/>
    </row>
    <row r="161">
      <c r="A161" s="3"/>
      <c r="B161" s="3"/>
      <c r="C161" s="3"/>
      <c r="D161" s="3"/>
      <c r="E161" s="3"/>
      <c r="F161" s="3"/>
      <c r="G161" s="3"/>
    </row>
    <row r="162">
      <c r="A162" s="3"/>
      <c r="B162" s="3"/>
      <c r="C162" s="3"/>
      <c r="D162" s="3"/>
      <c r="E162" s="3"/>
      <c r="F162" s="3"/>
      <c r="G162" s="3"/>
    </row>
    <row r="163">
      <c r="A163" s="3"/>
      <c r="B163" s="3"/>
      <c r="C163" s="3"/>
      <c r="D163" s="3"/>
      <c r="E163" s="3"/>
      <c r="F163" s="3"/>
      <c r="G163" s="3"/>
    </row>
    <row r="164">
      <c r="A164" s="3"/>
      <c r="B164" s="3"/>
      <c r="C164" s="3"/>
      <c r="D164" s="3"/>
      <c r="E164" s="3"/>
      <c r="F164" s="3"/>
      <c r="G164" s="3"/>
    </row>
    <row r="165">
      <c r="A165" s="3"/>
      <c r="B165" s="3"/>
      <c r="C165" s="3"/>
      <c r="D165" s="3"/>
      <c r="E165" s="3"/>
      <c r="F165" s="3"/>
      <c r="G165" s="3"/>
    </row>
    <row r="166">
      <c r="A166" s="3"/>
      <c r="B166" s="3"/>
      <c r="C166" s="3"/>
      <c r="D166" s="3"/>
      <c r="E166" s="3"/>
      <c r="F166" s="3"/>
      <c r="G166" s="3"/>
    </row>
    <row r="167">
      <c r="A167" s="3"/>
      <c r="B167" s="3"/>
      <c r="C167" s="3"/>
      <c r="D167" s="3"/>
      <c r="E167" s="3"/>
      <c r="F167" s="3"/>
      <c r="G167" s="3"/>
    </row>
    <row r="168">
      <c r="A168" s="3"/>
      <c r="B168" s="3"/>
      <c r="C168" s="3"/>
      <c r="D168" s="3"/>
      <c r="E168" s="3"/>
      <c r="F168" s="3"/>
      <c r="G168" s="3"/>
    </row>
  </sheetData>
  <drawing r:id="rId1"/>
</worksheet>
</file>