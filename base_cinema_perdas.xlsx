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IFERROR(__xludf.DUMMYFUNCTION("""COMPUTED_VALUE"""),46063.0)</f>
        <v>46063</v>
      </c>
      <c r="B60" s="3" t="str">
        <f>IFERROR(__xludf.DUMMYFUNCTION("""COMPUTED_VALUE"""),"Matcha Gelado")</f>
        <v>Matcha Gelado</v>
      </c>
      <c r="C60" s="3" t="str">
        <f>IFERROR(__xludf.DUMMYFUNCTION("""COMPUTED_VALUE"""),"Produto final")</f>
        <v>Produto final</v>
      </c>
      <c r="D60" s="3">
        <f>IFERROR(__xludf.DUMMYFUNCTION("""COMPUTED_VALUE"""),1.0)</f>
        <v>1</v>
      </c>
      <c r="E60" s="3" t="str">
        <f>IFERROR(__xludf.DUMMYFUNCTION("""COMPUTED_VALUE"""),"Erro de processo")</f>
        <v>Erro de processo</v>
      </c>
      <c r="F60" s="3" t="str">
        <f>IFERROR(__xludf.DUMMYFUNCTION("""COMPUTED_VALUE"""),"David")</f>
        <v>David</v>
      </c>
      <c r="G60" s="3" t="str">
        <f>IFERROR(__xludf.DUMMYFUNCTION("""COMPUTED_VALUE"""),"Fez errado ")</f>
        <v>Fez errado </v>
      </c>
    </row>
    <row r="61">
      <c r="A61" s="2">
        <f>IFERROR(__xludf.DUMMYFUNCTION("""COMPUTED_VALUE"""),46063.0)</f>
        <v>46063</v>
      </c>
      <c r="B61" s="3" t="str">
        <f>IFERROR(__xludf.DUMMYFUNCTION("""COMPUTED_VALUE"""),"Rúcula ")</f>
        <v>Rúcula </v>
      </c>
      <c r="C61" s="3" t="str">
        <f>IFERROR(__xludf.DUMMYFUNCTION("""COMPUTED_VALUE"""),"Hortifruti")</f>
        <v>Hortifruti</v>
      </c>
      <c r="D61" s="3">
        <f>IFERROR(__xludf.DUMMYFUNCTION("""COMPUTED_VALUE"""),0.07)</f>
        <v>0.07</v>
      </c>
      <c r="E61" s="3" t="str">
        <f>IFERROR(__xludf.DUMMYFUNCTION("""COMPUTED_VALUE"""),"Venceu (Validade)")</f>
        <v>Venceu (Validade)</v>
      </c>
      <c r="F61" s="3" t="str">
        <f>IFERROR(__xludf.DUMMYFUNCTION("""COMPUTED_VALUE"""),"Naiane")</f>
        <v>Naiane</v>
      </c>
      <c r="G61" s="3" t="str">
        <f>IFERROR(__xludf.DUMMYFUNCTION("""COMPUTED_VALUE"""),"Amarelado")</f>
        <v>Amarelado</v>
      </c>
    </row>
    <row r="62">
      <c r="A62" s="2">
        <f>IFERROR(__xludf.DUMMYFUNCTION("""COMPUTED_VALUE"""),46064.0)</f>
        <v>46064</v>
      </c>
      <c r="B62" s="3" t="str">
        <f>IFERROR(__xludf.DUMMYFUNCTION("""COMPUTED_VALUE"""),"Espresso simples")</f>
        <v>Espresso simples</v>
      </c>
      <c r="C62" s="3" t="str">
        <f>IFERROR(__xludf.DUMMYFUNCTION("""COMPUTED_VALUE"""),"Produto final")</f>
        <v>Produto final</v>
      </c>
      <c r="D62" s="3">
        <f>IFERROR(__xludf.DUMMYFUNCTION("""COMPUTED_VALUE"""),1.0)</f>
        <v>1</v>
      </c>
      <c r="E62" s="3" t="str">
        <f>IFERROR(__xludf.DUMMYFUNCTION("""COMPUTED_VALUE"""),"Lançamento errado")</f>
        <v>Lançamento errado</v>
      </c>
      <c r="F62" s="3" t="str">
        <f>IFERROR(__xludf.DUMMYFUNCTION("""COMPUTED_VALUE"""),"Fátima")</f>
        <v>Fátima</v>
      </c>
      <c r="G62" s="3" t="str">
        <f>IFERROR(__xludf.DUMMYFUNCTION("""COMPUTED_VALUE""")," ")</f>
        <v> </v>
      </c>
    </row>
    <row r="63">
      <c r="A63" s="2">
        <f>IFERROR(__xludf.DUMMYFUNCTION("""COMPUTED_VALUE"""),46064.0)</f>
        <v>46064</v>
      </c>
      <c r="B63" s="3" t="str">
        <f>IFERROR(__xludf.DUMMYFUNCTION("""COMPUTED_VALUE"""),"Latte simples")</f>
        <v>Latte simples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IFERROR(__xludf.DUMMYFUNCTION("""COMPUTED_VALUE"""),"Lançamento errado")</f>
        <v>Lançamento errado</v>
      </c>
      <c r="F63" s="3" t="str">
        <f>IFERROR(__xludf.DUMMYFUNCTION("""COMPUTED_VALUE"""),"Fátima")</f>
        <v>Fátima</v>
      </c>
      <c r="G63" s="3" t="str">
        <f>IFERROR(__xludf.DUMMYFUNCTION("""COMPUTED_VALUE""")," ")</f>
        <v> </v>
      </c>
    </row>
    <row r="64">
      <c r="A64" s="2">
        <f>IFERROR(__xludf.DUMMYFUNCTION("""COMPUTED_VALUE"""),46064.0)</f>
        <v>46064</v>
      </c>
      <c r="B64" s="3" t="str">
        <f>IFERROR(__xludf.DUMMYFUNCTION("""COMPUTED_VALUE"""),"Alface")</f>
        <v>Alface</v>
      </c>
      <c r="C64" s="3" t="str">
        <f>IFERROR(__xludf.DUMMYFUNCTION("""COMPUTED_VALUE"""),"Hortifruti")</f>
        <v>Hortifruti</v>
      </c>
      <c r="D64" s="3" t="str">
        <f>IFERROR(__xludf.DUMMYFUNCTION("""COMPUTED_VALUE"""),"290g")</f>
        <v>290g</v>
      </c>
      <c r="E64" s="3" t="str">
        <f>IFERROR(__xludf.DUMMYFUNCTION("""COMPUTED_VALUE"""),"Venceu (Validade)")</f>
        <v>Venceu (Validade)</v>
      </c>
      <c r="F64" s="3" t="str">
        <f>IFERROR(__xludf.DUMMYFUNCTION("""COMPUTED_VALUE"""),"Jesiana")</f>
        <v>Jesiana</v>
      </c>
      <c r="G64" s="3" t="str">
        <f>IFERROR(__xludf.DUMMYFUNCTION("""COMPUTED_VALUE""")," ")</f>
        <v> </v>
      </c>
    </row>
    <row r="65">
      <c r="A65" s="2">
        <f>IFERROR(__xludf.DUMMYFUNCTION("""COMPUTED_VALUE"""),46064.0)</f>
        <v>46064</v>
      </c>
      <c r="B65" s="3" t="str">
        <f>IFERROR(__xludf.DUMMYFUNCTION("""COMPUTED_VALUE"""),"Rúcula")</f>
        <v>Rúcula</v>
      </c>
      <c r="C65" s="3" t="str">
        <f>IFERROR(__xludf.DUMMYFUNCTION("""COMPUTED_VALUE"""),"Hortifruti")</f>
        <v>Hortifruti</v>
      </c>
      <c r="D65" s="3" t="str">
        <f>IFERROR(__xludf.DUMMYFUNCTION("""COMPUTED_VALUE"""),"61g")</f>
        <v>61g</v>
      </c>
      <c r="E65" s="3" t="str">
        <f>IFERROR(__xludf.DUMMYFUNCTION("""COMPUTED_VALUE"""),"Venceu (Validade)")</f>
        <v>Venceu (Validade)</v>
      </c>
      <c r="F65" s="3" t="str">
        <f>IFERROR(__xludf.DUMMYFUNCTION("""COMPUTED_VALUE"""),"Jesiana")</f>
        <v>Jesiana</v>
      </c>
      <c r="G65" s="3" t="str">
        <f>IFERROR(__xludf.DUMMYFUNCTION("""COMPUTED_VALUE""")," ")</f>
        <v> </v>
      </c>
    </row>
    <row r="66">
      <c r="A66" s="2">
        <f>IFERROR(__xludf.DUMMYFUNCTION("""COMPUTED_VALUE"""),46064.0)</f>
        <v>46064</v>
      </c>
      <c r="B66" s="3" t="str">
        <f>IFERROR(__xludf.DUMMYFUNCTION("""COMPUTED_VALUE"""),"Ovo")</f>
        <v>Ovo</v>
      </c>
      <c r="C66" s="3" t="str">
        <f>IFERROR(__xludf.DUMMYFUNCTION("""COMPUTED_VALUE"""),"Insumo")</f>
        <v>Insumo</v>
      </c>
      <c r="D66" s="3">
        <f>IFERROR(__xludf.DUMMYFUNCTION("""COMPUTED_VALUE"""),1.0)</f>
        <v>1</v>
      </c>
      <c r="E66" s="3" t="str">
        <f>IFERROR(__xludf.DUMMYFUNCTION("""COMPUTED_VALUE"""),"Venceu (Validade)")</f>
        <v>Venceu (Validade)</v>
      </c>
      <c r="F66" s="3" t="str">
        <f>IFERROR(__xludf.DUMMYFUNCTION("""COMPUTED_VALUE"""),"Jesiana")</f>
        <v>Jesiana</v>
      </c>
      <c r="G66" s="3" t="str">
        <f>IFERROR(__xludf.DUMMYFUNCTION("""COMPUTED_VALUE"""),"Podre")</f>
        <v>Podre</v>
      </c>
    </row>
    <row r="67">
      <c r="A67" s="2">
        <f>IFERROR(__xludf.DUMMYFUNCTION("""COMPUTED_VALUE"""),46067.0)</f>
        <v>46067</v>
      </c>
      <c r="B67" s="3" t="str">
        <f>IFERROR(__xludf.DUMMYFUNCTION("""COMPUTED_VALUE"""),"Alface")</f>
        <v>Alface</v>
      </c>
      <c r="C67" s="3" t="str">
        <f>IFERROR(__xludf.DUMMYFUNCTION("""COMPUTED_VALUE"""),"Hortifruti")</f>
        <v>Hortifruti</v>
      </c>
      <c r="D67" s="3">
        <f>IFERROR(__xludf.DUMMYFUNCTION("""COMPUTED_VALUE"""),0.14)</f>
        <v>0.14</v>
      </c>
      <c r="E67" s="3" t="str">
        <f>IFERROR(__xludf.DUMMYFUNCTION("""COMPUTED_VALUE"""),"Venceu (Validade)")</f>
        <v>Venceu (Validade)</v>
      </c>
      <c r="F67" s="3" t="str">
        <f>IFERROR(__xludf.DUMMYFUNCTION("""COMPUTED_VALUE"""),"Jesiana")</f>
        <v>Jesiana</v>
      </c>
      <c r="G67" s="3" t="str">
        <f>IFERROR(__xludf.DUMMYFUNCTION("""COMPUTED_VALUE"""),"Amarelada")</f>
        <v>Amarelada</v>
      </c>
    </row>
    <row r="68">
      <c r="A68" s="2">
        <f>IFERROR(__xludf.DUMMYFUNCTION("""COMPUTED_VALUE"""),46067.0)</f>
        <v>46067</v>
      </c>
      <c r="B68" s="3" t="str">
        <f>IFERROR(__xludf.DUMMYFUNCTION("""COMPUTED_VALUE"""),"Manjericão ")</f>
        <v>Manjericão </v>
      </c>
      <c r="C68" s="3" t="str">
        <f>IFERROR(__xludf.DUMMYFUNCTION("""COMPUTED_VALUE"""),"Hortifruti")</f>
        <v>Hortifruti</v>
      </c>
      <c r="D68" s="3">
        <f>IFERROR(__xludf.DUMMYFUNCTION("""COMPUTED_VALUE"""),0.03)</f>
        <v>0.03</v>
      </c>
      <c r="E68" s="3" t="str">
        <f>IFERROR(__xludf.DUMMYFUNCTION("""COMPUTED_VALUE"""),"Venceu (Validade)")</f>
        <v>Venceu (Validade)</v>
      </c>
      <c r="F68" s="3" t="str">
        <f>IFERROR(__xludf.DUMMYFUNCTION("""COMPUTED_VALUE"""),"Jesiana")</f>
        <v>Jesiana</v>
      </c>
      <c r="G68" s="3" t="str">
        <f>IFERROR(__xludf.DUMMYFUNCTION("""COMPUTED_VALUE"""),"Ruim")</f>
        <v>Ruim</v>
      </c>
    </row>
    <row r="69">
      <c r="A69" s="2">
        <f>IFERROR(__xludf.DUMMYFUNCTION("""COMPUTED_VALUE"""),46068.0)</f>
        <v>46068</v>
      </c>
      <c r="B69" s="3" t="str">
        <f>IFERROR(__xludf.DUMMYFUNCTION("""COMPUTED_VALUE"""),"Rúcula ")</f>
        <v>Rúcula </v>
      </c>
      <c r="C69" s="3" t="str">
        <f>IFERROR(__xludf.DUMMYFUNCTION("""COMPUTED_VALUE"""),"Hortifruti")</f>
        <v>Hortifruti</v>
      </c>
      <c r="D69" s="3" t="str">
        <f>IFERROR(__xludf.DUMMYFUNCTION("""COMPUTED_VALUE"""),"0,121g")</f>
        <v>0,121g</v>
      </c>
      <c r="E69" s="3" t="str">
        <f>IFERROR(__xludf.DUMMYFUNCTION("""COMPUTED_VALUE"""),"Venceu (Validade)")</f>
        <v>Venceu (Validade)</v>
      </c>
      <c r="F69" s="3" t="str">
        <f>IFERROR(__xludf.DUMMYFUNCTION("""COMPUTED_VALUE"""),"Jesiana")</f>
        <v>Jesiana</v>
      </c>
      <c r="G69" s="3" t="str">
        <f>IFERROR(__xludf.DUMMYFUNCTION("""COMPUTED_VALUE"""),"N")</f>
        <v>N</v>
      </c>
    </row>
    <row r="70">
      <c r="A70" s="2">
        <f>IFERROR(__xludf.DUMMYFUNCTION("""COMPUTED_VALUE"""),46068.0)</f>
        <v>46068</v>
      </c>
      <c r="B70" s="3" t="str">
        <f>IFERROR(__xludf.DUMMYFUNCTION("""COMPUTED_VALUE"""),"Alface ")</f>
        <v>Alface </v>
      </c>
      <c r="C70" s="3" t="str">
        <f>IFERROR(__xludf.DUMMYFUNCTION("""COMPUTED_VALUE"""),"Hortifruti")</f>
        <v>Hortifruti</v>
      </c>
      <c r="D70" s="3" t="str">
        <f>IFERROR(__xludf.DUMMYFUNCTION("""COMPUTED_VALUE"""),"0,083g")</f>
        <v>0,083g</v>
      </c>
      <c r="E70" s="3" t="str">
        <f>IFERROR(__xludf.DUMMYFUNCTION("""COMPUTED_VALUE"""),"Venceu (Validade)")</f>
        <v>Venceu (Validade)</v>
      </c>
      <c r="F70" s="3" t="str">
        <f>IFERROR(__xludf.DUMMYFUNCTION("""COMPUTED_VALUE"""),"Jesiana")</f>
        <v>Jesiana</v>
      </c>
      <c r="G70" s="3" t="str">
        <f>IFERROR(__xludf.DUMMYFUNCTION("""COMPUTED_VALUE"""),"N")</f>
        <v>N</v>
      </c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  <row r="167">
      <c r="A167" s="3"/>
      <c r="B167" s="3"/>
      <c r="C167" s="3"/>
      <c r="D167" s="3"/>
      <c r="E167" s="3"/>
      <c r="F167" s="3"/>
      <c r="G167" s="3"/>
    </row>
    <row r="168">
      <c r="A168" s="3"/>
      <c r="B168" s="3"/>
      <c r="C168" s="3"/>
      <c r="D168" s="3"/>
      <c r="E168" s="3"/>
      <c r="F168" s="3"/>
      <c r="G168" s="3"/>
    </row>
    <row r="169">
      <c r="A169" s="3"/>
      <c r="B169" s="3"/>
      <c r="C169" s="3"/>
      <c r="D169" s="3"/>
      <c r="E169" s="3"/>
      <c r="F169" s="3"/>
      <c r="G169" s="3"/>
    </row>
    <row r="170">
      <c r="A170" s="3"/>
      <c r="B170" s="3"/>
      <c r="C170" s="3"/>
      <c r="D170" s="3"/>
      <c r="E170" s="3"/>
      <c r="F170" s="3"/>
      <c r="G170" s="3"/>
    </row>
  </sheetData>
  <drawing r:id="rId1"/>
</worksheet>
</file>