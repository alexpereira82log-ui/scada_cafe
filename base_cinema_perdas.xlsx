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2">
        <f>IFERROR(__xludf.DUMMYFUNCTION("""COMPUTED_VALUE"""),46058.0)</f>
        <v>46058</v>
      </c>
      <c r="B54" s="3" t="str">
        <f>IFERROR(__xludf.DUMMYFUNCTION("""COMPUTED_VALUE""")," caneca nadir de alça ")</f>
        <v> caneca nadir de alça </v>
      </c>
      <c r="C54" s="3" t="str">
        <f>IFERROR(__xludf.DUMMYFUNCTION("""COMPUTED_VALUE"""),"Utensílio")</f>
        <v>Utensílio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IFERROR(__xludf.DUMMYFUNCTION("""COMPUTED_VALUE"""),"Jaqueline")</f>
        <v>Jaqueline</v>
      </c>
      <c r="G54" s="3" t="str">
        <f>IFERROR(__xludf.DUMMYFUNCTION("""COMPUTED_VALUE"""),"Cliente pediu gelo pra colocar junto com o café trincou a caneca ")</f>
        <v>Cliente pediu gelo pra colocar junto com o café trincou a caneca </v>
      </c>
    </row>
    <row r="55">
      <c r="A55" s="2">
        <f>IFERROR(__xludf.DUMMYFUNCTION("""COMPUTED_VALUE"""),46062.0)</f>
        <v>46062</v>
      </c>
      <c r="B55" s="3" t="str">
        <f>IFERROR(__xludf.DUMMYFUNCTION("""COMPUTED_VALUE"""),"latte simples")</f>
        <v>latte simples</v>
      </c>
      <c r="C55" s="3" t="str">
        <f>IFERROR(__xludf.DUMMYFUNCTION("""COMPUTED_VALUE"""),"Produto final")</f>
        <v>Produto final</v>
      </c>
      <c r="D55" s="3">
        <f>IFERROR(__xludf.DUMMYFUNCTION("""COMPUTED_VALUE"""),1.0)</f>
        <v>1</v>
      </c>
      <c r="E55" s="3" t="str">
        <f>IFERROR(__xludf.DUMMYFUNCTION("""COMPUTED_VALUE"""),"Erro de processo")</f>
        <v>Erro de processo</v>
      </c>
      <c r="F55" s="3" t="str">
        <f>IFERROR(__xludf.DUMMYFUNCTION("""COMPUTED_VALUE"""),"Fátima")</f>
        <v>Fátima</v>
      </c>
      <c r="G55" s="3" t="str">
        <f>IFERROR(__xludf.DUMMYFUNCTION("""COMPUTED_VALUE"""),"fez com o leite errado.")</f>
        <v>fez com o leite errado.</v>
      </c>
    </row>
    <row r="56">
      <c r="A56" s="2">
        <f>IFERROR(__xludf.DUMMYFUNCTION("""COMPUTED_VALUE"""),46062.0)</f>
        <v>46062</v>
      </c>
      <c r="B56" s="3" t="str">
        <f>IFERROR(__xludf.DUMMYFUNCTION("""COMPUTED_VALUE"""),"xicara pequena")</f>
        <v>xicara pequena</v>
      </c>
      <c r="C56" s="3" t="str">
        <f>IFERROR(__xludf.DUMMYFUNCTION("""COMPUTED_VALUE"""),"Utensílio")</f>
        <v>Utensílio</v>
      </c>
      <c r="D56" s="3">
        <f>IFERROR(__xludf.DUMMYFUNCTION("""COMPUTED_VALUE"""),1.0)</f>
        <v>1</v>
      </c>
      <c r="E56" s="3" t="str">
        <f>IFERROR(__xludf.DUMMYFUNCTION("""COMPUTED_VALUE"""),"Quebra")</f>
        <v>Quebra</v>
      </c>
      <c r="F56" s="3" t="str">
        <f>IFERROR(__xludf.DUMMYFUNCTION("""COMPUTED_VALUE"""),"Fábio")</f>
        <v>Fábio</v>
      </c>
      <c r="G56" s="3" t="str">
        <f>IFERROR(__xludf.DUMMYFUNCTION("""COMPUTED_VALUE"""),"alça quebrou na minha mao")</f>
        <v>alça quebrou na minha mao</v>
      </c>
    </row>
    <row r="57">
      <c r="A57" s="2">
        <f>IFERROR(__xludf.DUMMYFUNCTION("""COMPUTED_VALUE"""),46062.0)</f>
        <v>46062</v>
      </c>
      <c r="B57" s="3" t="str">
        <f>IFERROR(__xludf.DUMMYFUNCTION("""COMPUTED_VALUE"""),"Manjericão ")</f>
        <v>Manjericão </v>
      </c>
      <c r="C57" s="3" t="str">
        <f>IFERROR(__xludf.DUMMYFUNCTION("""COMPUTED_VALUE"""),"Hortifruti")</f>
        <v>Hortifruti</v>
      </c>
      <c r="D57" s="3" t="str">
        <f>IFERROR(__xludf.DUMMYFUNCTION("""COMPUTED_VALUE"""),"0,320g")</f>
        <v>0,320g</v>
      </c>
      <c r="E57" s="3" t="str">
        <f>IFERROR(__xludf.DUMMYFUNCTION("""COMPUTED_VALUE"""),"Venceu (Validade)")</f>
        <v>Venceu (Validade)</v>
      </c>
      <c r="F57" s="3" t="str">
        <f>IFERROR(__xludf.DUMMYFUNCTION("""COMPUTED_VALUE"""),"Jesiana")</f>
        <v>Jesiana</v>
      </c>
      <c r="G57" s="3" t="str">
        <f>IFERROR(__xludf.DUMMYFUNCTION("""COMPUTED_VALUE"""),"N")</f>
        <v>N</v>
      </c>
    </row>
    <row r="58">
      <c r="A58" s="2">
        <f>IFERROR(__xludf.DUMMYFUNCTION("""COMPUTED_VALUE"""),46061.0)</f>
        <v>46061</v>
      </c>
      <c r="B58" s="3" t="str">
        <f>IFERROR(__xludf.DUMMYFUNCTION("""COMPUTED_VALUE"""),"Tomate")</f>
        <v>Tomate</v>
      </c>
      <c r="C58" s="3" t="str">
        <f>IFERROR(__xludf.DUMMYFUNCTION("""COMPUTED_VALUE"""),"Hortifruti")</f>
        <v>Hortifruti</v>
      </c>
      <c r="D58" s="3" t="str">
        <f>IFERROR(__xludf.DUMMYFUNCTION("""COMPUTED_VALUE"""),"35g")</f>
        <v>35g</v>
      </c>
      <c r="E58" s="3" t="str">
        <f>IFERROR(__xludf.DUMMYFUNCTION("""COMPUTED_VALUE"""),"Venceu (Validade)")</f>
        <v>Venceu (Validade)</v>
      </c>
      <c r="F58" s="3" t="str">
        <f>IFERROR(__xludf.DUMMYFUNCTION("""COMPUTED_VALUE"""),"Naiane")</f>
        <v>Naiane</v>
      </c>
      <c r="G58" s="3" t="str">
        <f>IFERROR(__xludf.DUMMYFUNCTION("""COMPUTED_VALUE"""),"Estragado")</f>
        <v>Estragado</v>
      </c>
    </row>
    <row r="59">
      <c r="A59" s="2">
        <f>IFERROR(__xludf.DUMMYFUNCTION("""COMPUTED_VALUE"""),46061.0)</f>
        <v>46061</v>
      </c>
      <c r="B59" s="3" t="str">
        <f>IFERROR(__xludf.DUMMYFUNCTION("""COMPUTED_VALUE"""),"Ovo")</f>
        <v>Ovo</v>
      </c>
      <c r="C59" s="3" t="str">
        <f>IFERROR(__xludf.DUMMYFUNCTION("""COMPUTED_VALUE"""),"Insumo")</f>
        <v>Insumo</v>
      </c>
      <c r="D59" s="3">
        <f>IFERROR(__xludf.DUMMYFUNCTION("""COMPUTED_VALUE"""),1.0)</f>
        <v>1</v>
      </c>
      <c r="E59" s="3" t="str">
        <f>IFERROR(__xludf.DUMMYFUNCTION("""COMPUTED_VALUE"""),"Venceu (Validade)")</f>
        <v>Venceu (Validade)</v>
      </c>
      <c r="F59" s="3" t="str">
        <f>IFERROR(__xludf.DUMMYFUNCTION("""COMPUTED_VALUE"""),"Naiane")</f>
        <v>Naiane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IFERROR(__xludf.DUMMYFUNCTION("""COMPUTED_VALUE"""),46063.0)</f>
        <v>46063</v>
      </c>
      <c r="B60" s="3" t="str">
        <f>IFERROR(__xludf.DUMMYFUNCTION("""COMPUTED_VALUE"""),"Matcha Gelado")</f>
        <v>Matcha Gelado</v>
      </c>
      <c r="C60" s="3" t="str">
        <f>IFERROR(__xludf.DUMMYFUNCTION("""COMPUTED_VALUE"""),"Produto final")</f>
        <v>Produto final</v>
      </c>
      <c r="D60" s="3">
        <f>IFERROR(__xludf.DUMMYFUNCTION("""COMPUTED_VALUE"""),1.0)</f>
        <v>1</v>
      </c>
      <c r="E60" s="3" t="str">
        <f>IFERROR(__xludf.DUMMYFUNCTION("""COMPUTED_VALUE"""),"Erro de processo")</f>
        <v>Erro de processo</v>
      </c>
      <c r="F60" s="3" t="str">
        <f>IFERROR(__xludf.DUMMYFUNCTION("""COMPUTED_VALUE"""),"David")</f>
        <v>David</v>
      </c>
      <c r="G60" s="3" t="str">
        <f>IFERROR(__xludf.DUMMYFUNCTION("""COMPUTED_VALUE"""),"Fez errado ")</f>
        <v>Fez errado </v>
      </c>
    </row>
    <row r="61">
      <c r="A61" s="2">
        <f>IFERROR(__xludf.DUMMYFUNCTION("""COMPUTED_VALUE"""),46063.0)</f>
        <v>46063</v>
      </c>
      <c r="B61" s="3" t="str">
        <f>IFERROR(__xludf.DUMMYFUNCTION("""COMPUTED_VALUE"""),"Rúcula ")</f>
        <v>Rúcula </v>
      </c>
      <c r="C61" s="3" t="str">
        <f>IFERROR(__xludf.DUMMYFUNCTION("""COMPUTED_VALUE"""),"Hortifruti")</f>
        <v>Hortifruti</v>
      </c>
      <c r="D61" s="3">
        <f>IFERROR(__xludf.DUMMYFUNCTION("""COMPUTED_VALUE"""),0.07)</f>
        <v>0.07</v>
      </c>
      <c r="E61" s="3" t="str">
        <f>IFERROR(__xludf.DUMMYFUNCTION("""COMPUTED_VALUE"""),"Venceu (Validade)")</f>
        <v>Venceu (Validade)</v>
      </c>
      <c r="F61" s="3" t="str">
        <f>IFERROR(__xludf.DUMMYFUNCTION("""COMPUTED_VALUE"""),"Naiane")</f>
        <v>Naiane</v>
      </c>
      <c r="G61" s="3" t="str">
        <f>IFERROR(__xludf.DUMMYFUNCTION("""COMPUTED_VALUE"""),"Amarelado")</f>
        <v>Amarelado</v>
      </c>
    </row>
    <row r="62">
      <c r="A62" s="2">
        <f>IFERROR(__xludf.DUMMYFUNCTION("""COMPUTED_VALUE"""),46064.0)</f>
        <v>46064</v>
      </c>
      <c r="B62" s="3" t="str">
        <f>IFERROR(__xludf.DUMMYFUNCTION("""COMPUTED_VALUE"""),"Espresso simples")</f>
        <v>Espresso simples</v>
      </c>
      <c r="C62" s="3" t="str">
        <f>IFERROR(__xludf.DUMMYFUNCTION("""COMPUTED_VALUE"""),"Produto final")</f>
        <v>Produto final</v>
      </c>
      <c r="D62" s="3">
        <f>IFERROR(__xludf.DUMMYFUNCTION("""COMPUTED_VALUE"""),1.0)</f>
        <v>1</v>
      </c>
      <c r="E62" s="3" t="str">
        <f>IFERROR(__xludf.DUMMYFUNCTION("""COMPUTED_VALUE"""),"Lançamento errado")</f>
        <v>Lançamento errado</v>
      </c>
      <c r="F62" s="3" t="str">
        <f>IFERROR(__xludf.DUMMYFUNCTION("""COMPUTED_VALUE"""),"Fátima")</f>
        <v>Fátima</v>
      </c>
      <c r="G62" s="3" t="str">
        <f>IFERROR(__xludf.DUMMYFUNCTION("""COMPUTED_VALUE""")," ")</f>
        <v> </v>
      </c>
    </row>
    <row r="63">
      <c r="A63" s="2">
        <f>IFERROR(__xludf.DUMMYFUNCTION("""COMPUTED_VALUE"""),46064.0)</f>
        <v>46064</v>
      </c>
      <c r="B63" s="3" t="str">
        <f>IFERROR(__xludf.DUMMYFUNCTION("""COMPUTED_VALUE"""),"Latte simples")</f>
        <v>Latte simples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IFERROR(__xludf.DUMMYFUNCTION("""COMPUTED_VALUE"""),"Lançamento errado")</f>
        <v>Lançamento errado</v>
      </c>
      <c r="F63" s="3" t="str">
        <f>IFERROR(__xludf.DUMMYFUNCTION("""COMPUTED_VALUE"""),"Fátima")</f>
        <v>Fátima</v>
      </c>
      <c r="G63" s="3" t="str">
        <f>IFERROR(__xludf.DUMMYFUNCTION("""COMPUTED_VALUE""")," ")</f>
        <v> </v>
      </c>
    </row>
    <row r="64">
      <c r="A64" s="2">
        <f>IFERROR(__xludf.DUMMYFUNCTION("""COMPUTED_VALUE"""),46064.0)</f>
        <v>46064</v>
      </c>
      <c r="B64" s="3" t="str">
        <f>IFERROR(__xludf.DUMMYFUNCTION("""COMPUTED_VALUE"""),"Alface")</f>
        <v>Alface</v>
      </c>
      <c r="C64" s="3" t="str">
        <f>IFERROR(__xludf.DUMMYFUNCTION("""COMPUTED_VALUE"""),"Hortifruti")</f>
        <v>Hortifruti</v>
      </c>
      <c r="D64" s="3" t="str">
        <f>IFERROR(__xludf.DUMMYFUNCTION("""COMPUTED_VALUE"""),"290g")</f>
        <v>290g</v>
      </c>
      <c r="E64" s="3" t="str">
        <f>IFERROR(__xludf.DUMMYFUNCTION("""COMPUTED_VALUE"""),"Venceu (Validade)")</f>
        <v>Venceu (Validade)</v>
      </c>
      <c r="F64" s="3" t="str">
        <f>IFERROR(__xludf.DUMMYFUNCTION("""COMPUTED_VALUE"""),"Jesiana")</f>
        <v>Jesiana</v>
      </c>
      <c r="G64" s="3" t="str">
        <f>IFERROR(__xludf.DUMMYFUNCTION("""COMPUTED_VALUE""")," ")</f>
        <v> </v>
      </c>
    </row>
    <row r="65">
      <c r="A65" s="2">
        <f>IFERROR(__xludf.DUMMYFUNCTION("""COMPUTED_VALUE"""),46064.0)</f>
        <v>46064</v>
      </c>
      <c r="B65" s="3" t="str">
        <f>IFERROR(__xludf.DUMMYFUNCTION("""COMPUTED_VALUE"""),"Rúcula")</f>
        <v>Rúcula</v>
      </c>
      <c r="C65" s="3" t="str">
        <f>IFERROR(__xludf.DUMMYFUNCTION("""COMPUTED_VALUE"""),"Hortifruti")</f>
        <v>Hortifruti</v>
      </c>
      <c r="D65" s="3" t="str">
        <f>IFERROR(__xludf.DUMMYFUNCTION("""COMPUTED_VALUE"""),"61g")</f>
        <v>61g</v>
      </c>
      <c r="E65" s="3" t="str">
        <f>IFERROR(__xludf.DUMMYFUNCTION("""COMPUTED_VALUE"""),"Venceu (Validade)")</f>
        <v>Venceu (Validade)</v>
      </c>
      <c r="F65" s="3" t="str">
        <f>IFERROR(__xludf.DUMMYFUNCTION("""COMPUTED_VALUE"""),"Jesiana")</f>
        <v>Jesiana</v>
      </c>
      <c r="G65" s="3" t="str">
        <f>IFERROR(__xludf.DUMMYFUNCTION("""COMPUTED_VALUE""")," ")</f>
        <v> </v>
      </c>
    </row>
    <row r="66">
      <c r="A66" s="2">
        <f>IFERROR(__xludf.DUMMYFUNCTION("""COMPUTED_VALUE"""),46064.0)</f>
        <v>46064</v>
      </c>
      <c r="B66" s="3" t="str">
        <f>IFERROR(__xludf.DUMMYFUNCTION("""COMPUTED_VALUE"""),"Ovo")</f>
        <v>Ovo</v>
      </c>
      <c r="C66" s="3" t="str">
        <f>IFERROR(__xludf.DUMMYFUNCTION("""COMPUTED_VALUE"""),"Insumo")</f>
        <v>Insumo</v>
      </c>
      <c r="D66" s="3">
        <f>IFERROR(__xludf.DUMMYFUNCTION("""COMPUTED_VALUE"""),1.0)</f>
        <v>1</v>
      </c>
      <c r="E66" s="3" t="str">
        <f>IFERROR(__xludf.DUMMYFUNCTION("""COMPUTED_VALUE"""),"Venceu (Validade)")</f>
        <v>Venceu (Validade)</v>
      </c>
      <c r="F66" s="3" t="str">
        <f>IFERROR(__xludf.DUMMYFUNCTION("""COMPUTED_VALUE"""),"Jesiana")</f>
        <v>Jesiana</v>
      </c>
      <c r="G66" s="3" t="str">
        <f>IFERROR(__xludf.DUMMYFUNCTION("""COMPUTED_VALUE"""),"Podre")</f>
        <v>Podre</v>
      </c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  <row r="160">
      <c r="A160" s="3"/>
      <c r="B160" s="3"/>
      <c r="C160" s="3"/>
      <c r="D160" s="3"/>
      <c r="E160" s="3"/>
      <c r="F160" s="3"/>
      <c r="G160" s="3"/>
    </row>
    <row r="161">
      <c r="A161" s="3"/>
      <c r="B161" s="3"/>
      <c r="C161" s="3"/>
      <c r="D161" s="3"/>
      <c r="E161" s="3"/>
      <c r="F161" s="3"/>
      <c r="G161" s="3"/>
    </row>
    <row r="162">
      <c r="A162" s="3"/>
      <c r="B162" s="3"/>
      <c r="C162" s="3"/>
      <c r="D162" s="3"/>
      <c r="E162" s="3"/>
      <c r="F162" s="3"/>
      <c r="G162" s="3"/>
    </row>
    <row r="163">
      <c r="A163" s="3"/>
      <c r="B163" s="3"/>
      <c r="C163" s="3"/>
      <c r="D163" s="3"/>
      <c r="E163" s="3"/>
      <c r="F163" s="3"/>
      <c r="G163" s="3"/>
    </row>
    <row r="164">
      <c r="A164" s="3"/>
      <c r="B164" s="3"/>
      <c r="C164" s="3"/>
      <c r="D164" s="3"/>
      <c r="E164" s="3"/>
      <c r="F164" s="3"/>
      <c r="G164" s="3"/>
    </row>
    <row r="165">
      <c r="A165" s="3"/>
      <c r="B165" s="3"/>
      <c r="C165" s="3"/>
      <c r="D165" s="3"/>
      <c r="E165" s="3"/>
      <c r="F165" s="3"/>
      <c r="G165" s="3"/>
    </row>
    <row r="166">
      <c r="A166" s="3"/>
      <c r="B166" s="3"/>
      <c r="C166" s="3"/>
      <c r="D166" s="3"/>
      <c r="E166" s="3"/>
      <c r="F166" s="3"/>
      <c r="G166" s="3"/>
    </row>
  </sheetData>
  <drawing r:id="rId1"/>
</worksheet>
</file>