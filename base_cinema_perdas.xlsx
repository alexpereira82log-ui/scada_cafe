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1" t="str">
        <f>IFERROR(__xludf.DUMMYFUNCTION("""COMPUTED_VALUE"""),"Shot ")</f>
        <v>Shot </v>
      </c>
      <c r="C9" s="1" t="str">
        <f>IFERROR(__xludf.DUMMYFUNCTION("""COMPUTED_VALUE"""),"Utensílio")</f>
        <v>Utensílio</v>
      </c>
      <c r="D9" s="1">
        <f>IFERROR(__xludf.DUMMYFUNCTION("""COMPUTED_VALUE"""),1.0)</f>
        <v>1</v>
      </c>
      <c r="E9" s="1" t="str">
        <f>IFERROR(__xludf.DUMMYFUNCTION("""COMPUTED_VALUE"""),"Quebra")</f>
        <v>Quebra</v>
      </c>
      <c r="F9" s="1" t="str">
        <f>IFERROR(__xludf.DUMMYFUNCTION("""COMPUTED_VALUE"""),"Fábio")</f>
        <v>Fábio</v>
      </c>
      <c r="G9" s="1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1" t="str">
        <f>IFERROR(__xludf.DUMMYFUNCTION("""COMPUTED_VALUE"""),"Rúcula ")</f>
        <v>Rúcula </v>
      </c>
      <c r="C10" s="1" t="str">
        <f>IFERROR(__xludf.DUMMYFUNCTION("""COMPUTED_VALUE"""),"Hortifruti")</f>
        <v>Hortifruti</v>
      </c>
      <c r="D10" s="1" t="str">
        <f>IFERROR(__xludf.DUMMYFUNCTION("""COMPUTED_VALUE"""),"15g")</f>
        <v>15g</v>
      </c>
      <c r="E10" s="1" t="str">
        <f>IFERROR(__xludf.DUMMYFUNCTION("""COMPUTED_VALUE"""),"Venceu (Validade)")</f>
        <v>Venceu (Validade)</v>
      </c>
      <c r="F10" s="1" t="str">
        <f>IFERROR(__xludf.DUMMYFUNCTION("""COMPUTED_VALUE"""),"Jesiana")</f>
        <v>Jesiana</v>
      </c>
      <c r="G10" s="1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1" t="str">
        <f>IFERROR(__xludf.DUMMYFUNCTION("""COMPUTED_VALUE"""),"Alface")</f>
        <v>Alface</v>
      </c>
      <c r="C11" s="1" t="str">
        <f>IFERROR(__xludf.DUMMYFUNCTION("""COMPUTED_VALUE"""),"Hortifruti")</f>
        <v>Hortifruti</v>
      </c>
      <c r="D11" s="1" t="str">
        <f>IFERROR(__xludf.DUMMYFUNCTION("""COMPUTED_VALUE"""),"10g")</f>
        <v>10g</v>
      </c>
      <c r="E11" s="1" t="str">
        <f>IFERROR(__xludf.DUMMYFUNCTION("""COMPUTED_VALUE"""),"Venceu (Validade)")</f>
        <v>Venceu (Validade)</v>
      </c>
      <c r="F11" s="1" t="str">
        <f>IFERROR(__xludf.DUMMYFUNCTION("""COMPUTED_VALUE"""),"Jesiana")</f>
        <v>Jesiana</v>
      </c>
      <c r="G11" s="1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1" t="str">
        <f>IFERROR(__xludf.DUMMYFUNCTION("""COMPUTED_VALUE"""),"Fatia de pão ")</f>
        <v>Fatia de pão </v>
      </c>
      <c r="C12" s="1" t="str">
        <f>IFERROR(__xludf.DUMMYFUNCTION("""COMPUTED_VALUE"""),"Insumo")</f>
        <v>Insumo</v>
      </c>
      <c r="D12" s="1">
        <f>IFERROR(__xludf.DUMMYFUNCTION("""COMPUTED_VALUE"""),1.0)</f>
        <v>1</v>
      </c>
      <c r="E12" s="1" t="str">
        <f>IFERROR(__xludf.DUMMYFUNCTION("""COMPUTED_VALUE"""),"Erro de processo")</f>
        <v>Erro de processo</v>
      </c>
      <c r="F12" s="1" t="str">
        <f>IFERROR(__xludf.DUMMYFUNCTION("""COMPUTED_VALUE"""),"Jesiana")</f>
        <v>Jesiana</v>
      </c>
      <c r="G12" s="1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1" t="str">
        <f>IFERROR(__xludf.DUMMYFUNCTION("""COMPUTED_VALUE"""),"Copo Shot")</f>
        <v>Copo Shot</v>
      </c>
      <c r="C13" s="1" t="str">
        <f>IFERROR(__xludf.DUMMYFUNCTION("""COMPUTED_VALUE"""),"Utensílio")</f>
        <v>Utensílio</v>
      </c>
      <c r="D13" s="1">
        <f>IFERROR(__xludf.DUMMYFUNCTION("""COMPUTED_VALUE"""),1.0)</f>
        <v>1</v>
      </c>
      <c r="E13" s="1" t="str">
        <f>IFERROR(__xludf.DUMMYFUNCTION("""COMPUTED_VALUE"""),"Quebra")</f>
        <v>Quebra</v>
      </c>
      <c r="F13" s="1" t="str">
        <f>IFERROR(__xludf.DUMMYFUNCTION("""COMPUTED_VALUE"""),"Jessyca")</f>
        <v>Jessyca</v>
      </c>
      <c r="G13" s="1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1" t="str">
        <f>IFERROR(__xludf.DUMMYFUNCTION("""COMPUTED_VALUE"""),"Misto Quente(Sem presunto)")</f>
        <v>Misto Quente(Sem presunto)</v>
      </c>
      <c r="C14" s="1" t="str">
        <f>IFERROR(__xludf.DUMMYFUNCTION("""COMPUTED_VALUE"""),"Produto final")</f>
        <v>Produto final</v>
      </c>
      <c r="D14" s="1">
        <f>IFERROR(__xludf.DUMMYFUNCTION("""COMPUTED_VALUE"""),1.0)</f>
        <v>1</v>
      </c>
      <c r="E14" s="1" t="str">
        <f>IFERROR(__xludf.DUMMYFUNCTION("""COMPUTED_VALUE"""),"Cliente")</f>
        <v>Cliente</v>
      </c>
      <c r="F14" s="1" t="str">
        <f>IFERROR(__xludf.DUMMYFUNCTION("""COMPUTED_VALUE"""),"Alexandro")</f>
        <v>Alexandro</v>
      </c>
      <c r="G14" s="1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1" t="str">
        <f>IFERROR(__xludf.DUMMYFUNCTION("""COMPUTED_VALUE"""),"Mini Chocobrownie")</f>
        <v>Mini Chocobrownie</v>
      </c>
      <c r="C15" s="1" t="str">
        <f>IFERROR(__xludf.DUMMYFUNCTION("""COMPUTED_VALUE"""),"Produto final")</f>
        <v>Produto final</v>
      </c>
      <c r="D15" s="1">
        <f>IFERROR(__xludf.DUMMYFUNCTION("""COMPUTED_VALUE"""),1.0)</f>
        <v>1</v>
      </c>
      <c r="E15" s="1" t="str">
        <f>IFERROR(__xludf.DUMMYFUNCTION("""COMPUTED_VALUE"""),"Venceu (Validade)")</f>
        <v>Venceu (Validade)</v>
      </c>
      <c r="F15" s="1" t="str">
        <f>IFERROR(__xludf.DUMMYFUNCTION("""COMPUTED_VALUE"""),"Jesiana")</f>
        <v>Jesiana</v>
      </c>
      <c r="G15" s="1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1" t="str">
        <f>IFERROR(__xludf.DUMMYFUNCTION("""COMPUTED_VALUE"""),"Rúcula ")</f>
        <v>Rúcula </v>
      </c>
      <c r="C16" s="1" t="str">
        <f>IFERROR(__xludf.DUMMYFUNCTION("""COMPUTED_VALUE"""),"Hortifruti")</f>
        <v>Hortifruti</v>
      </c>
      <c r="D16" s="1" t="str">
        <f>IFERROR(__xludf.DUMMYFUNCTION("""COMPUTED_VALUE"""),"158g")</f>
        <v>158g</v>
      </c>
      <c r="E16" s="1" t="str">
        <f>IFERROR(__xludf.DUMMYFUNCTION("""COMPUTED_VALUE"""),"Venceu (Validade)")</f>
        <v>Venceu (Validade)</v>
      </c>
      <c r="F16" s="1" t="str">
        <f>IFERROR(__xludf.DUMMYFUNCTION("""COMPUTED_VALUE"""),"Jesiana")</f>
        <v>Jesiana</v>
      </c>
      <c r="G16" s="1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1" t="str">
        <f>IFERROR(__xludf.DUMMYFUNCTION("""COMPUTED_VALUE"""),"Manjericão ")</f>
        <v>Manjericão </v>
      </c>
      <c r="C17" s="1" t="str">
        <f>IFERROR(__xludf.DUMMYFUNCTION("""COMPUTED_VALUE"""),"Hortifruti")</f>
        <v>Hortifruti</v>
      </c>
      <c r="D17" s="1" t="str">
        <f>IFERROR(__xludf.DUMMYFUNCTION("""COMPUTED_VALUE"""),"244g")</f>
        <v>244g</v>
      </c>
      <c r="E17" s="1" t="str">
        <f>IFERROR(__xludf.DUMMYFUNCTION("""COMPUTED_VALUE"""),"Venceu (Validade)")</f>
        <v>Venceu (Validade)</v>
      </c>
      <c r="F17" s="1" t="str">
        <f>IFERROR(__xludf.DUMMYFUNCTION("""COMPUTED_VALUE"""),"Jesiana")</f>
        <v>Jesiana</v>
      </c>
      <c r="G17" s="1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1" t="str">
        <f>IFERROR(__xludf.DUMMYFUNCTION("""COMPUTED_VALUE"""),"Tomate cereja ")</f>
        <v>Tomate cereja </v>
      </c>
      <c r="C18" s="1" t="str">
        <f>IFERROR(__xludf.DUMMYFUNCTION("""COMPUTED_VALUE"""),"Hortifruti")</f>
        <v>Hortifruti</v>
      </c>
      <c r="D18" s="1" t="str">
        <f>IFERROR(__xludf.DUMMYFUNCTION("""COMPUTED_VALUE"""),"8g")</f>
        <v>8g</v>
      </c>
      <c r="E18" s="1" t="str">
        <f>IFERROR(__xludf.DUMMYFUNCTION("""COMPUTED_VALUE"""),"Venceu (Validade)")</f>
        <v>Venceu (Validade)</v>
      </c>
      <c r="F18" s="1" t="str">
        <f>IFERROR(__xludf.DUMMYFUNCTION("""COMPUTED_VALUE"""),"Jesiana")</f>
        <v>Jesiana</v>
      </c>
      <c r="G18" s="1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1" t="str">
        <f>IFERROR(__xludf.DUMMYFUNCTION("""COMPUTED_VALUE"""),"Copo Grande")</f>
        <v>Copo Grande</v>
      </c>
      <c r="C19" s="1" t="str">
        <f>IFERROR(__xludf.DUMMYFUNCTION("""COMPUTED_VALUE"""),"Utensílio")</f>
        <v>Utensílio</v>
      </c>
      <c r="D19" s="1">
        <f>IFERROR(__xludf.DUMMYFUNCTION("""COMPUTED_VALUE"""),1.0)</f>
        <v>1</v>
      </c>
      <c r="E19" s="1" t="str">
        <f>IFERROR(__xludf.DUMMYFUNCTION("""COMPUTED_VALUE"""),"Quebra")</f>
        <v>Quebra</v>
      </c>
      <c r="F19" s="1" t="str">
        <f>IFERROR(__xludf.DUMMYFUNCTION("""COMPUTED_VALUE"""),"David")</f>
        <v>David</v>
      </c>
      <c r="G19" s="1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1" t="str">
        <f>IFERROR(__xludf.DUMMYFUNCTION("""COMPUTED_VALUE"""),"Brigadeiro Pistache")</f>
        <v>Brigadeiro Pistache</v>
      </c>
      <c r="C20" s="1" t="str">
        <f>IFERROR(__xludf.DUMMYFUNCTION("""COMPUTED_VALUE"""),"Produto final")</f>
        <v>Produto final</v>
      </c>
      <c r="D20" s="1">
        <f>IFERROR(__xludf.DUMMYFUNCTION("""COMPUTED_VALUE"""),1.0)</f>
        <v>1</v>
      </c>
      <c r="E20" s="1" t="str">
        <f>IFERROR(__xludf.DUMMYFUNCTION("""COMPUTED_VALUE"""),"Erro de processo")</f>
        <v>Erro de processo</v>
      </c>
      <c r="F20" s="1" t="str">
        <f>IFERROR(__xludf.DUMMYFUNCTION("""COMPUTED_VALUE"""),"Naiane")</f>
        <v>Naiane</v>
      </c>
      <c r="G20" s="1" t="str">
        <f>IFERROR(__xludf.DUMMYFUNCTION("""COMPUTED_VALUE"""),"Deixou cair")</f>
        <v>Deixou cair</v>
      </c>
    </row>
    <row r="21">
      <c r="A21" s="1"/>
      <c r="B21" s="1"/>
      <c r="C21" s="1"/>
      <c r="D21" s="1"/>
      <c r="E21" s="1"/>
      <c r="F21" s="1"/>
      <c r="G21" s="1"/>
    </row>
    <row r="22">
      <c r="A22" s="1"/>
      <c r="B22" s="1"/>
      <c r="C22" s="1"/>
      <c r="D22" s="1"/>
      <c r="E22" s="1"/>
      <c r="F22" s="1"/>
      <c r="G22" s="1"/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  <row r="109">
      <c r="A109" s="1"/>
      <c r="B109" s="1"/>
      <c r="C109" s="1"/>
      <c r="D109" s="1"/>
      <c r="E109" s="1"/>
      <c r="F109" s="1"/>
      <c r="G109" s="1"/>
    </row>
    <row r="110">
      <c r="A110" s="1"/>
      <c r="B110" s="1"/>
      <c r="C110" s="1"/>
      <c r="D110" s="1"/>
      <c r="E110" s="1"/>
      <c r="F110" s="1"/>
      <c r="G110" s="1"/>
    </row>
    <row r="111">
      <c r="A111" s="1"/>
      <c r="B111" s="1"/>
      <c r="C111" s="1"/>
      <c r="D111" s="1"/>
      <c r="E111" s="1"/>
      <c r="F111" s="1"/>
      <c r="G111" s="1"/>
    </row>
    <row r="112">
      <c r="A112" s="1"/>
      <c r="B112" s="1"/>
      <c r="C112" s="1"/>
      <c r="D112" s="1"/>
      <c r="E112" s="1"/>
      <c r="F112" s="1"/>
      <c r="G112" s="1"/>
    </row>
    <row r="113">
      <c r="A113" s="1"/>
      <c r="B113" s="1"/>
      <c r="C113" s="1"/>
      <c r="D113" s="1"/>
      <c r="E113" s="1"/>
      <c r="F113" s="1"/>
      <c r="G113" s="1"/>
    </row>
    <row r="114">
      <c r="A114" s="1"/>
      <c r="B114" s="1"/>
      <c r="C114" s="1"/>
      <c r="D114" s="1"/>
      <c r="E114" s="1"/>
      <c r="F114" s="1"/>
      <c r="G114" s="1"/>
    </row>
    <row r="115">
      <c r="A115" s="1"/>
      <c r="B115" s="1"/>
      <c r="C115" s="1"/>
      <c r="D115" s="1"/>
      <c r="E115" s="1"/>
      <c r="F115" s="1"/>
      <c r="G115" s="1"/>
    </row>
    <row r="116">
      <c r="A116" s="1"/>
      <c r="B116" s="1"/>
      <c r="C116" s="1"/>
      <c r="D116" s="1"/>
      <c r="E116" s="1"/>
      <c r="F116" s="1"/>
      <c r="G116" s="1"/>
    </row>
    <row r="117">
      <c r="A117" s="1"/>
      <c r="B117" s="1"/>
      <c r="C117" s="1"/>
      <c r="D117" s="1"/>
      <c r="E117" s="1"/>
      <c r="F117" s="1"/>
      <c r="G117" s="1"/>
    </row>
    <row r="118">
      <c r="A118" s="1"/>
      <c r="B118" s="1"/>
      <c r="C118" s="1"/>
      <c r="D118" s="1"/>
      <c r="E118" s="1"/>
      <c r="F118" s="1"/>
      <c r="G118" s="1"/>
    </row>
    <row r="119">
      <c r="A119" s="1"/>
      <c r="B119" s="1"/>
      <c r="C119" s="1"/>
      <c r="D119" s="1"/>
      <c r="E119" s="1"/>
      <c r="F119" s="1"/>
      <c r="G119" s="1"/>
    </row>
    <row r="120">
      <c r="A120" s="1"/>
      <c r="B120" s="1"/>
      <c r="C120" s="1"/>
      <c r="D120" s="1"/>
      <c r="E120" s="1"/>
      <c r="F120" s="1"/>
      <c r="G120" s="1"/>
    </row>
  </sheetData>
  <drawing r:id="rId1"/>
</worksheet>
</file>