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IFERROR(__xludf.DUMMYFUNCTION("""COMPUTED_VALUE"""),2.0)</f>
        <v>2</v>
      </c>
      <c r="E3" s="6">
        <f>IFERROR(__xludf.DUMMYFUNCTION("""COMPUTED_VALUE"""),6007.9)</f>
        <v>6007.9</v>
      </c>
      <c r="F3" s="6">
        <f>IFERROR(__xludf.DUMMYFUNCTION("""COMPUTED_VALUE"""),6096.75)</f>
        <v>6096.75</v>
      </c>
      <c r="G3" s="1">
        <f>IFERROR(__xludf.DUMMYFUNCTION("""COMPUTED_VALUE"""),143.0)</f>
        <v>143</v>
      </c>
      <c r="H3" s="6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IFERROR(__xludf.DUMMYFUNCTION("""COMPUTED_VALUE"""),1.0)</f>
        <v>1</v>
      </c>
      <c r="E4" s="6">
        <f>IFERROR(__xludf.DUMMYFUNCTION("""COMPUTED_VALUE"""),6033.58)</f>
        <v>6033.58</v>
      </c>
      <c r="F4" s="6">
        <f>IFERROR(__xludf.DUMMYFUNCTION("""COMPUTED_VALUE"""),5850.0)</f>
        <v>5850</v>
      </c>
      <c r="G4" s="1">
        <f>IFERROR(__xludf.DUMMYFUNCTION("""COMPUTED_VALUE"""),158.0)</f>
        <v>158</v>
      </c>
      <c r="H4" s="6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IFERROR(__xludf.DUMMYFUNCTION("""COMPUTED_VALUE"""),2.0)</f>
        <v>2</v>
      </c>
      <c r="E5" s="6">
        <f>IFERROR(__xludf.DUMMYFUNCTION("""COMPUTED_VALUE"""),7208.74)</f>
        <v>7208.74</v>
      </c>
      <c r="F5" s="6">
        <f>IFERROR(__xludf.DUMMYFUNCTION("""COMPUTED_VALUE"""),7527.45)</f>
        <v>7527.45</v>
      </c>
      <c r="G5" s="1">
        <f>IFERROR(__xludf.DUMMYFUNCTION("""COMPUTED_VALUE"""),169.0)</f>
        <v>169</v>
      </c>
      <c r="H5" s="6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IFERROR(__xludf.DUMMYFUNCTION("""COMPUTED_VALUE"""),1.0)</f>
        <v>1</v>
      </c>
      <c r="E6" s="6">
        <f>IFERROR(__xludf.DUMMYFUNCTION("""COMPUTED_VALUE"""),5881.26)</f>
        <v>5881.26</v>
      </c>
      <c r="F6" s="6">
        <f>IFERROR(__xludf.DUMMYFUNCTION("""COMPUTED_VALUE"""),4886.0)</f>
        <v>4886</v>
      </c>
      <c r="G6" s="1">
        <f>IFERROR(__xludf.DUMMYFUNCTION("""COMPUTED_VALUE"""),125.0)</f>
        <v>125</v>
      </c>
      <c r="H6" s="6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IFERROR(__xludf.DUMMYFUNCTION("""COMPUTED_VALUE"""),2.0)</f>
        <v>2</v>
      </c>
      <c r="E7" s="6">
        <f>IFERROR(__xludf.DUMMYFUNCTION("""COMPUTED_VALUE"""),5809.39)</f>
        <v>5809.39</v>
      </c>
      <c r="F7" s="6">
        <f>IFERROR(__xludf.DUMMYFUNCTION("""COMPUTED_VALUE"""),5933.06)</f>
        <v>5933.06</v>
      </c>
      <c r="G7" s="1">
        <f>IFERROR(__xludf.DUMMYFUNCTION("""COMPUTED_VALUE"""),139.0)</f>
        <v>139</v>
      </c>
      <c r="H7" s="6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IFERROR(__xludf.DUMMYFUNCTION("""COMPUTED_VALUE"""),1.0)</f>
        <v>1</v>
      </c>
      <c r="E8" s="6">
        <f>IFERROR(__xludf.DUMMYFUNCTION("""COMPUTED_VALUE"""),5688.36)</f>
        <v>5688.36</v>
      </c>
      <c r="F8" s="6">
        <f>IFERROR(__xludf.DUMMYFUNCTION("""COMPUTED_VALUE"""),5132.5)</f>
        <v>5132.5</v>
      </c>
      <c r="G8" s="1">
        <f>IFERROR(__xludf.DUMMYFUNCTION("""COMPUTED_VALUE"""),131.0)</f>
        <v>131</v>
      </c>
      <c r="H8" s="6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IFERROR(__xludf.DUMMYFUNCTION("""COMPUTED_VALUE"""),2.0)</f>
        <v>2</v>
      </c>
      <c r="E9" s="6">
        <f>IFERROR(__xludf.DUMMYFUNCTION("""COMPUTED_VALUE"""),5940.6)</f>
        <v>5940.6</v>
      </c>
      <c r="F9" s="6">
        <f>IFERROR(__xludf.DUMMYFUNCTION("""COMPUTED_VALUE"""),6015.0)</f>
        <v>6015</v>
      </c>
      <c r="G9" s="1">
        <f>IFERROR(__xludf.DUMMYFUNCTION("""COMPUTED_VALUE"""),145.0)</f>
        <v>145</v>
      </c>
      <c r="H9" s="6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IFERROR(__xludf.DUMMYFUNCTION("""COMPUTED_VALUE"""),1.0)</f>
        <v>1</v>
      </c>
      <c r="E10" s="6">
        <f>IFERROR(__xludf.DUMMYFUNCTION("""COMPUTED_VALUE"""),6007.9)</f>
        <v>6007.9</v>
      </c>
      <c r="F10" s="6">
        <f>IFERROR(__xludf.DUMMYFUNCTION("""COMPUTED_VALUE"""),6265.0)</f>
        <v>6265</v>
      </c>
      <c r="G10" s="1">
        <f>IFERROR(__xludf.DUMMYFUNCTION("""COMPUTED_VALUE"""),159.0)</f>
        <v>159</v>
      </c>
      <c r="H10" s="6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IFERROR(__xludf.DUMMYFUNCTION("""COMPUTED_VALUE"""),2.0)</f>
        <v>2</v>
      </c>
      <c r="E11" s="6">
        <f>IFERROR(__xludf.DUMMYFUNCTION("""COMPUTED_VALUE"""),6033.58)</f>
        <v>6033.58</v>
      </c>
      <c r="F11" s="6">
        <f>IFERROR(__xludf.DUMMYFUNCTION("""COMPUTED_VALUE"""),5753.0)</f>
        <v>5753</v>
      </c>
      <c r="G11" s="1">
        <f>IFERROR(__xludf.DUMMYFUNCTION("""COMPUTED_VALUE"""),135.0)</f>
        <v>135</v>
      </c>
      <c r="H11" s="6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IFERROR(__xludf.DUMMYFUNCTION("""COMPUTED_VALUE"""),1.0)</f>
        <v>1</v>
      </c>
      <c r="E12" s="6">
        <f>IFERROR(__xludf.DUMMYFUNCTION("""COMPUTED_VALUE"""),7208.74)</f>
        <v>7208.74</v>
      </c>
      <c r="F12" s="6">
        <f>IFERROR(__xludf.DUMMYFUNCTION("""COMPUTED_VALUE"""),6762.0)</f>
        <v>6762</v>
      </c>
      <c r="G12" s="1">
        <f>IFERROR(__xludf.DUMMYFUNCTION("""COMPUTED_VALUE"""),146.0)</f>
        <v>146</v>
      </c>
      <c r="H12" s="6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IFERROR(__xludf.DUMMYFUNCTION("""COMPUTED_VALUE"""),2.0)</f>
        <v>2</v>
      </c>
      <c r="E13" s="6">
        <f>IFERROR(__xludf.DUMMYFUNCTION("""COMPUTED_VALUE"""),5881.26)</f>
        <v>5881.26</v>
      </c>
      <c r="F13" s="6">
        <f>IFERROR(__xludf.DUMMYFUNCTION("""COMPUTED_VALUE"""),5729.35)</f>
        <v>5729.35</v>
      </c>
      <c r="G13" s="1">
        <f>IFERROR(__xludf.DUMMYFUNCTION("""COMPUTED_VALUE"""),121.0)</f>
        <v>121</v>
      </c>
      <c r="H13" s="6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IFERROR(__xludf.DUMMYFUNCTION("""COMPUTED_VALUE"""),1.0)</f>
        <v>1</v>
      </c>
      <c r="E14" s="6">
        <f>IFERROR(__xludf.DUMMYFUNCTION("""COMPUTED_VALUE"""),5809.39)</f>
        <v>5809.39</v>
      </c>
      <c r="F14" s="6">
        <f>IFERROR(__xludf.DUMMYFUNCTION("""COMPUTED_VALUE"""),7313.02)</f>
        <v>7313.02</v>
      </c>
      <c r="G14" s="1">
        <f>IFERROR(__xludf.DUMMYFUNCTION("""COMPUTED_VALUE"""),166.0)</f>
        <v>166</v>
      </c>
      <c r="H14" s="6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IFERROR(__xludf.DUMMYFUNCTION("""COMPUTED_VALUE"""),2.0)</f>
        <v>2</v>
      </c>
      <c r="E15" s="6">
        <f>IFERROR(__xludf.DUMMYFUNCTION("""COMPUTED_VALUE"""),5688.36)</f>
        <v>5688.36</v>
      </c>
      <c r="F15" s="6">
        <f>IFERROR(__xludf.DUMMYFUNCTION("""COMPUTED_VALUE"""),5872.75)</f>
        <v>5872.75</v>
      </c>
      <c r="G15" s="1">
        <f>IFERROR(__xludf.DUMMYFUNCTION("""COMPUTED_VALUE"""),132.0)</f>
        <v>132</v>
      </c>
      <c r="H15" s="6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IFERROR(__xludf.DUMMYFUNCTION("""COMPUTED_VALUE"""),1.0)</f>
        <v>1</v>
      </c>
      <c r="E16" s="6">
        <f>IFERROR(__xludf.DUMMYFUNCTION("""COMPUTED_VALUE"""),5940.6)</f>
        <v>5940.6</v>
      </c>
      <c r="F16" s="6">
        <f>IFERROR(__xludf.DUMMYFUNCTION("""COMPUTED_VALUE"""),6019.0)</f>
        <v>6019</v>
      </c>
      <c r="G16" s="1">
        <f>IFERROR(__xludf.DUMMYFUNCTION("""COMPUTED_VALUE"""),149.0)</f>
        <v>149</v>
      </c>
      <c r="H16" s="6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IFERROR(__xludf.DUMMYFUNCTION("""COMPUTED_VALUE"""),2.0)</f>
        <v>2</v>
      </c>
      <c r="E17" s="6">
        <f>IFERROR(__xludf.DUMMYFUNCTION("""COMPUTED_VALUE"""),6007.9)</f>
        <v>6007.9</v>
      </c>
      <c r="F17" s="6">
        <f>IFERROR(__xludf.DUMMYFUNCTION("""COMPUTED_VALUE"""),4998.0)</f>
        <v>4998</v>
      </c>
      <c r="G17" s="1">
        <f>IFERROR(__xludf.DUMMYFUNCTION("""COMPUTED_VALUE"""),133.0)</f>
        <v>133</v>
      </c>
      <c r="H17" s="6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IFERROR(__xludf.DUMMYFUNCTION("""COMPUTED_VALUE"""),1.0)</f>
        <v>1</v>
      </c>
      <c r="E18" s="6">
        <f>IFERROR(__xludf.DUMMYFUNCTION("""COMPUTED_VALUE"""),6033.58)</f>
        <v>6033.58</v>
      </c>
      <c r="F18" s="6">
        <f>IFERROR(__xludf.DUMMYFUNCTION("""COMPUTED_VALUE"""),5442.5)</f>
        <v>5442.5</v>
      </c>
      <c r="G18" s="1">
        <f>IFERROR(__xludf.DUMMYFUNCTION("""COMPUTED_VALUE"""),135.0)</f>
        <v>135</v>
      </c>
      <c r="H18" s="6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IFERROR(__xludf.DUMMYFUNCTION("""COMPUTED_VALUE"""),2.0)</f>
        <v>2</v>
      </c>
      <c r="E19" s="6">
        <f>IFERROR(__xludf.DUMMYFUNCTION("""COMPUTED_VALUE"""),7208.74)</f>
        <v>7208.74</v>
      </c>
      <c r="F19" s="6">
        <f>IFERROR(__xludf.DUMMYFUNCTION("""COMPUTED_VALUE"""),6147.75)</f>
        <v>6147.75</v>
      </c>
      <c r="G19" s="1">
        <f>IFERROR(__xludf.DUMMYFUNCTION("""COMPUTED_VALUE"""),141.0)</f>
        <v>141</v>
      </c>
      <c r="H19" s="6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IFERROR(__xludf.DUMMYFUNCTION("""COMPUTED_VALUE"""),1.0)</f>
        <v>1</v>
      </c>
      <c r="E20" s="6">
        <f>IFERROR(__xludf.DUMMYFUNCTION("""COMPUTED_VALUE"""),5881.26)</f>
        <v>5881.26</v>
      </c>
      <c r="F20" s="6">
        <f>IFERROR(__xludf.DUMMYFUNCTION("""COMPUTED_VALUE"""),4915.5)</f>
        <v>4915.5</v>
      </c>
      <c r="G20" s="1">
        <f>IFERROR(__xludf.DUMMYFUNCTION("""COMPUTED_VALUE"""),123.0)</f>
        <v>123</v>
      </c>
      <c r="H20" s="6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IFERROR(__xludf.DUMMYFUNCTION("""COMPUTED_VALUE"""),2.0)</f>
        <v>2</v>
      </c>
      <c r="E21" s="6">
        <f>IFERROR(__xludf.DUMMYFUNCTION("""COMPUTED_VALUE"""),5809.39)</f>
        <v>5809.39</v>
      </c>
      <c r="F21" s="6">
        <f>IFERROR(__xludf.DUMMYFUNCTION("""COMPUTED_VALUE"""),5376.85)</f>
        <v>5376.85</v>
      </c>
      <c r="G21" s="1">
        <f>IFERROR(__xludf.DUMMYFUNCTION("""COMPUTED_VALUE"""),121.0)</f>
        <v>121</v>
      </c>
      <c r="H21" s="6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IFERROR(__xludf.DUMMYFUNCTION("""COMPUTED_VALUE"""),1.0)</f>
        <v>1</v>
      </c>
      <c r="E22" s="6">
        <f>IFERROR(__xludf.DUMMYFUNCTION("""COMPUTED_VALUE"""),5688.36)</f>
        <v>5688.36</v>
      </c>
      <c r="F22" s="6">
        <f>IFERROR(__xludf.DUMMYFUNCTION("""COMPUTED_VALUE"""),5403.5)</f>
        <v>5403.5</v>
      </c>
      <c r="G22" s="1">
        <f>IFERROR(__xludf.DUMMYFUNCTION("""COMPUTED_VALUE"""),128.0)</f>
        <v>128</v>
      </c>
      <c r="H22" s="6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IFERROR(__xludf.DUMMYFUNCTION("""COMPUTED_VALUE"""),2.0)</f>
        <v>2</v>
      </c>
      <c r="E23" s="6">
        <f>IFERROR(__xludf.DUMMYFUNCTION("""COMPUTED_VALUE"""),5940.6)</f>
        <v>5940.6</v>
      </c>
      <c r="F23" s="6">
        <f>IFERROR(__xludf.DUMMYFUNCTION("""COMPUTED_VALUE"""),6161.0)</f>
        <v>6161</v>
      </c>
      <c r="G23" s="1">
        <f>IFERROR(__xludf.DUMMYFUNCTION("""COMPUTED_VALUE"""),136.0)</f>
        <v>136</v>
      </c>
      <c r="H23" s="6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IFERROR(__xludf.DUMMYFUNCTION("""COMPUTED_VALUE"""),1.0)</f>
        <v>1</v>
      </c>
      <c r="E24" s="6">
        <f>IFERROR(__xludf.DUMMYFUNCTION("""COMPUTED_VALUE"""),6007.9)</f>
        <v>6007.9</v>
      </c>
      <c r="F24" s="6">
        <f>IFERROR(__xludf.DUMMYFUNCTION("""COMPUTED_VALUE"""),4825.75)</f>
        <v>4825.75</v>
      </c>
      <c r="G24" s="1">
        <f>IFERROR(__xludf.DUMMYFUNCTION("""COMPUTED_VALUE"""),123.0)</f>
        <v>123</v>
      </c>
      <c r="H24" s="6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IFERROR(__xludf.DUMMYFUNCTION("""COMPUTED_VALUE"""),2.0)</f>
        <v>2</v>
      </c>
      <c r="E25" s="6">
        <f>IFERROR(__xludf.DUMMYFUNCTION("""COMPUTED_VALUE"""),6033.58)</f>
        <v>6033.58</v>
      </c>
      <c r="F25" s="6">
        <f>IFERROR(__xludf.DUMMYFUNCTION("""COMPUTED_VALUE"""),5240.3)</f>
        <v>5240.3</v>
      </c>
      <c r="G25" s="1">
        <f>IFERROR(__xludf.DUMMYFUNCTION("""COMPUTED_VALUE"""),132.0)</f>
        <v>132</v>
      </c>
      <c r="H25" s="6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IFERROR(__xludf.DUMMYFUNCTION("""COMPUTED_VALUE"""),1.0)</f>
        <v>1</v>
      </c>
      <c r="E26" s="6">
        <f>IFERROR(__xludf.DUMMYFUNCTION("""COMPUTED_VALUE"""),7208.74)</f>
        <v>7208.74</v>
      </c>
      <c r="F26" s="6">
        <f>IFERROR(__xludf.DUMMYFUNCTION("""COMPUTED_VALUE"""),4792.0)</f>
        <v>4792</v>
      </c>
      <c r="G26" s="1">
        <f>IFERROR(__xludf.DUMMYFUNCTION("""COMPUTED_VALUE"""),120.0)</f>
        <v>120</v>
      </c>
      <c r="H26" s="6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IFERROR(__xludf.DUMMYFUNCTION("""COMPUTED_VALUE"""),2.0)</f>
        <v>2</v>
      </c>
      <c r="E27" s="6">
        <f>IFERROR(__xludf.DUMMYFUNCTION("""COMPUTED_VALUE"""),5881.26)</f>
        <v>5881.26</v>
      </c>
      <c r="F27" s="6">
        <f>IFERROR(__xludf.DUMMYFUNCTION("""COMPUTED_VALUE"""),5417.0)</f>
        <v>5417</v>
      </c>
      <c r="G27" s="1">
        <f>IFERROR(__xludf.DUMMYFUNCTION("""COMPUTED_VALUE"""),126.0)</f>
        <v>126</v>
      </c>
      <c r="H27" s="6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IFERROR(__xludf.DUMMYFUNCTION("""COMPUTED_VALUE"""),1.0)</f>
        <v>1</v>
      </c>
      <c r="E28" s="6">
        <f>IFERROR(__xludf.DUMMYFUNCTION("""COMPUTED_VALUE"""),5809.39)</f>
        <v>5809.39</v>
      </c>
      <c r="F28" s="6">
        <f>IFERROR(__xludf.DUMMYFUNCTION("""COMPUTED_VALUE"""),6677.25)</f>
        <v>6677.25</v>
      </c>
      <c r="G28" s="1">
        <f>IFERROR(__xludf.DUMMYFUNCTION("""COMPUTED_VALUE"""),149.0)</f>
        <v>149</v>
      </c>
      <c r="H28" s="6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IFERROR(__xludf.DUMMYFUNCTION("""COMPUTED_VALUE"""),2.0)</f>
        <v>2</v>
      </c>
      <c r="E29" s="6">
        <f>IFERROR(__xludf.DUMMYFUNCTION("""COMPUTED_VALUE"""),5688.36)</f>
        <v>5688.36</v>
      </c>
      <c r="F29" s="6">
        <f>IFERROR(__xludf.DUMMYFUNCTION("""COMPUTED_VALUE"""),5961.5)</f>
        <v>5961.5</v>
      </c>
      <c r="G29" s="1">
        <f>IFERROR(__xludf.DUMMYFUNCTION("""COMPUTED_VALUE"""),146.0)</f>
        <v>146</v>
      </c>
      <c r="H29" s="6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IFERROR(__xludf.DUMMYFUNCTION("""COMPUTED_VALUE"""),1.0)</f>
        <v>1</v>
      </c>
      <c r="E30" s="6">
        <f>IFERROR(__xludf.DUMMYFUNCTION("""COMPUTED_VALUE"""),5940.6)</f>
        <v>5940.6</v>
      </c>
      <c r="F30" s="6">
        <f>IFERROR(__xludf.DUMMYFUNCTION("""COMPUTED_VALUE"""),4936.25)</f>
        <v>4936.25</v>
      </c>
      <c r="G30" s="1">
        <f>IFERROR(__xludf.DUMMYFUNCTION("""COMPUTED_VALUE"""),130.0)</f>
        <v>130</v>
      </c>
      <c r="H30" s="6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IFERROR(__xludf.DUMMYFUNCTION("""COMPUTED_VALUE"""),2.0)</f>
        <v>2</v>
      </c>
      <c r="E31" s="6">
        <f>IFERROR(__xludf.DUMMYFUNCTION("""COMPUTED_VALUE"""),6007.9)</f>
        <v>6007.9</v>
      </c>
      <c r="F31" s="6">
        <f>IFERROR(__xludf.DUMMYFUNCTION("""COMPUTED_VALUE"""),5933.75)</f>
        <v>5933.75</v>
      </c>
      <c r="G31" s="1">
        <f>IFERROR(__xludf.DUMMYFUNCTION("""COMPUTED_VALUE"""),129.0)</f>
        <v>129</v>
      </c>
      <c r="H31" s="6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IFERROR(__xludf.DUMMYFUNCTION("""COMPUTED_VALUE"""),1.0)</f>
        <v>1</v>
      </c>
      <c r="E32" s="6">
        <f>IFERROR(__xludf.DUMMYFUNCTION("""COMPUTED_VALUE"""),6033.58)</f>
        <v>6033.58</v>
      </c>
      <c r="F32" s="6">
        <f>IFERROR(__xludf.DUMMYFUNCTION("""COMPUTED_VALUE"""),5244.5)</f>
        <v>5244.5</v>
      </c>
      <c r="G32" s="1">
        <f>IFERROR(__xludf.DUMMYFUNCTION("""COMPUTED_VALUE"""),127.0)</f>
        <v>127</v>
      </c>
      <c r="H32" s="6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IFERROR(__xludf.DUMMYFUNCTION("""COMPUTED_VALUE"""),2.0)</f>
        <v>2</v>
      </c>
      <c r="E33" s="6">
        <f>IFERROR(__xludf.DUMMYFUNCTION("""COMPUTED_VALUE"""),7208.74)</f>
        <v>7208.74</v>
      </c>
      <c r="F33" s="6">
        <f>IFERROR(__xludf.DUMMYFUNCTION("""COMPUTED_VALUE"""),5934.6)</f>
        <v>5934.6</v>
      </c>
      <c r="G33" s="1">
        <f>IFERROR(__xludf.DUMMYFUNCTION("""COMPUTED_VALUE"""),132.0)</f>
        <v>132</v>
      </c>
      <c r="H33" s="6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IFERROR(__xludf.DUMMYFUNCTION("""COMPUTED_VALUE"""),1.0)</f>
        <v>1</v>
      </c>
      <c r="E34" s="6">
        <f>IFERROR(__xludf.DUMMYFUNCTION("""COMPUTED_VALUE"""),5881.26)</f>
        <v>5881.26</v>
      </c>
      <c r="F34" s="6">
        <f>IFERROR(__xludf.DUMMYFUNCTION("""COMPUTED_VALUE"""),4759.75)</f>
        <v>4759.75</v>
      </c>
      <c r="G34" s="1">
        <f>IFERROR(__xludf.DUMMYFUNCTION("""COMPUTED_VALUE"""),105.0)</f>
        <v>105</v>
      </c>
      <c r="H34" s="6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IFERROR(__xludf.DUMMYFUNCTION("""COMPUTED_VALUE"""),2.0)</f>
        <v>2</v>
      </c>
      <c r="E35" s="6">
        <f>IFERROR(__xludf.DUMMYFUNCTION("""COMPUTED_VALUE"""),5809.39)</f>
        <v>5809.39</v>
      </c>
      <c r="F35" s="6">
        <f>IFERROR(__xludf.DUMMYFUNCTION("""COMPUTED_VALUE"""),5627.31)</f>
        <v>5627.31</v>
      </c>
      <c r="G35" s="1">
        <f>IFERROR(__xludf.DUMMYFUNCTION("""COMPUTED_VALUE"""),120.0)</f>
        <v>120</v>
      </c>
      <c r="H35" s="6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IFERROR(__xludf.DUMMYFUNCTION("""COMPUTED_VALUE"""),1.0)</f>
        <v>1</v>
      </c>
      <c r="E36" s="6">
        <f>IFERROR(__xludf.DUMMYFUNCTION("""COMPUTED_VALUE"""),5688.36)</f>
        <v>5688.36</v>
      </c>
      <c r="F36" s="6">
        <f>IFERROR(__xludf.DUMMYFUNCTION("""COMPUTED_VALUE"""),4812.5)</f>
        <v>4812.5</v>
      </c>
      <c r="G36" s="1">
        <f>IFERROR(__xludf.DUMMYFUNCTION("""COMPUTED_VALUE"""),127.0)</f>
        <v>127</v>
      </c>
      <c r="H36" s="6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IFERROR(__xludf.DUMMYFUNCTION("""COMPUTED_VALUE"""),2.0)</f>
        <v>2</v>
      </c>
      <c r="E37" s="6">
        <f>IFERROR(__xludf.DUMMYFUNCTION("""COMPUTED_VALUE"""),5940.6)</f>
        <v>5940.6</v>
      </c>
      <c r="F37" s="6">
        <f>IFERROR(__xludf.DUMMYFUNCTION("""COMPUTED_VALUE"""),6249.75)</f>
        <v>6249.75</v>
      </c>
      <c r="G37" s="1">
        <f>IFERROR(__xludf.DUMMYFUNCTION("""COMPUTED_VALUE"""),137.0)</f>
        <v>137</v>
      </c>
      <c r="H37" s="6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IFERROR(__xludf.DUMMYFUNCTION("""COMPUTED_VALUE"""),1.0)</f>
        <v>1</v>
      </c>
      <c r="E38" s="6">
        <f>IFERROR(__xludf.DUMMYFUNCTION("""COMPUTED_VALUE"""),6007.9)</f>
        <v>6007.9</v>
      </c>
      <c r="F38" s="6">
        <f>IFERROR(__xludf.DUMMYFUNCTION("""COMPUTED_VALUE"""),5792.75)</f>
        <v>5792.75</v>
      </c>
      <c r="G38" s="1">
        <f>IFERROR(__xludf.DUMMYFUNCTION("""COMPUTED_VALUE"""),151.0)</f>
        <v>151</v>
      </c>
      <c r="H38" s="6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IFERROR(__xludf.DUMMYFUNCTION("""COMPUTED_VALUE"""),2.0)</f>
        <v>2</v>
      </c>
      <c r="E39" s="6">
        <f>IFERROR(__xludf.DUMMYFUNCTION("""COMPUTED_VALUE"""),6033.58)</f>
        <v>6033.58</v>
      </c>
      <c r="F39" s="6">
        <f>IFERROR(__xludf.DUMMYFUNCTION("""COMPUTED_VALUE"""),4981.75)</f>
        <v>4981.75</v>
      </c>
      <c r="G39" s="1">
        <f>IFERROR(__xludf.DUMMYFUNCTION("""COMPUTED_VALUE"""),125.0)</f>
        <v>125</v>
      </c>
      <c r="H39" s="6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IFERROR(__xludf.DUMMYFUNCTION("""COMPUTED_VALUE"""),1.0)</f>
        <v>1</v>
      </c>
      <c r="E40" s="6">
        <f>IFERROR(__xludf.DUMMYFUNCTION("""COMPUTED_VALUE"""),7208.74)</f>
        <v>7208.74</v>
      </c>
      <c r="F40" s="6">
        <f>IFERROR(__xludf.DUMMYFUNCTION("""COMPUTED_VALUE"""),5266.0)</f>
        <v>5266</v>
      </c>
      <c r="G40" s="1">
        <f>IFERROR(__xludf.DUMMYFUNCTION("""COMPUTED_VALUE"""),123.0)</f>
        <v>123</v>
      </c>
      <c r="H40" s="6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IFERROR(__xludf.DUMMYFUNCTION("""COMPUTED_VALUE"""),2.0)</f>
        <v>2</v>
      </c>
      <c r="E41" s="6">
        <f>IFERROR(__xludf.DUMMYFUNCTION("""COMPUTED_VALUE"""),5881.26)</f>
        <v>5881.26</v>
      </c>
      <c r="F41" s="6">
        <f>IFERROR(__xludf.DUMMYFUNCTION("""COMPUTED_VALUE"""),5131.5)</f>
        <v>5131.5</v>
      </c>
      <c r="G41" s="1">
        <f>IFERROR(__xludf.DUMMYFUNCTION("""COMPUTED_VALUE"""),118.0)</f>
        <v>118</v>
      </c>
      <c r="H41" s="6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IFERROR(__xludf.DUMMYFUNCTION("""COMPUTED_VALUE"""),1.0)</f>
        <v>1</v>
      </c>
      <c r="E42" s="6">
        <f>IFERROR(__xludf.DUMMYFUNCTION("""COMPUTED_VALUE"""),5809.39)</f>
        <v>5809.39</v>
      </c>
      <c r="F42" s="6">
        <f>IFERROR(__xludf.DUMMYFUNCTION("""COMPUTED_VALUE"""),4961.0)</f>
        <v>4961</v>
      </c>
      <c r="G42" s="1">
        <f>IFERROR(__xludf.DUMMYFUNCTION("""COMPUTED_VALUE"""),122.0)</f>
        <v>122</v>
      </c>
      <c r="H42" s="6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IFERROR(__xludf.DUMMYFUNCTION("""COMPUTED_VALUE"""),2.0)</f>
        <v>2</v>
      </c>
      <c r="E43" s="6">
        <f>IFERROR(__xludf.DUMMYFUNCTION("""COMPUTED_VALUE"""),5688.36)</f>
        <v>5688.36</v>
      </c>
      <c r="F43" s="6">
        <f>IFERROR(__xludf.DUMMYFUNCTION("""COMPUTED_VALUE"""),5545.0)</f>
        <v>5545</v>
      </c>
      <c r="G43" s="1">
        <f>IFERROR(__xludf.DUMMYFUNCTION("""COMPUTED_VALUE"""),134.0)</f>
        <v>134</v>
      </c>
      <c r="H43" s="6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IFERROR(__xludf.DUMMYFUNCTION("""COMPUTED_VALUE"""),1.0)</f>
        <v>1</v>
      </c>
      <c r="E44" s="6">
        <f>IFERROR(__xludf.DUMMYFUNCTION("""COMPUTED_VALUE"""),5940.6)</f>
        <v>5940.6</v>
      </c>
      <c r="F44" s="6">
        <f>IFERROR(__xludf.DUMMYFUNCTION("""COMPUTED_VALUE"""),6112.75)</f>
        <v>6112.75</v>
      </c>
      <c r="G44" s="1">
        <f>IFERROR(__xludf.DUMMYFUNCTION("""COMPUTED_VALUE"""),146.0)</f>
        <v>146</v>
      </c>
      <c r="H44" s="6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IFERROR(__xludf.DUMMYFUNCTION("""COMPUTED_VALUE"""),2.0)</f>
        <v>2</v>
      </c>
      <c r="E45" s="6">
        <f>IFERROR(__xludf.DUMMYFUNCTION("""COMPUTED_VALUE"""),6007.9)</f>
        <v>6007.9</v>
      </c>
      <c r="F45" s="6">
        <f>IFERROR(__xludf.DUMMYFUNCTION("""COMPUTED_VALUE"""),5778.5)</f>
        <v>5778.5</v>
      </c>
      <c r="G45" s="1">
        <f>IFERROR(__xludf.DUMMYFUNCTION("""COMPUTED_VALUE"""),150.0)</f>
        <v>150</v>
      </c>
      <c r="H45" s="6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IFERROR(__xludf.DUMMYFUNCTION("""COMPUTED_VALUE"""),1.0)</f>
        <v>1</v>
      </c>
      <c r="E46" s="6">
        <f>IFERROR(__xludf.DUMMYFUNCTION("""COMPUTED_VALUE"""),6033.58)</f>
        <v>6033.58</v>
      </c>
      <c r="F46" s="6">
        <f>IFERROR(__xludf.DUMMYFUNCTION("""COMPUTED_VALUE"""),5233.5)</f>
        <v>5233.5</v>
      </c>
      <c r="G46" s="1">
        <f>IFERROR(__xludf.DUMMYFUNCTION("""COMPUTED_VALUE"""),129.0)</f>
        <v>129</v>
      </c>
      <c r="H46" s="6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IFERROR(__xludf.DUMMYFUNCTION("""COMPUTED_VALUE"""),2.0)</f>
        <v>2</v>
      </c>
      <c r="E47" s="6">
        <f>IFERROR(__xludf.DUMMYFUNCTION("""COMPUTED_VALUE"""),7208.74)</f>
        <v>7208.74</v>
      </c>
      <c r="F47" s="6">
        <f>IFERROR(__xludf.DUMMYFUNCTION("""COMPUTED_VALUE"""),6482.0)</f>
        <v>6482</v>
      </c>
      <c r="G47" s="1">
        <f>IFERROR(__xludf.DUMMYFUNCTION("""COMPUTED_VALUE"""),164.0)</f>
        <v>164</v>
      </c>
      <c r="H47" s="6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IFERROR(__xludf.DUMMYFUNCTION("""COMPUTED_VALUE"""),1.0)</f>
        <v>1</v>
      </c>
      <c r="E48" s="6">
        <f>IFERROR(__xludf.DUMMYFUNCTION("""COMPUTED_VALUE"""),5881.26)</f>
        <v>5881.26</v>
      </c>
      <c r="F48" s="6">
        <f>IFERROR(__xludf.DUMMYFUNCTION("""COMPUTED_VALUE"""),4930.75)</f>
        <v>4930.75</v>
      </c>
      <c r="G48" s="1">
        <f>IFERROR(__xludf.DUMMYFUNCTION("""COMPUTED_VALUE"""),129.0)</f>
        <v>129</v>
      </c>
      <c r="H48" s="6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IFERROR(__xludf.DUMMYFUNCTION("""COMPUTED_VALUE"""),2.0)</f>
        <v>2</v>
      </c>
      <c r="E49" s="6">
        <f>IFERROR(__xludf.DUMMYFUNCTION("""COMPUTED_VALUE"""),5809.39)</f>
        <v>5809.39</v>
      </c>
      <c r="F49" s="6">
        <f>IFERROR(__xludf.DUMMYFUNCTION("""COMPUTED_VALUE"""),6460.75)</f>
        <v>6460.75</v>
      </c>
      <c r="G49" s="1">
        <f>IFERROR(__xludf.DUMMYFUNCTION("""COMPUTED_VALUE"""),148.0)</f>
        <v>148</v>
      </c>
      <c r="H49" s="6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IFERROR(__xludf.DUMMYFUNCTION("""COMPUTED_VALUE"""),1.0)</f>
        <v>1</v>
      </c>
      <c r="E50" s="6">
        <f>IFERROR(__xludf.DUMMYFUNCTION("""COMPUTED_VALUE"""),5688.36)</f>
        <v>5688.36</v>
      </c>
      <c r="F50" s="6">
        <f>IFERROR(__xludf.DUMMYFUNCTION("""COMPUTED_VALUE"""),6018.5)</f>
        <v>6018.5</v>
      </c>
      <c r="G50" s="1">
        <f>IFERROR(__xludf.DUMMYFUNCTION("""COMPUTED_VALUE"""),137.0)</f>
        <v>137</v>
      </c>
      <c r="H50" s="6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IFERROR(__xludf.DUMMYFUNCTION("""COMPUTED_VALUE"""),2.0)</f>
        <v>2</v>
      </c>
      <c r="E51" s="6">
        <f>IFERROR(__xludf.DUMMYFUNCTION("""COMPUTED_VALUE"""),5940.6)</f>
        <v>5940.6</v>
      </c>
      <c r="F51" s="6">
        <f>IFERROR(__xludf.DUMMYFUNCTION("""COMPUTED_VALUE"""),6381.85)</f>
        <v>6381.85</v>
      </c>
      <c r="G51" s="1">
        <f>IFERROR(__xludf.DUMMYFUNCTION("""COMPUTED_VALUE"""),141.0)</f>
        <v>141</v>
      </c>
      <c r="H51" s="6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IFERROR(__xludf.DUMMYFUNCTION("""COMPUTED_VALUE"""),1.0)</f>
        <v>1</v>
      </c>
      <c r="E52" s="6">
        <f>IFERROR(__xludf.DUMMYFUNCTION("""COMPUTED_VALUE"""),6007.9)</f>
        <v>6007.9</v>
      </c>
      <c r="F52" s="6">
        <f>IFERROR(__xludf.DUMMYFUNCTION("""COMPUTED_VALUE"""),6391.1)</f>
        <v>6391.1</v>
      </c>
      <c r="G52" s="1">
        <f>IFERROR(__xludf.DUMMYFUNCTION("""COMPUTED_VALUE"""),155.0)</f>
        <v>155</v>
      </c>
      <c r="H52" s="6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IFERROR(__xludf.DUMMYFUNCTION("""COMPUTED_VALUE"""),2.0)</f>
        <v>2</v>
      </c>
      <c r="E53" s="6">
        <f>IFERROR(__xludf.DUMMYFUNCTION("""COMPUTED_VALUE"""),6033.58)</f>
        <v>6033.58</v>
      </c>
      <c r="F53" s="6">
        <f>IFERROR(__xludf.DUMMYFUNCTION("""COMPUTED_VALUE"""),6728.75)</f>
        <v>6728.75</v>
      </c>
      <c r="G53" s="1">
        <f>IFERROR(__xludf.DUMMYFUNCTION("""COMPUTED_VALUE"""),163.0)</f>
        <v>163</v>
      </c>
      <c r="H53" s="6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IFERROR(__xludf.DUMMYFUNCTION("""COMPUTED_VALUE"""),1.0)</f>
        <v>1</v>
      </c>
      <c r="E54" s="6">
        <f>IFERROR(__xludf.DUMMYFUNCTION("""COMPUTED_VALUE"""),7208.74)</f>
        <v>7208.74</v>
      </c>
      <c r="F54" s="6">
        <f>IFERROR(__xludf.DUMMYFUNCTION("""COMPUTED_VALUE"""),5581.0)</f>
        <v>5581</v>
      </c>
      <c r="G54" s="1">
        <f>IFERROR(__xludf.DUMMYFUNCTION("""COMPUTED_VALUE"""),132.0)</f>
        <v>132</v>
      </c>
      <c r="H54" s="6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IFERROR(__xludf.DUMMYFUNCTION("""COMPUTED_VALUE"""),2.0)</f>
        <v>2</v>
      </c>
      <c r="E55" s="6">
        <f>IFERROR(__xludf.DUMMYFUNCTION("""COMPUTED_VALUE"""),5881.26)</f>
        <v>5881.26</v>
      </c>
      <c r="F55" s="6">
        <f>IFERROR(__xludf.DUMMYFUNCTION("""COMPUTED_VALUE"""),5143.85)</f>
        <v>5143.85</v>
      </c>
      <c r="G55" s="1">
        <f>IFERROR(__xludf.DUMMYFUNCTION("""COMPUTED_VALUE"""),129.0)</f>
        <v>129</v>
      </c>
      <c r="H55" s="6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IFERROR(__xludf.DUMMYFUNCTION("""COMPUTED_VALUE"""),1.0)</f>
        <v>1</v>
      </c>
      <c r="E56" s="6">
        <f>IFERROR(__xludf.DUMMYFUNCTION("""COMPUTED_VALUE"""),5809.39)</f>
        <v>5809.39</v>
      </c>
      <c r="F56" s="6">
        <f>IFERROR(__xludf.DUMMYFUNCTION("""COMPUTED_VALUE"""),5039.75)</f>
        <v>5039.75</v>
      </c>
      <c r="G56" s="1">
        <f>IFERROR(__xludf.DUMMYFUNCTION("""COMPUTED_VALUE"""),124.0)</f>
        <v>124</v>
      </c>
      <c r="H56" s="6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IFERROR(__xludf.DUMMYFUNCTION("""COMPUTED_VALUE"""),2.0)</f>
        <v>2</v>
      </c>
      <c r="E57" s="6">
        <f>IFERROR(__xludf.DUMMYFUNCTION("""COMPUTED_VALUE"""),5688.36)</f>
        <v>5688.36</v>
      </c>
      <c r="F57" s="6">
        <f>IFERROR(__xludf.DUMMYFUNCTION("""COMPUTED_VALUE"""),5053.75)</f>
        <v>5053.75</v>
      </c>
      <c r="G57" s="1">
        <f>IFERROR(__xludf.DUMMYFUNCTION("""COMPUTED_VALUE"""),124.0)</f>
        <v>124</v>
      </c>
      <c r="H57" s="6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IFERROR(__xludf.DUMMYFUNCTION("""COMPUTED_VALUE"""),1.0)</f>
        <v>1</v>
      </c>
      <c r="E58" s="6">
        <f>IFERROR(__xludf.DUMMYFUNCTION("""COMPUTED_VALUE"""),5940.6)</f>
        <v>5940.6</v>
      </c>
      <c r="F58" s="6">
        <f>IFERROR(__xludf.DUMMYFUNCTION("""COMPUTED_VALUE"""),4878.82)</f>
        <v>4878.82</v>
      </c>
      <c r="G58" s="1">
        <f>IFERROR(__xludf.DUMMYFUNCTION("""COMPUTED_VALUE"""),134.0)</f>
        <v>134</v>
      </c>
      <c r="H58" s="6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IFERROR(__xludf.DUMMYFUNCTION("""COMPUTED_VALUE"""),2.0)</f>
        <v>2</v>
      </c>
      <c r="E59" s="6">
        <f>IFERROR(__xludf.DUMMYFUNCTION("""COMPUTED_VALUE"""),6007.9)</f>
        <v>6007.9</v>
      </c>
      <c r="F59" s="6">
        <f>IFERROR(__xludf.DUMMYFUNCTION("""COMPUTED_VALUE"""),6439.0)</f>
        <v>6439</v>
      </c>
      <c r="G59" s="1">
        <f>IFERROR(__xludf.DUMMYFUNCTION("""COMPUTED_VALUE"""),147.0)</f>
        <v>147</v>
      </c>
      <c r="H59" s="6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IFERROR(__xludf.DUMMYFUNCTION("""COMPUTED_VALUE"""),1.0)</f>
        <v>1</v>
      </c>
      <c r="E60" s="6">
        <f>IFERROR(__xludf.DUMMYFUNCTION("""COMPUTED_VALUE"""),6033.58)</f>
        <v>6033.58</v>
      </c>
      <c r="F60" s="6">
        <f>IFERROR(__xludf.DUMMYFUNCTION("""COMPUTED_VALUE"""),6248.5)</f>
        <v>6248.5</v>
      </c>
      <c r="G60" s="1">
        <f>IFERROR(__xludf.DUMMYFUNCTION("""COMPUTED_VALUE"""),136.0)</f>
        <v>136</v>
      </c>
      <c r="H60" s="6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IFERROR(__xludf.DUMMYFUNCTION("""COMPUTED_VALUE"""),2.0)</f>
        <v>2</v>
      </c>
      <c r="E61" s="6">
        <f>IFERROR(__xludf.DUMMYFUNCTION("""COMPUTED_VALUE"""),7015.25)</f>
        <v>7015.25</v>
      </c>
      <c r="F61" s="6">
        <f>IFERROR(__xludf.DUMMYFUNCTION("""COMPUTED_VALUE"""),5420.25)</f>
        <v>5420.25</v>
      </c>
      <c r="G61" s="1">
        <f>IFERROR(__xludf.DUMMYFUNCTION("""COMPUTED_VALUE"""),145.0)</f>
        <v>145</v>
      </c>
      <c r="H61" s="6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IFERROR(__xludf.DUMMYFUNCTION("""COMPUTED_VALUE"""),1.0)</f>
        <v>1</v>
      </c>
      <c r="E62" s="6">
        <f>IFERROR(__xludf.DUMMYFUNCTION("""COMPUTED_VALUE"""),5885.41)</f>
        <v>5885.41</v>
      </c>
      <c r="F62" s="6">
        <f>IFERROR(__xludf.DUMMYFUNCTION("""COMPUTED_VALUE"""),4606.5)</f>
        <v>4606.5</v>
      </c>
      <c r="G62" s="1">
        <f>IFERROR(__xludf.DUMMYFUNCTION("""COMPUTED_VALUE"""),120.0)</f>
        <v>120</v>
      </c>
      <c r="H62" s="6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 t="str">
        <f>IFERROR(__xludf.DUMMYFUNCTION("""COMPUTED_VALUE"""),"Feriado")</f>
        <v>Feriado</v>
      </c>
      <c r="E63" s="6">
        <f>IFERROR(__xludf.DUMMYFUNCTION("""COMPUTED_VALUE"""),0.0)</f>
        <v>0</v>
      </c>
      <c r="F63" s="6">
        <f>IFERROR(__xludf.DUMMYFUNCTION("""COMPUTED_VALUE"""),0.0)</f>
        <v>0</v>
      </c>
      <c r="G63" s="1">
        <f>IFERROR(__xludf.DUMMYFUNCTION("""COMPUTED_VALUE"""),0.0)</f>
        <v>0</v>
      </c>
      <c r="H63" s="6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 t="str">
        <f>IFERROR(__xludf.DUMMYFUNCTION("""COMPUTED_VALUE"""),"Feriado")</f>
        <v>Feriado</v>
      </c>
      <c r="E64" s="6">
        <f>IFERROR(__xludf.DUMMYFUNCTION("""COMPUTED_VALUE"""),0.0)</f>
        <v>0</v>
      </c>
      <c r="F64" s="6">
        <f>IFERROR(__xludf.DUMMYFUNCTION("""COMPUTED_VALUE"""),0.0)</f>
        <v>0</v>
      </c>
      <c r="G64" s="1">
        <f>IFERROR(__xludf.DUMMYFUNCTION("""COMPUTED_VALUE"""),0.0)</f>
        <v>0</v>
      </c>
      <c r="H64" s="6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IFERROR(__xludf.DUMMYFUNCTION("""COMPUTED_VALUE"""),2.0)</f>
        <v>2</v>
      </c>
      <c r="E65" s="6">
        <f>IFERROR(__xludf.DUMMYFUNCTION("""COMPUTED_VALUE"""),5968.72)</f>
        <v>5968.72</v>
      </c>
      <c r="F65" s="6">
        <f>IFERROR(__xludf.DUMMYFUNCTION("""COMPUTED_VALUE"""),4959.25)</f>
        <v>4959.25</v>
      </c>
      <c r="G65" s="1">
        <f>IFERROR(__xludf.DUMMYFUNCTION("""COMPUTED_VALUE"""),129.0)</f>
        <v>129</v>
      </c>
      <c r="H65" s="6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IFERROR(__xludf.DUMMYFUNCTION("""COMPUTED_VALUE"""),1.0)</f>
        <v>1</v>
      </c>
      <c r="E66" s="6">
        <f>IFERROR(__xludf.DUMMYFUNCTION("""COMPUTED_VALUE"""),5978.3)</f>
        <v>5978.3</v>
      </c>
      <c r="F66" s="6">
        <f>IFERROR(__xludf.DUMMYFUNCTION("""COMPUTED_VALUE"""),6805.75)</f>
        <v>6805.75</v>
      </c>
      <c r="G66" s="1">
        <f>IFERROR(__xludf.DUMMYFUNCTION("""COMPUTED_VALUE"""),169.0)</f>
        <v>169</v>
      </c>
      <c r="H66" s="6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IFERROR(__xludf.DUMMYFUNCTION("""COMPUTED_VALUE"""),2.0)</f>
        <v>2</v>
      </c>
      <c r="E67" s="6">
        <f>IFERROR(__xludf.DUMMYFUNCTION("""COMPUTED_VALUE"""),6083.4)</f>
        <v>6083.4</v>
      </c>
      <c r="F67" s="6">
        <f>IFERROR(__xludf.DUMMYFUNCTION("""COMPUTED_VALUE"""),6431.0)</f>
        <v>6431</v>
      </c>
      <c r="G67" s="1">
        <f>IFERROR(__xludf.DUMMYFUNCTION("""COMPUTED_VALUE"""),157.0)</f>
        <v>157</v>
      </c>
      <c r="H67" s="6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IFERROR(__xludf.DUMMYFUNCTION("""COMPUTED_VALUE"""),1.0)</f>
        <v>1</v>
      </c>
      <c r="E68" s="6">
        <f>IFERROR(__xludf.DUMMYFUNCTION("""COMPUTED_VALUE"""),7015.25)</f>
        <v>7015.25</v>
      </c>
      <c r="F68" s="6">
        <f>IFERROR(__xludf.DUMMYFUNCTION("""COMPUTED_VALUE"""),6833.0)</f>
        <v>6833</v>
      </c>
      <c r="G68" s="1">
        <f>IFERROR(__xludf.DUMMYFUNCTION("""COMPUTED_VALUE"""),140.0)</f>
        <v>140</v>
      </c>
      <c r="H68" s="6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IFERROR(__xludf.DUMMYFUNCTION("""COMPUTED_VALUE"""),2.0)</f>
        <v>2</v>
      </c>
      <c r="E69" s="6">
        <f>IFERROR(__xludf.DUMMYFUNCTION("""COMPUTED_VALUE"""),5885.41)</f>
        <v>5885.41</v>
      </c>
      <c r="F69" s="6">
        <f>IFERROR(__xludf.DUMMYFUNCTION("""COMPUTED_VALUE"""),6569.5)</f>
        <v>6569.5</v>
      </c>
      <c r="G69" s="1">
        <f>IFERROR(__xludf.DUMMYFUNCTION("""COMPUTED_VALUE"""),141.0)</f>
        <v>141</v>
      </c>
      <c r="H69" s="6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IFERROR(__xludf.DUMMYFUNCTION("""COMPUTED_VALUE"""),1.0)</f>
        <v>1</v>
      </c>
      <c r="E70" s="6">
        <f>IFERROR(__xludf.DUMMYFUNCTION("""COMPUTED_VALUE"""),5991.48)</f>
        <v>5991.48</v>
      </c>
      <c r="F70" s="6">
        <f>IFERROR(__xludf.DUMMYFUNCTION("""COMPUTED_VALUE"""),6001.0)</f>
        <v>6001</v>
      </c>
      <c r="G70" s="1">
        <f>IFERROR(__xludf.DUMMYFUNCTION("""COMPUTED_VALUE"""),158.0)</f>
        <v>158</v>
      </c>
      <c r="H70" s="6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IFERROR(__xludf.DUMMYFUNCTION("""COMPUTED_VALUE"""),2.0)</f>
        <v>2</v>
      </c>
      <c r="E71" s="6">
        <f>IFERROR(__xludf.DUMMYFUNCTION("""COMPUTED_VALUE"""),5509.88)</f>
        <v>5509.88</v>
      </c>
      <c r="F71" s="6">
        <f>IFERROR(__xludf.DUMMYFUNCTION("""COMPUTED_VALUE"""),6289.25)</f>
        <v>6289.25</v>
      </c>
      <c r="G71" s="1">
        <f>IFERROR(__xludf.DUMMYFUNCTION("""COMPUTED_VALUE"""),162.0)</f>
        <v>162</v>
      </c>
      <c r="H71" s="6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IFERROR(__xludf.DUMMYFUNCTION("""COMPUTED_VALUE"""),1.0)</f>
        <v>1</v>
      </c>
      <c r="E72" s="6">
        <f>IFERROR(__xludf.DUMMYFUNCTION("""COMPUTED_VALUE"""),5968.72)</f>
        <v>5968.72</v>
      </c>
      <c r="F72" s="6">
        <f>IFERROR(__xludf.DUMMYFUNCTION("""COMPUTED_VALUE"""),5637.75)</f>
        <v>5637.75</v>
      </c>
      <c r="G72" s="1">
        <f>IFERROR(__xludf.DUMMYFUNCTION("""COMPUTED_VALUE"""),145.0)</f>
        <v>145</v>
      </c>
      <c r="H72" s="6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IFERROR(__xludf.DUMMYFUNCTION("""COMPUTED_VALUE"""),2.0)</f>
        <v>2</v>
      </c>
      <c r="E73" s="6">
        <f>IFERROR(__xludf.DUMMYFUNCTION("""COMPUTED_VALUE"""),5978.3)</f>
        <v>5978.3</v>
      </c>
      <c r="F73" s="6">
        <f>IFERROR(__xludf.DUMMYFUNCTION("""COMPUTED_VALUE"""),5884.35)</f>
        <v>5884.35</v>
      </c>
      <c r="G73" s="1">
        <f>IFERROR(__xludf.DUMMYFUNCTION("""COMPUTED_VALUE"""),143.0)</f>
        <v>143</v>
      </c>
      <c r="H73" s="6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IFERROR(__xludf.DUMMYFUNCTION("""COMPUTED_VALUE"""),1.0)</f>
        <v>1</v>
      </c>
      <c r="E74" s="6">
        <f>IFERROR(__xludf.DUMMYFUNCTION("""COMPUTED_VALUE"""),6083.4)</f>
        <v>6083.4</v>
      </c>
      <c r="F74" s="6">
        <f>IFERROR(__xludf.DUMMYFUNCTION("""COMPUTED_VALUE"""),5552.31)</f>
        <v>5552.31</v>
      </c>
      <c r="G74" s="1">
        <f>IFERROR(__xludf.DUMMYFUNCTION("""COMPUTED_VALUE"""),138.0)</f>
        <v>138</v>
      </c>
      <c r="H74" s="6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IFERROR(__xludf.DUMMYFUNCTION("""COMPUTED_VALUE"""),2.0)</f>
        <v>2</v>
      </c>
      <c r="E75" s="6">
        <f>IFERROR(__xludf.DUMMYFUNCTION("""COMPUTED_VALUE"""),7015.25)</f>
        <v>7015.25</v>
      </c>
      <c r="F75" s="6">
        <f>IFERROR(__xludf.DUMMYFUNCTION("""COMPUTED_VALUE"""),6728.0)</f>
        <v>6728</v>
      </c>
      <c r="G75" s="1">
        <f>IFERROR(__xludf.DUMMYFUNCTION("""COMPUTED_VALUE"""),161.0)</f>
        <v>161</v>
      </c>
      <c r="H75" s="6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IFERROR(__xludf.DUMMYFUNCTION("""COMPUTED_VALUE"""),1.0)</f>
        <v>1</v>
      </c>
      <c r="E76" s="6">
        <f>IFERROR(__xludf.DUMMYFUNCTION("""COMPUTED_VALUE"""),5885.41)</f>
        <v>5885.41</v>
      </c>
      <c r="F76" s="6">
        <f>IFERROR(__xludf.DUMMYFUNCTION("""COMPUTED_VALUE"""),5873.75)</f>
        <v>5873.75</v>
      </c>
      <c r="G76" s="1">
        <f>IFERROR(__xludf.DUMMYFUNCTION("""COMPUTED_VALUE"""),143.0)</f>
        <v>143</v>
      </c>
      <c r="H76" s="6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IFERROR(__xludf.DUMMYFUNCTION("""COMPUTED_VALUE"""),2.0)</f>
        <v>2</v>
      </c>
      <c r="E77" s="6">
        <f>IFERROR(__xludf.DUMMYFUNCTION("""COMPUTED_VALUE"""),5991.48)</f>
        <v>5991.48</v>
      </c>
      <c r="F77" s="6">
        <f>IFERROR(__xludf.DUMMYFUNCTION("""COMPUTED_VALUE"""),5904.5)</f>
        <v>5904.5</v>
      </c>
      <c r="G77" s="1">
        <f>IFERROR(__xludf.DUMMYFUNCTION("""COMPUTED_VALUE"""),145.0)</f>
        <v>145</v>
      </c>
      <c r="H77" s="6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IFERROR(__xludf.DUMMYFUNCTION("""COMPUTED_VALUE"""),1.0)</f>
        <v>1</v>
      </c>
      <c r="E78" s="6">
        <f>IFERROR(__xludf.DUMMYFUNCTION("""COMPUTED_VALUE"""),5509.88)</f>
        <v>5509.88</v>
      </c>
      <c r="F78" s="6">
        <f>IFERROR(__xludf.DUMMYFUNCTION("""COMPUTED_VALUE"""),5305.5)</f>
        <v>5305.5</v>
      </c>
      <c r="G78" s="1">
        <f>IFERROR(__xludf.DUMMYFUNCTION("""COMPUTED_VALUE"""),144.0)</f>
        <v>144</v>
      </c>
      <c r="H78" s="6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IFERROR(__xludf.DUMMYFUNCTION("""COMPUTED_VALUE"""),2.0)</f>
        <v>2</v>
      </c>
      <c r="E79" s="6">
        <f>IFERROR(__xludf.DUMMYFUNCTION("""COMPUTED_VALUE"""),5968.72)</f>
        <v>5968.72</v>
      </c>
      <c r="F79" s="6">
        <f>IFERROR(__xludf.DUMMYFUNCTION("""COMPUTED_VALUE"""),5695.75)</f>
        <v>5695.75</v>
      </c>
      <c r="G79" s="1">
        <f>IFERROR(__xludf.DUMMYFUNCTION("""COMPUTED_VALUE"""),140.0)</f>
        <v>140</v>
      </c>
      <c r="H79" s="6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IFERROR(__xludf.DUMMYFUNCTION("""COMPUTED_VALUE"""),1.0)</f>
        <v>1</v>
      </c>
      <c r="E80" s="6">
        <f>IFERROR(__xludf.DUMMYFUNCTION("""COMPUTED_VALUE"""),5978.3)</f>
        <v>5978.3</v>
      </c>
      <c r="F80" s="6">
        <f>IFERROR(__xludf.DUMMYFUNCTION("""COMPUTED_VALUE"""),5986.25)</f>
        <v>5986.25</v>
      </c>
      <c r="G80" s="1">
        <f>IFERROR(__xludf.DUMMYFUNCTION("""COMPUTED_VALUE"""),149.0)</f>
        <v>149</v>
      </c>
      <c r="H80" s="6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IFERROR(__xludf.DUMMYFUNCTION("""COMPUTED_VALUE"""),2.0)</f>
        <v>2</v>
      </c>
      <c r="E81" s="6">
        <f>IFERROR(__xludf.DUMMYFUNCTION("""COMPUTED_VALUE"""),6083.4)</f>
        <v>6083.4</v>
      </c>
      <c r="F81" s="6">
        <f>IFERROR(__xludf.DUMMYFUNCTION("""COMPUTED_VALUE"""),5600.75)</f>
        <v>5600.75</v>
      </c>
      <c r="G81" s="1">
        <f>IFERROR(__xludf.DUMMYFUNCTION("""COMPUTED_VALUE"""),145.0)</f>
        <v>145</v>
      </c>
      <c r="H81" s="6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IFERROR(__xludf.DUMMYFUNCTION("""COMPUTED_VALUE"""),1.0)</f>
        <v>1</v>
      </c>
      <c r="E82" s="6">
        <f>IFERROR(__xludf.DUMMYFUNCTION("""COMPUTED_VALUE"""),7015.25)</f>
        <v>7015.25</v>
      </c>
      <c r="F82" s="6">
        <f>IFERROR(__xludf.DUMMYFUNCTION("""COMPUTED_VALUE"""),6082.25)</f>
        <v>6082.25</v>
      </c>
      <c r="G82" s="1">
        <f>IFERROR(__xludf.DUMMYFUNCTION("""COMPUTED_VALUE"""),143.0)</f>
        <v>143</v>
      </c>
      <c r="H82" s="6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IFERROR(__xludf.DUMMYFUNCTION("""COMPUTED_VALUE"""),2.0)</f>
        <v>2</v>
      </c>
      <c r="E83" s="6">
        <f>IFERROR(__xludf.DUMMYFUNCTION("""COMPUTED_VALUE"""),5885.41)</f>
        <v>5885.41</v>
      </c>
      <c r="F83" s="6">
        <f>IFERROR(__xludf.DUMMYFUNCTION("""COMPUTED_VALUE"""),5283.25)</f>
        <v>5283.25</v>
      </c>
      <c r="G83" s="1">
        <f>IFERROR(__xludf.DUMMYFUNCTION("""COMPUTED_VALUE"""),121.0)</f>
        <v>121</v>
      </c>
      <c r="H83" s="6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IFERROR(__xludf.DUMMYFUNCTION("""COMPUTED_VALUE"""),1.0)</f>
        <v>1</v>
      </c>
      <c r="E84" s="6">
        <f>IFERROR(__xludf.DUMMYFUNCTION("""COMPUTED_VALUE"""),5991.48)</f>
        <v>5991.48</v>
      </c>
      <c r="F84" s="6">
        <f>IFERROR(__xludf.DUMMYFUNCTION("""COMPUTED_VALUE"""),3915.5)</f>
        <v>3915.5</v>
      </c>
      <c r="G84" s="1">
        <f>IFERROR(__xludf.DUMMYFUNCTION("""COMPUTED_VALUE"""),102.0)</f>
        <v>102</v>
      </c>
      <c r="H84" s="6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IFERROR(__xludf.DUMMYFUNCTION("""COMPUTED_VALUE"""),2.0)</f>
        <v>2</v>
      </c>
      <c r="E85" s="6">
        <f>IFERROR(__xludf.DUMMYFUNCTION("""COMPUTED_VALUE"""),5509.88)</f>
        <v>5509.88</v>
      </c>
      <c r="F85" s="6">
        <f>IFERROR(__xludf.DUMMYFUNCTION("""COMPUTED_VALUE"""),5751.0)</f>
        <v>5751</v>
      </c>
      <c r="G85" s="1">
        <f>IFERROR(__xludf.DUMMYFUNCTION("""COMPUTED_VALUE"""),149.0)</f>
        <v>149</v>
      </c>
      <c r="H85" s="6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IFERROR(__xludf.DUMMYFUNCTION("""COMPUTED_VALUE"""),1.0)</f>
        <v>1</v>
      </c>
      <c r="E86" s="6">
        <f>IFERROR(__xludf.DUMMYFUNCTION("""COMPUTED_VALUE"""),5968.72)</f>
        <v>5968.72</v>
      </c>
      <c r="F86" s="6">
        <f>IFERROR(__xludf.DUMMYFUNCTION("""COMPUTED_VALUE"""),5375.27)</f>
        <v>5375.27</v>
      </c>
      <c r="G86" s="1">
        <f>IFERROR(__xludf.DUMMYFUNCTION("""COMPUTED_VALUE"""),141.0)</f>
        <v>141</v>
      </c>
      <c r="H86" s="6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IFERROR(__xludf.DUMMYFUNCTION("""COMPUTED_VALUE"""),2.0)</f>
        <v>2</v>
      </c>
      <c r="E87" s="6">
        <f>IFERROR(__xludf.DUMMYFUNCTION("""COMPUTED_VALUE"""),5978.3)</f>
        <v>5978.3</v>
      </c>
      <c r="F87" s="6">
        <f>IFERROR(__xludf.DUMMYFUNCTION("""COMPUTED_VALUE"""),6567.8)</f>
        <v>6567.8</v>
      </c>
      <c r="G87" s="1">
        <f>IFERROR(__xludf.DUMMYFUNCTION("""COMPUTED_VALUE"""),149.0)</f>
        <v>149</v>
      </c>
      <c r="H87" s="6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IFERROR(__xludf.DUMMYFUNCTION("""COMPUTED_VALUE"""),1.0)</f>
        <v>1</v>
      </c>
      <c r="E88" s="6">
        <f>IFERROR(__xludf.DUMMYFUNCTION("""COMPUTED_VALUE"""),6083.4)</f>
        <v>6083.4</v>
      </c>
      <c r="F88" s="6">
        <f>IFERROR(__xludf.DUMMYFUNCTION("""COMPUTED_VALUE"""),4241.0)</f>
        <v>4241</v>
      </c>
      <c r="G88" s="1">
        <f>IFERROR(__xludf.DUMMYFUNCTION("""COMPUTED_VALUE"""),114.0)</f>
        <v>114</v>
      </c>
      <c r="H88" s="6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IFERROR(__xludf.DUMMYFUNCTION("""COMPUTED_VALUE"""),2.0)</f>
        <v>2</v>
      </c>
      <c r="E89" s="6">
        <f>IFERROR(__xludf.DUMMYFUNCTION("""COMPUTED_VALUE"""),7015.25)</f>
        <v>7015.25</v>
      </c>
      <c r="F89" s="6">
        <f>IFERROR(__xludf.DUMMYFUNCTION("""COMPUTED_VALUE"""),6947.0)</f>
        <v>6947</v>
      </c>
      <c r="G89" s="1">
        <f>IFERROR(__xludf.DUMMYFUNCTION("""COMPUTED_VALUE"""),154.0)</f>
        <v>154</v>
      </c>
      <c r="H89" s="6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IFERROR(__xludf.DUMMYFUNCTION("""COMPUTED_VALUE"""),1.0)</f>
        <v>1</v>
      </c>
      <c r="E90" s="6">
        <f>IFERROR(__xludf.DUMMYFUNCTION("""COMPUTED_VALUE"""),5885.41)</f>
        <v>5885.41</v>
      </c>
      <c r="F90" s="6">
        <f>IFERROR(__xludf.DUMMYFUNCTION("""COMPUTED_VALUE"""),5077.78)</f>
        <v>5077.78</v>
      </c>
      <c r="G90" s="1">
        <f>IFERROR(__xludf.DUMMYFUNCTION("""COMPUTED_VALUE"""),114.0)</f>
        <v>114</v>
      </c>
      <c r="H90" s="6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IFERROR(__xludf.DUMMYFUNCTION("""COMPUTED_VALUE"""),2.0)</f>
        <v>2</v>
      </c>
      <c r="E91" s="6">
        <f>IFERROR(__xludf.DUMMYFUNCTION("""COMPUTED_VALUE"""),5991.48)</f>
        <v>5991.48</v>
      </c>
      <c r="F91" s="6">
        <f>IFERROR(__xludf.DUMMYFUNCTION("""COMPUTED_VALUE"""),4674.7)</f>
        <v>4674.7</v>
      </c>
      <c r="G91" s="1">
        <f>IFERROR(__xludf.DUMMYFUNCTION("""COMPUTED_VALUE"""),117.0)</f>
        <v>117</v>
      </c>
      <c r="H91" s="6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IFERROR(__xludf.DUMMYFUNCTION("""COMPUTED_VALUE"""),1.0)</f>
        <v>1</v>
      </c>
      <c r="E92" s="6">
        <f>IFERROR(__xludf.DUMMYFUNCTION("""COMPUTED_VALUE"""),5613.56)</f>
        <v>5613.56</v>
      </c>
      <c r="F92" s="6">
        <f>IFERROR(__xludf.DUMMYFUNCTION("""COMPUTED_VALUE"""),4918.0)</f>
        <v>4918</v>
      </c>
      <c r="G92" s="1">
        <f>IFERROR(__xludf.DUMMYFUNCTION("""COMPUTED_VALUE"""),127.0)</f>
        <v>127</v>
      </c>
      <c r="H92" s="6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IFERROR(__xludf.DUMMYFUNCTION("""COMPUTED_VALUE"""),2.0)</f>
        <v>2</v>
      </c>
      <c r="E93" s="6">
        <f>IFERROR(__xludf.DUMMYFUNCTION("""COMPUTED_VALUE"""),5975.08)</f>
        <v>5975.08</v>
      </c>
      <c r="F93" s="6">
        <f>IFERROR(__xludf.DUMMYFUNCTION("""COMPUTED_VALUE"""),5238.75)</f>
        <v>5238.75</v>
      </c>
      <c r="G93" s="1">
        <f>IFERROR(__xludf.DUMMYFUNCTION("""COMPUTED_VALUE"""),130.0)</f>
        <v>130</v>
      </c>
      <c r="H93" s="6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IFERROR(__xludf.DUMMYFUNCTION("""COMPUTED_VALUE"""),1.0)</f>
        <v>1</v>
      </c>
      <c r="E94" s="6">
        <f>IFERROR(__xludf.DUMMYFUNCTION("""COMPUTED_VALUE"""),6020.09)</f>
        <v>6020.09</v>
      </c>
      <c r="F94" s="6">
        <f>IFERROR(__xludf.DUMMYFUNCTION("""COMPUTED_VALUE"""),5653.5)</f>
        <v>5653.5</v>
      </c>
      <c r="G94" s="1">
        <f>IFERROR(__xludf.DUMMYFUNCTION("""COMPUTED_VALUE"""),140.0)</f>
        <v>140</v>
      </c>
      <c r="H94" s="6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IFERROR(__xludf.DUMMYFUNCTION("""COMPUTED_VALUE"""),2.0)</f>
        <v>2</v>
      </c>
      <c r="E95" s="6">
        <f>IFERROR(__xludf.DUMMYFUNCTION("""COMPUTED_VALUE"""),6043.81)</f>
        <v>6043.81</v>
      </c>
      <c r="F95" s="6">
        <f>IFERROR(__xludf.DUMMYFUNCTION("""COMPUTED_VALUE"""),5250.85)</f>
        <v>5250.85</v>
      </c>
      <c r="G95" s="1">
        <f>IFERROR(__xludf.DUMMYFUNCTION("""COMPUTED_VALUE"""),118.0)</f>
        <v>118</v>
      </c>
      <c r="H95" s="6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IFERROR(__xludf.DUMMYFUNCTION("""COMPUTED_VALUE"""),1.0)</f>
        <v>1</v>
      </c>
      <c r="E96" s="6">
        <f>IFERROR(__xludf.DUMMYFUNCTION("""COMPUTED_VALUE"""),6924.42)</f>
        <v>6924.42</v>
      </c>
      <c r="F96" s="6">
        <f>IFERROR(__xludf.DUMMYFUNCTION("""COMPUTED_VALUE"""),6493.51)</f>
        <v>6493.51</v>
      </c>
      <c r="G96" s="1">
        <f>IFERROR(__xludf.DUMMYFUNCTION("""COMPUTED_VALUE"""),135.0)</f>
        <v>135</v>
      </c>
      <c r="H96" s="6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IFERROR(__xludf.DUMMYFUNCTION("""COMPUTED_VALUE"""),2.0)</f>
        <v>2</v>
      </c>
      <c r="E97" s="6">
        <f>IFERROR(__xludf.DUMMYFUNCTION("""COMPUTED_VALUE"""),5943.51)</f>
        <v>5943.51</v>
      </c>
      <c r="F97" s="6">
        <f>IFERROR(__xludf.DUMMYFUNCTION("""COMPUTED_VALUE"""),5711.85)</f>
        <v>5711.85</v>
      </c>
      <c r="G97" s="1">
        <f>IFERROR(__xludf.DUMMYFUNCTION("""COMPUTED_VALUE"""),124.0)</f>
        <v>124</v>
      </c>
      <c r="H97" s="6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IFERROR(__xludf.DUMMYFUNCTION("""COMPUTED_VALUE"""),1.0)</f>
        <v>1</v>
      </c>
      <c r="E98" s="6">
        <f>IFERROR(__xludf.DUMMYFUNCTION("""COMPUTED_VALUE"""),6091.33)</f>
        <v>6091.33</v>
      </c>
      <c r="F98" s="6">
        <f>IFERROR(__xludf.DUMMYFUNCTION("""COMPUTED_VALUE"""),4837.82)</f>
        <v>4837.82</v>
      </c>
      <c r="G98" s="1">
        <f>IFERROR(__xludf.DUMMYFUNCTION("""COMPUTED_VALUE"""),129.0)</f>
        <v>129</v>
      </c>
      <c r="H98" s="6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IFERROR(__xludf.DUMMYFUNCTION("""COMPUTED_VALUE"""),2.0)</f>
        <v>2</v>
      </c>
      <c r="E99" s="6">
        <f>IFERROR(__xludf.DUMMYFUNCTION("""COMPUTED_VALUE"""),5613.56)</f>
        <v>5613.56</v>
      </c>
      <c r="F99" s="6">
        <f>IFERROR(__xludf.DUMMYFUNCTION("""COMPUTED_VALUE"""),4368.77)</f>
        <v>4368.77</v>
      </c>
      <c r="G99" s="1">
        <f>IFERROR(__xludf.DUMMYFUNCTION("""COMPUTED_VALUE"""),124.0)</f>
        <v>124</v>
      </c>
      <c r="H99" s="6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IFERROR(__xludf.DUMMYFUNCTION("""COMPUTED_VALUE"""),1.0)</f>
        <v>1</v>
      </c>
      <c r="E100" s="6">
        <f>IFERROR(__xludf.DUMMYFUNCTION("""COMPUTED_VALUE"""),5975.08)</f>
        <v>5975.08</v>
      </c>
      <c r="F100" s="6">
        <f>IFERROR(__xludf.DUMMYFUNCTION("""COMPUTED_VALUE"""),5898.0)</f>
        <v>5898</v>
      </c>
      <c r="G100" s="1">
        <f>IFERROR(__xludf.DUMMYFUNCTION("""COMPUTED_VALUE"""),157.0)</f>
        <v>157</v>
      </c>
      <c r="H100" s="6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IFERROR(__xludf.DUMMYFUNCTION("""COMPUTED_VALUE"""),2.0)</f>
        <v>2</v>
      </c>
      <c r="E101" s="6">
        <f>IFERROR(__xludf.DUMMYFUNCTION("""COMPUTED_VALUE"""),6020.09)</f>
        <v>6020.09</v>
      </c>
      <c r="F101" s="6">
        <f>IFERROR(__xludf.DUMMYFUNCTION("""COMPUTED_VALUE"""),4926.0)</f>
        <v>4926</v>
      </c>
      <c r="G101" s="1">
        <f>IFERROR(__xludf.DUMMYFUNCTION("""COMPUTED_VALUE"""),129.0)</f>
        <v>129</v>
      </c>
      <c r="H101" s="6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IFERROR(__xludf.DUMMYFUNCTION("""COMPUTED_VALUE"""),1.0)</f>
        <v>1</v>
      </c>
      <c r="E102" s="6">
        <f>IFERROR(__xludf.DUMMYFUNCTION("""COMPUTED_VALUE"""),6043.81)</f>
        <v>6043.81</v>
      </c>
      <c r="F102" s="6">
        <f>IFERROR(__xludf.DUMMYFUNCTION("""COMPUTED_VALUE"""),5063.0)</f>
        <v>5063</v>
      </c>
      <c r="G102" s="1">
        <f>IFERROR(__xludf.DUMMYFUNCTION("""COMPUTED_VALUE"""),136.0)</f>
        <v>136</v>
      </c>
      <c r="H102" s="6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IFERROR(__xludf.DUMMYFUNCTION("""COMPUTED_VALUE"""),2.0)</f>
        <v>2</v>
      </c>
      <c r="E103" s="6">
        <f>IFERROR(__xludf.DUMMYFUNCTION("""COMPUTED_VALUE"""),6924.42)</f>
        <v>6924.42</v>
      </c>
      <c r="F103" s="6">
        <f>IFERROR(__xludf.DUMMYFUNCTION("""COMPUTED_VALUE"""),5758.0)</f>
        <v>5758</v>
      </c>
      <c r="G103" s="1">
        <f>IFERROR(__xludf.DUMMYFUNCTION("""COMPUTED_VALUE"""),141.0)</f>
        <v>141</v>
      </c>
      <c r="H103" s="6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IFERROR(__xludf.DUMMYFUNCTION("""COMPUTED_VALUE"""),1.0)</f>
        <v>1</v>
      </c>
      <c r="E104" s="6">
        <f>IFERROR(__xludf.DUMMYFUNCTION("""COMPUTED_VALUE"""),5943.51)</f>
        <v>5943.51</v>
      </c>
      <c r="F104" s="6">
        <f>IFERROR(__xludf.DUMMYFUNCTION("""COMPUTED_VALUE"""),5432.75)</f>
        <v>5432.75</v>
      </c>
      <c r="G104" s="1">
        <f>IFERROR(__xludf.DUMMYFUNCTION("""COMPUTED_VALUE"""),117.0)</f>
        <v>117</v>
      </c>
      <c r="H104" s="6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IFERROR(__xludf.DUMMYFUNCTION("""COMPUTED_VALUE"""),2.0)</f>
        <v>2</v>
      </c>
      <c r="E105" s="6">
        <f>IFERROR(__xludf.DUMMYFUNCTION("""COMPUTED_VALUE"""),6091.33)</f>
        <v>6091.33</v>
      </c>
      <c r="F105" s="6">
        <f>IFERROR(__xludf.DUMMYFUNCTION("""COMPUTED_VALUE"""),5221.85)</f>
        <v>5221.85</v>
      </c>
      <c r="G105" s="1">
        <f>IFERROR(__xludf.DUMMYFUNCTION("""COMPUTED_VALUE"""),139.0)</f>
        <v>139</v>
      </c>
      <c r="H105" s="6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IFERROR(__xludf.DUMMYFUNCTION("""COMPUTED_VALUE"""),1.0)</f>
        <v>1</v>
      </c>
      <c r="E106" s="6">
        <f>IFERROR(__xludf.DUMMYFUNCTION("""COMPUTED_VALUE"""),5613.56)</f>
        <v>5613.56</v>
      </c>
      <c r="F106" s="6">
        <f>IFERROR(__xludf.DUMMYFUNCTION("""COMPUTED_VALUE"""),5592.01)</f>
        <v>5592.01</v>
      </c>
      <c r="G106" s="1">
        <f>IFERROR(__xludf.DUMMYFUNCTION("""COMPUTED_VALUE"""),140.0)</f>
        <v>140</v>
      </c>
      <c r="H106" s="6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IFERROR(__xludf.DUMMYFUNCTION("""COMPUTED_VALUE"""),2.0)</f>
        <v>2</v>
      </c>
      <c r="E107" s="6">
        <f>IFERROR(__xludf.DUMMYFUNCTION("""COMPUTED_VALUE"""),5975.08)</f>
        <v>5975.08</v>
      </c>
      <c r="F107" s="6">
        <f>IFERROR(__xludf.DUMMYFUNCTION("""COMPUTED_VALUE"""),5648.75)</f>
        <v>5648.75</v>
      </c>
      <c r="G107" s="1">
        <f>IFERROR(__xludf.DUMMYFUNCTION("""COMPUTED_VALUE"""),151.0)</f>
        <v>151</v>
      </c>
      <c r="H107" s="6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IFERROR(__xludf.DUMMYFUNCTION("""COMPUTED_VALUE"""),1.0)</f>
        <v>1</v>
      </c>
      <c r="E108" s="6">
        <f>IFERROR(__xludf.DUMMYFUNCTION("""COMPUTED_VALUE"""),6020.09)</f>
        <v>6020.09</v>
      </c>
      <c r="F108" s="6">
        <f>IFERROR(__xludf.DUMMYFUNCTION("""COMPUTED_VALUE"""),5565.76)</f>
        <v>5565.76</v>
      </c>
      <c r="G108" s="1">
        <f>IFERROR(__xludf.DUMMYFUNCTION("""COMPUTED_VALUE"""),144.0)</f>
        <v>144</v>
      </c>
      <c r="H108" s="6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IFERROR(__xludf.DUMMYFUNCTION("""COMPUTED_VALUE"""),2.0)</f>
        <v>2</v>
      </c>
      <c r="E109" s="6">
        <f>IFERROR(__xludf.DUMMYFUNCTION("""COMPUTED_VALUE"""),6043.81)</f>
        <v>6043.81</v>
      </c>
      <c r="F109" s="6">
        <f>IFERROR(__xludf.DUMMYFUNCTION("""COMPUTED_VALUE"""),4490.5)</f>
        <v>4490.5</v>
      </c>
      <c r="G109" s="1">
        <f>IFERROR(__xludf.DUMMYFUNCTION("""COMPUTED_VALUE"""),115.0)</f>
        <v>115</v>
      </c>
      <c r="H109" s="6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IFERROR(__xludf.DUMMYFUNCTION("""COMPUTED_VALUE"""),1.0)</f>
        <v>1</v>
      </c>
      <c r="E110" s="6">
        <f>IFERROR(__xludf.DUMMYFUNCTION("""COMPUTED_VALUE"""),6924.42)</f>
        <v>6924.42</v>
      </c>
      <c r="F110" s="6">
        <f>IFERROR(__xludf.DUMMYFUNCTION("""COMPUTED_VALUE"""),4909.02)</f>
        <v>4909.02</v>
      </c>
      <c r="G110" s="1">
        <f>IFERROR(__xludf.DUMMYFUNCTION("""COMPUTED_VALUE"""),121.0)</f>
        <v>121</v>
      </c>
      <c r="H110" s="6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IFERROR(__xludf.DUMMYFUNCTION("""COMPUTED_VALUE"""),2.0)</f>
        <v>2</v>
      </c>
      <c r="E111" s="6">
        <f>IFERROR(__xludf.DUMMYFUNCTION("""COMPUTED_VALUE"""),5943.51)</f>
        <v>5943.51</v>
      </c>
      <c r="F111" s="6">
        <f>IFERROR(__xludf.DUMMYFUNCTION("""COMPUTED_VALUE"""),3697.25)</f>
        <v>3697.25</v>
      </c>
      <c r="G111" s="1">
        <f>IFERROR(__xludf.DUMMYFUNCTION("""COMPUTED_VALUE"""),108.0)</f>
        <v>108</v>
      </c>
      <c r="H111" s="6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IFERROR(__xludf.DUMMYFUNCTION("""COMPUTED_VALUE"""),1.0)</f>
        <v>1</v>
      </c>
      <c r="E112" s="6">
        <f>IFERROR(__xludf.DUMMYFUNCTION("""COMPUTED_VALUE"""),6091.33)</f>
        <v>6091.33</v>
      </c>
      <c r="F112" s="6">
        <f>IFERROR(__xludf.DUMMYFUNCTION("""COMPUTED_VALUE"""),5496.5)</f>
        <v>5496.5</v>
      </c>
      <c r="G112" s="1">
        <f>IFERROR(__xludf.DUMMYFUNCTION("""COMPUTED_VALUE"""),114.0)</f>
        <v>114</v>
      </c>
      <c r="H112" s="6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IFERROR(__xludf.DUMMYFUNCTION("""COMPUTED_VALUE"""),2.0)</f>
        <v>2</v>
      </c>
      <c r="E113" s="6">
        <f>IFERROR(__xludf.DUMMYFUNCTION("""COMPUTED_VALUE"""),5613.56)</f>
        <v>5613.56</v>
      </c>
      <c r="F113" s="6">
        <f>IFERROR(__xludf.DUMMYFUNCTION("""COMPUTED_VALUE"""),5554.41)</f>
        <v>5554.41</v>
      </c>
      <c r="G113" s="1">
        <f>IFERROR(__xludf.DUMMYFUNCTION("""COMPUTED_VALUE"""),130.0)</f>
        <v>130</v>
      </c>
      <c r="H113" s="6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IFERROR(__xludf.DUMMYFUNCTION("""COMPUTED_VALUE"""),1.0)</f>
        <v>1</v>
      </c>
      <c r="E114" s="6">
        <f>IFERROR(__xludf.DUMMYFUNCTION("""COMPUTED_VALUE"""),5975.08)</f>
        <v>5975.08</v>
      </c>
      <c r="F114" s="6">
        <f>IFERROR(__xludf.DUMMYFUNCTION("""COMPUTED_VALUE"""),4204.6)</f>
        <v>4204.6</v>
      </c>
      <c r="G114" s="1">
        <f>IFERROR(__xludf.DUMMYFUNCTION("""COMPUTED_VALUE"""),94.0)</f>
        <v>94</v>
      </c>
      <c r="H114" s="6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IFERROR(__xludf.DUMMYFUNCTION("""COMPUTED_VALUE"""),2.0)</f>
        <v>2</v>
      </c>
      <c r="E115" s="6">
        <f>IFERROR(__xludf.DUMMYFUNCTION("""COMPUTED_VALUE"""),6020.09)</f>
        <v>6020.09</v>
      </c>
      <c r="F115" s="6">
        <f>IFERROR(__xludf.DUMMYFUNCTION("""COMPUTED_VALUE"""),5071.25)</f>
        <v>5071.25</v>
      </c>
      <c r="G115" s="1">
        <f>IFERROR(__xludf.DUMMYFUNCTION("""COMPUTED_VALUE"""),115.0)</f>
        <v>115</v>
      </c>
      <c r="H115" s="6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IFERROR(__xludf.DUMMYFUNCTION("""COMPUTED_VALUE"""),1.0)</f>
        <v>1</v>
      </c>
      <c r="E116" s="6">
        <f>IFERROR(__xludf.DUMMYFUNCTION("""COMPUTED_VALUE"""),6043.81)</f>
        <v>6043.81</v>
      </c>
      <c r="F116" s="6">
        <f>IFERROR(__xludf.DUMMYFUNCTION("""COMPUTED_VALUE"""),5705.5)</f>
        <v>5705.5</v>
      </c>
      <c r="G116" s="1">
        <f>IFERROR(__xludf.DUMMYFUNCTION("""COMPUTED_VALUE"""),122.0)</f>
        <v>122</v>
      </c>
      <c r="H116" s="6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IFERROR(__xludf.DUMMYFUNCTION("""COMPUTED_VALUE"""),2.0)</f>
        <v>2</v>
      </c>
      <c r="E117" s="6">
        <f>IFERROR(__xludf.DUMMYFUNCTION("""COMPUTED_VALUE"""),6924.42)</f>
        <v>6924.42</v>
      </c>
      <c r="F117" s="6">
        <f>IFERROR(__xludf.DUMMYFUNCTION("""COMPUTED_VALUE"""),5231.75)</f>
        <v>5231.75</v>
      </c>
      <c r="G117" s="1">
        <f>IFERROR(__xludf.DUMMYFUNCTION("""COMPUTED_VALUE"""),140.0)</f>
        <v>140</v>
      </c>
      <c r="H117" s="6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IFERROR(__xludf.DUMMYFUNCTION("""COMPUTED_VALUE"""),1.0)</f>
        <v>1</v>
      </c>
      <c r="E118" s="6">
        <f>IFERROR(__xludf.DUMMYFUNCTION("""COMPUTED_VALUE"""),5943.51)</f>
        <v>5943.51</v>
      </c>
      <c r="F118" s="6">
        <f>IFERROR(__xludf.DUMMYFUNCTION("""COMPUTED_VALUE"""),3918.53)</f>
        <v>3918.53</v>
      </c>
      <c r="G118" s="1">
        <f>IFERROR(__xludf.DUMMYFUNCTION("""COMPUTED_VALUE"""),95.0)</f>
        <v>95</v>
      </c>
      <c r="H118" s="6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IFERROR(__xludf.DUMMYFUNCTION("""COMPUTED_VALUE"""),2.0)</f>
        <v>2</v>
      </c>
      <c r="E119" s="6">
        <f>IFERROR(__xludf.DUMMYFUNCTION("""COMPUTED_VALUE"""),6091.33)</f>
        <v>6091.33</v>
      </c>
      <c r="F119" s="6">
        <f>IFERROR(__xludf.DUMMYFUNCTION("""COMPUTED_VALUE"""),5023.85)</f>
        <v>5023.85</v>
      </c>
      <c r="G119" s="1">
        <f>IFERROR(__xludf.DUMMYFUNCTION("""COMPUTED_VALUE"""),115.0)</f>
        <v>115</v>
      </c>
      <c r="H119" s="6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IFERROR(__xludf.DUMMYFUNCTION("""COMPUTED_VALUE"""),1.0)</f>
        <v>1</v>
      </c>
      <c r="E120" s="6">
        <f>IFERROR(__xludf.DUMMYFUNCTION("""COMPUTED_VALUE"""),5613.56)</f>
        <v>5613.56</v>
      </c>
      <c r="F120" s="6">
        <f>IFERROR(__xludf.DUMMYFUNCTION("""COMPUTED_VALUE"""),4478.5)</f>
        <v>4478.5</v>
      </c>
      <c r="G120" s="1">
        <f>IFERROR(__xludf.DUMMYFUNCTION("""COMPUTED_VALUE"""),125.0)</f>
        <v>125</v>
      </c>
      <c r="H120" s="6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IFERROR(__xludf.DUMMYFUNCTION("""COMPUTED_VALUE"""),2.0)</f>
        <v>2</v>
      </c>
      <c r="E121" s="6">
        <f>IFERROR(__xludf.DUMMYFUNCTION("""COMPUTED_VALUE"""),5975.08)</f>
        <v>5975.08</v>
      </c>
      <c r="F121" s="6">
        <f>IFERROR(__xludf.DUMMYFUNCTION("""COMPUTED_VALUE"""),5919.75)</f>
        <v>5919.75</v>
      </c>
      <c r="G121" s="1">
        <f>IFERROR(__xludf.DUMMYFUNCTION("""COMPUTED_VALUE"""),156.0)</f>
        <v>156</v>
      </c>
      <c r="H121" s="6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IFERROR(__xludf.DUMMYFUNCTION("""COMPUTED_VALUE"""),1.0)</f>
        <v>1</v>
      </c>
      <c r="E122" s="6">
        <f>IFERROR(__xludf.DUMMYFUNCTION("""COMPUTED_VALUE"""),6020.09)</f>
        <v>6020.09</v>
      </c>
      <c r="F122" s="6">
        <f>IFERROR(__xludf.DUMMYFUNCTION("""COMPUTED_VALUE"""),6167.5)</f>
        <v>6167.5</v>
      </c>
      <c r="G122" s="1">
        <f>IFERROR(__xludf.DUMMYFUNCTION("""COMPUTED_VALUE"""),122.0)</f>
        <v>122</v>
      </c>
      <c r="H122" s="6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IFERROR(__xludf.DUMMYFUNCTION("""COMPUTED_VALUE"""),2.0)</f>
        <v>2</v>
      </c>
      <c r="E123" s="6">
        <f>IFERROR(__xludf.DUMMYFUNCTION("""COMPUTED_VALUE"""),6043.81)</f>
        <v>6043.81</v>
      </c>
      <c r="F123" s="6">
        <f>IFERROR(__xludf.DUMMYFUNCTION("""COMPUTED_VALUE"""),6660.26)</f>
        <v>6660.26</v>
      </c>
      <c r="G123" s="1">
        <f>IFERROR(__xludf.DUMMYFUNCTION("""COMPUTED_VALUE"""),156.0)</f>
        <v>156</v>
      </c>
      <c r="H123" s="6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IFERROR(__xludf.DUMMYFUNCTION("""COMPUTED_VALUE"""),1.0)</f>
        <v>1</v>
      </c>
      <c r="E124" s="6">
        <f>IFERROR(__xludf.DUMMYFUNCTION("""COMPUTED_VALUE"""),6924.42)</f>
        <v>6924.42</v>
      </c>
      <c r="F124" s="6">
        <f>IFERROR(__xludf.DUMMYFUNCTION("""COMPUTED_VALUE"""),7550.0)</f>
        <v>7550</v>
      </c>
      <c r="G124" s="1">
        <f>IFERROR(__xludf.DUMMYFUNCTION("""COMPUTED_VALUE"""),139.0)</f>
        <v>139</v>
      </c>
      <c r="H124" s="6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IFERROR(__xludf.DUMMYFUNCTION("""COMPUTED_VALUE"""),2.0)</f>
        <v>2</v>
      </c>
      <c r="E125" s="6">
        <f>IFERROR(__xludf.DUMMYFUNCTION("""COMPUTED_VALUE"""),5943.51)</f>
        <v>5943.51</v>
      </c>
      <c r="F125" s="6">
        <f>IFERROR(__xludf.DUMMYFUNCTION("""COMPUTED_VALUE"""),6457.25)</f>
        <v>6457.25</v>
      </c>
      <c r="G125" s="1">
        <f>IFERROR(__xludf.DUMMYFUNCTION("""COMPUTED_VALUE"""),145.0)</f>
        <v>145</v>
      </c>
      <c r="H125" s="6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IFERROR(__xludf.DUMMYFUNCTION("""COMPUTED_VALUE"""),1.0)</f>
        <v>1</v>
      </c>
      <c r="E126" s="6">
        <f>IFERROR(__xludf.DUMMYFUNCTION("""COMPUTED_VALUE"""),6091.33)</f>
        <v>6091.33</v>
      </c>
      <c r="F126" s="6">
        <f>IFERROR(__xludf.DUMMYFUNCTION("""COMPUTED_VALUE"""),5580.53)</f>
        <v>5580.53</v>
      </c>
      <c r="G126" s="1">
        <f>IFERROR(__xludf.DUMMYFUNCTION("""COMPUTED_VALUE"""),125.0)</f>
        <v>125</v>
      </c>
      <c r="H126" s="6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IFERROR(__xludf.DUMMYFUNCTION("""COMPUTED_VALUE"""),2.0)</f>
        <v>2</v>
      </c>
      <c r="E127" s="6">
        <f>IFERROR(__xludf.DUMMYFUNCTION("""COMPUTED_VALUE"""),5613.56)</f>
        <v>5613.56</v>
      </c>
      <c r="F127" s="6">
        <f>IFERROR(__xludf.DUMMYFUNCTION("""COMPUTED_VALUE"""),5591.5)</f>
        <v>5591.5</v>
      </c>
      <c r="G127" s="1">
        <f>IFERROR(__xludf.DUMMYFUNCTION("""COMPUTED_VALUE"""),140.0)</f>
        <v>140</v>
      </c>
      <c r="H127" s="6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IFERROR(__xludf.DUMMYFUNCTION("""COMPUTED_VALUE"""),1.0)</f>
        <v>1</v>
      </c>
      <c r="E128" s="6">
        <f>IFERROR(__xludf.DUMMYFUNCTION("""COMPUTED_VALUE"""),5975.08)</f>
        <v>5975.08</v>
      </c>
      <c r="F128" s="6">
        <f>IFERROR(__xludf.DUMMYFUNCTION("""COMPUTED_VALUE"""),5442.5)</f>
        <v>5442.5</v>
      </c>
      <c r="G128" s="1">
        <f>IFERROR(__xludf.DUMMYFUNCTION("""COMPUTED_VALUE"""),144.0)</f>
        <v>144</v>
      </c>
      <c r="H128" s="6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IFERROR(__xludf.DUMMYFUNCTION("""COMPUTED_VALUE"""),2.0)</f>
        <v>2</v>
      </c>
      <c r="E129" s="6">
        <f>IFERROR(__xludf.DUMMYFUNCTION("""COMPUTED_VALUE"""),6020.09)</f>
        <v>6020.09</v>
      </c>
      <c r="F129" s="6">
        <f>IFERROR(__xludf.DUMMYFUNCTION("""COMPUTED_VALUE"""),5927.51)</f>
        <v>5927.51</v>
      </c>
      <c r="G129" s="1">
        <f>IFERROR(__xludf.DUMMYFUNCTION("""COMPUTED_VALUE"""),142.0)</f>
        <v>142</v>
      </c>
      <c r="H129" s="6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IFERROR(__xludf.DUMMYFUNCTION("""COMPUTED_VALUE"""),1.0)</f>
        <v>1</v>
      </c>
      <c r="E130" s="6">
        <f>IFERROR(__xludf.DUMMYFUNCTION("""COMPUTED_VALUE"""),6043.81)</f>
        <v>6043.81</v>
      </c>
      <c r="F130" s="6">
        <f>IFERROR(__xludf.DUMMYFUNCTION("""COMPUTED_VALUE"""),6524.52)</f>
        <v>6524.52</v>
      </c>
      <c r="G130" s="1">
        <f>IFERROR(__xludf.DUMMYFUNCTION("""COMPUTED_VALUE"""),162.0)</f>
        <v>162</v>
      </c>
      <c r="H130" s="6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IFERROR(__xludf.DUMMYFUNCTION("""COMPUTED_VALUE"""),2.0)</f>
        <v>2</v>
      </c>
      <c r="E131" s="6">
        <f>IFERROR(__xludf.DUMMYFUNCTION("""COMPUTED_VALUE"""),6924.42)</f>
        <v>6924.42</v>
      </c>
      <c r="F131" s="6">
        <f>IFERROR(__xludf.DUMMYFUNCTION("""COMPUTED_VALUE"""),6612.76)</f>
        <v>6612.76</v>
      </c>
      <c r="G131" s="1">
        <f>IFERROR(__xludf.DUMMYFUNCTION("""COMPUTED_VALUE"""),160.0)</f>
        <v>160</v>
      </c>
      <c r="H131" s="6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IFERROR(__xludf.DUMMYFUNCTION("""COMPUTED_VALUE"""),1.0)</f>
        <v>1</v>
      </c>
      <c r="E132" s="6">
        <f>IFERROR(__xludf.DUMMYFUNCTION("""COMPUTED_VALUE"""),5943.51)</f>
        <v>5943.51</v>
      </c>
      <c r="F132" s="6">
        <f>IFERROR(__xludf.DUMMYFUNCTION("""COMPUTED_VALUE"""),5674.0)</f>
        <v>5674</v>
      </c>
      <c r="G132" s="1">
        <f>IFERROR(__xludf.DUMMYFUNCTION("""COMPUTED_VALUE"""),120.0)</f>
        <v>120</v>
      </c>
      <c r="H132" s="6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IFERROR(__xludf.DUMMYFUNCTION("""COMPUTED_VALUE"""),2.0)</f>
        <v>2</v>
      </c>
      <c r="E133" s="6">
        <f>IFERROR(__xludf.DUMMYFUNCTION("""COMPUTED_VALUE"""),6091.33)</f>
        <v>6091.33</v>
      </c>
      <c r="F133" s="6">
        <f>IFERROR(__xludf.DUMMYFUNCTION("""COMPUTED_VALUE"""),4326.75)</f>
        <v>4326.75</v>
      </c>
      <c r="G133" s="1">
        <f>IFERROR(__xludf.DUMMYFUNCTION("""COMPUTED_VALUE"""),110.0)</f>
        <v>110</v>
      </c>
      <c r="H133" s="6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IFERROR(__xludf.DUMMYFUNCTION("""COMPUTED_VALUE"""),1.0)</f>
        <v>1</v>
      </c>
      <c r="E134" s="6">
        <f>IFERROR(__xludf.DUMMYFUNCTION("""COMPUTED_VALUE"""),5613.56)</f>
        <v>5613.56</v>
      </c>
      <c r="F134" s="6">
        <f>IFERROR(__xludf.DUMMYFUNCTION("""COMPUTED_VALUE"""),5737.51)</f>
        <v>5737.51</v>
      </c>
      <c r="G134" s="1">
        <f>IFERROR(__xludf.DUMMYFUNCTION("""COMPUTED_VALUE"""),132.0)</f>
        <v>132</v>
      </c>
      <c r="H134" s="6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IFERROR(__xludf.DUMMYFUNCTION("""COMPUTED_VALUE"""),2.0)</f>
        <v>2</v>
      </c>
      <c r="E135" s="6">
        <f>IFERROR(__xludf.DUMMYFUNCTION("""COMPUTED_VALUE"""),5975.08)</f>
        <v>5975.08</v>
      </c>
      <c r="F135" s="6">
        <f>IFERROR(__xludf.DUMMYFUNCTION("""COMPUTED_VALUE"""),4953.75)</f>
        <v>4953.75</v>
      </c>
      <c r="G135" s="1">
        <f>IFERROR(__xludf.DUMMYFUNCTION("""COMPUTED_VALUE"""),126.0)</f>
        <v>126</v>
      </c>
      <c r="H135" s="6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IFERROR(__xludf.DUMMYFUNCTION("""COMPUTED_VALUE"""),1.0)</f>
        <v>1</v>
      </c>
      <c r="E136" s="6">
        <f>IFERROR(__xludf.DUMMYFUNCTION("""COMPUTED_VALUE"""),6020.09)</f>
        <v>6020.09</v>
      </c>
      <c r="F136" s="6">
        <f>IFERROR(__xludf.DUMMYFUNCTION("""COMPUTED_VALUE"""),5613.75)</f>
        <v>5613.75</v>
      </c>
      <c r="G136" s="1">
        <f>IFERROR(__xludf.DUMMYFUNCTION("""COMPUTED_VALUE"""),131.0)</f>
        <v>131</v>
      </c>
      <c r="H136" s="6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IFERROR(__xludf.DUMMYFUNCTION("""COMPUTED_VALUE"""),2.0)</f>
        <v>2</v>
      </c>
      <c r="E137" s="6">
        <f>IFERROR(__xludf.DUMMYFUNCTION("""COMPUTED_VALUE"""),6043.81)</f>
        <v>6043.81</v>
      </c>
      <c r="F137" s="6">
        <f>IFERROR(__xludf.DUMMYFUNCTION("""COMPUTED_VALUE"""),4190.01)</f>
        <v>4190.01</v>
      </c>
      <c r="G137" s="1">
        <f>IFERROR(__xludf.DUMMYFUNCTION("""COMPUTED_VALUE"""),127.0)</f>
        <v>127</v>
      </c>
      <c r="H137" s="6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IFERROR(__xludf.DUMMYFUNCTION("""COMPUTED_VALUE"""),1.0)</f>
        <v>1</v>
      </c>
      <c r="E138" s="6">
        <f>IFERROR(__xludf.DUMMYFUNCTION("""COMPUTED_VALUE"""),6924.42)</f>
        <v>6924.42</v>
      </c>
      <c r="F138" s="6">
        <f>IFERROR(__xludf.DUMMYFUNCTION("""COMPUTED_VALUE"""),6291.53)</f>
        <v>6291.53</v>
      </c>
      <c r="G138" s="1">
        <f>IFERROR(__xludf.DUMMYFUNCTION("""COMPUTED_VALUE"""),127.0)</f>
        <v>127</v>
      </c>
      <c r="H138" s="6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IFERROR(__xludf.DUMMYFUNCTION("""COMPUTED_VALUE"""),2.0)</f>
        <v>2</v>
      </c>
      <c r="E139" s="6">
        <f>IFERROR(__xludf.DUMMYFUNCTION("""COMPUTED_VALUE"""),5943.51)</f>
        <v>5943.51</v>
      </c>
      <c r="F139" s="6">
        <f>IFERROR(__xludf.DUMMYFUNCTION("""COMPUTED_VALUE"""),5323.27)</f>
        <v>5323.27</v>
      </c>
      <c r="G139" s="1">
        <f>IFERROR(__xludf.DUMMYFUNCTION("""COMPUTED_VALUE"""),111.0)</f>
        <v>111</v>
      </c>
      <c r="H139" s="6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IFERROR(__xludf.DUMMYFUNCTION("""COMPUTED_VALUE"""),1.0)</f>
        <v>1</v>
      </c>
      <c r="E140" s="6">
        <f>IFERROR(__xludf.DUMMYFUNCTION("""COMPUTED_VALUE"""),6091.33)</f>
        <v>6091.33</v>
      </c>
      <c r="F140" s="6">
        <f>IFERROR(__xludf.DUMMYFUNCTION("""COMPUTED_VALUE"""),5110.53)</f>
        <v>5110.53</v>
      </c>
      <c r="G140" s="1">
        <f>IFERROR(__xludf.DUMMYFUNCTION("""COMPUTED_VALUE"""),111.0)</f>
        <v>111</v>
      </c>
      <c r="H140" s="6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IFERROR(__xludf.DUMMYFUNCTION("""COMPUTED_VALUE"""),2.0)</f>
        <v>2</v>
      </c>
      <c r="E141" s="6">
        <f>IFERROR(__xludf.DUMMYFUNCTION("""COMPUTED_VALUE"""),5613.56)</f>
        <v>5613.56</v>
      </c>
      <c r="F141" s="6">
        <f>IFERROR(__xludf.DUMMYFUNCTION("""COMPUTED_VALUE"""),5426.25)</f>
        <v>5426.25</v>
      </c>
      <c r="G141" s="1">
        <f>IFERROR(__xludf.DUMMYFUNCTION("""COMPUTED_VALUE"""),141.0)</f>
        <v>141</v>
      </c>
      <c r="H141" s="6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IFERROR(__xludf.DUMMYFUNCTION("""COMPUTED_VALUE"""),1.0)</f>
        <v>1</v>
      </c>
      <c r="E142" s="6">
        <f>IFERROR(__xludf.DUMMYFUNCTION("""COMPUTED_VALUE"""),5975.08)</f>
        <v>5975.08</v>
      </c>
      <c r="F142" s="6">
        <f>IFERROR(__xludf.DUMMYFUNCTION("""COMPUTED_VALUE"""),5119.75)</f>
        <v>5119.75</v>
      </c>
      <c r="G142" s="1">
        <f>IFERROR(__xludf.DUMMYFUNCTION("""COMPUTED_VALUE"""),121.0)</f>
        <v>121</v>
      </c>
      <c r="H142" s="6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IFERROR(__xludf.DUMMYFUNCTION("""COMPUTED_VALUE"""),2.0)</f>
        <v>2</v>
      </c>
      <c r="E143" s="6">
        <f>IFERROR(__xludf.DUMMYFUNCTION("""COMPUTED_VALUE"""),6020.09)</f>
        <v>6020.09</v>
      </c>
      <c r="F143" s="6">
        <f>IFERROR(__xludf.DUMMYFUNCTION("""COMPUTED_VALUE"""),5490.75)</f>
        <v>5490.75</v>
      </c>
      <c r="G143" s="1">
        <f>IFERROR(__xludf.DUMMYFUNCTION("""COMPUTED_VALUE"""),136.0)</f>
        <v>136</v>
      </c>
      <c r="H143" s="6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IFERROR(__xludf.DUMMYFUNCTION("""COMPUTED_VALUE"""),1.0)</f>
        <v>1</v>
      </c>
      <c r="E144" s="6">
        <f>IFERROR(__xludf.DUMMYFUNCTION("""COMPUTED_VALUE"""),6043.81)</f>
        <v>6043.81</v>
      </c>
      <c r="F144" s="6">
        <f>IFERROR(__xludf.DUMMYFUNCTION("""COMPUTED_VALUE"""),6433.26)</f>
        <v>6433.26</v>
      </c>
      <c r="G144" s="1">
        <f>IFERROR(__xludf.DUMMYFUNCTION("""COMPUTED_VALUE"""),140.0)</f>
        <v>140</v>
      </c>
      <c r="H144" s="6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IFERROR(__xludf.DUMMYFUNCTION("""COMPUTED_VALUE"""),2.0)</f>
        <v>2</v>
      </c>
      <c r="E145" s="6">
        <f>IFERROR(__xludf.DUMMYFUNCTION("""COMPUTED_VALUE"""),6924.42)</f>
        <v>6924.42</v>
      </c>
      <c r="F145" s="6">
        <f>IFERROR(__xludf.DUMMYFUNCTION("""COMPUTED_VALUE"""),6698.26)</f>
        <v>6698.26</v>
      </c>
      <c r="G145" s="1">
        <f>IFERROR(__xludf.DUMMYFUNCTION("""COMPUTED_VALUE"""),146.0)</f>
        <v>146</v>
      </c>
      <c r="H145" s="6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IFERROR(__xludf.DUMMYFUNCTION("""COMPUTED_VALUE"""),1.0)</f>
        <v>1</v>
      </c>
      <c r="E146" s="6">
        <f>IFERROR(__xludf.DUMMYFUNCTION("""COMPUTED_VALUE"""),5943.51)</f>
        <v>5943.51</v>
      </c>
      <c r="F146" s="6">
        <f>IFERROR(__xludf.DUMMYFUNCTION("""COMPUTED_VALUE"""),5204.0)</f>
        <v>5204</v>
      </c>
      <c r="G146" s="1">
        <f>IFERROR(__xludf.DUMMYFUNCTION("""COMPUTED_VALUE"""),117.0)</f>
        <v>117</v>
      </c>
      <c r="H146" s="6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IFERROR(__xludf.DUMMYFUNCTION("""COMPUTED_VALUE"""),2.0)</f>
        <v>2</v>
      </c>
      <c r="E147" s="6">
        <f>IFERROR(__xludf.DUMMYFUNCTION("""COMPUTED_VALUE"""),6091.33)</f>
        <v>6091.33</v>
      </c>
      <c r="F147" s="6">
        <f>IFERROR(__xludf.DUMMYFUNCTION("""COMPUTED_VALUE"""),4265.5)</f>
        <v>4265.5</v>
      </c>
      <c r="G147" s="1">
        <f>IFERROR(__xludf.DUMMYFUNCTION("""COMPUTED_VALUE"""),113.0)</f>
        <v>113</v>
      </c>
      <c r="H147" s="6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IFERROR(__xludf.DUMMYFUNCTION("""COMPUTED_VALUE"""),1.0)</f>
        <v>1</v>
      </c>
      <c r="E148" s="6">
        <f>IFERROR(__xludf.DUMMYFUNCTION("""COMPUTED_VALUE"""),5613.56)</f>
        <v>5613.56</v>
      </c>
      <c r="F148" s="6">
        <f>IFERROR(__xludf.DUMMYFUNCTION("""COMPUTED_VALUE"""),5435.0)</f>
        <v>5435</v>
      </c>
      <c r="G148" s="1">
        <f>IFERROR(__xludf.DUMMYFUNCTION("""COMPUTED_VALUE"""),135.0)</f>
        <v>135</v>
      </c>
      <c r="H148" s="6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IFERROR(__xludf.DUMMYFUNCTION("""COMPUTED_VALUE"""),2.0)</f>
        <v>2</v>
      </c>
      <c r="E149" s="6">
        <f>IFERROR(__xludf.DUMMYFUNCTION("""COMPUTED_VALUE"""),5975.08)</f>
        <v>5975.08</v>
      </c>
      <c r="F149" s="6">
        <f>IFERROR(__xludf.DUMMYFUNCTION("""COMPUTED_VALUE"""),5944.5)</f>
        <v>5944.5</v>
      </c>
      <c r="G149" s="1">
        <f>IFERROR(__xludf.DUMMYFUNCTION("""COMPUTED_VALUE"""),128.0)</f>
        <v>128</v>
      </c>
      <c r="H149" s="6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IFERROR(__xludf.DUMMYFUNCTION("""COMPUTED_VALUE"""),1.0)</f>
        <v>1</v>
      </c>
      <c r="E150" s="6">
        <f>IFERROR(__xludf.DUMMYFUNCTION("""COMPUTED_VALUE"""),6020.09)</f>
        <v>6020.09</v>
      </c>
      <c r="F150" s="6">
        <f>IFERROR(__xludf.DUMMYFUNCTION("""COMPUTED_VALUE"""),5554.5)</f>
        <v>5554.5</v>
      </c>
      <c r="G150" s="1">
        <f>IFERROR(__xludf.DUMMYFUNCTION("""COMPUTED_VALUE"""),126.0)</f>
        <v>126</v>
      </c>
      <c r="H150" s="6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IFERROR(__xludf.DUMMYFUNCTION("""COMPUTED_VALUE"""),2.0)</f>
        <v>2</v>
      </c>
      <c r="E151" s="6">
        <f>IFERROR(__xludf.DUMMYFUNCTION("""COMPUTED_VALUE"""),6043.81)</f>
        <v>6043.81</v>
      </c>
      <c r="F151" s="6">
        <f>IFERROR(__xludf.DUMMYFUNCTION("""COMPUTED_VALUE"""),5290.56)</f>
        <v>5290.56</v>
      </c>
      <c r="G151" s="1">
        <f>IFERROR(__xludf.DUMMYFUNCTION("""COMPUTED_VALUE"""),136.0)</f>
        <v>136</v>
      </c>
      <c r="H151" s="6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IFERROR(__xludf.DUMMYFUNCTION("""COMPUTED_VALUE"""),1.0)</f>
        <v>1</v>
      </c>
      <c r="E152" s="6">
        <f>IFERROR(__xludf.DUMMYFUNCTION("""COMPUTED_VALUE"""),6924.42)</f>
        <v>6924.42</v>
      </c>
      <c r="F152" s="6">
        <f>IFERROR(__xludf.DUMMYFUNCTION("""COMPUTED_VALUE"""),6506.0)</f>
        <v>6506</v>
      </c>
      <c r="G152" s="1">
        <f>IFERROR(__xludf.DUMMYFUNCTION("""COMPUTED_VALUE"""),137.0)</f>
        <v>137</v>
      </c>
      <c r="H152" s="6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IFERROR(__xludf.DUMMYFUNCTION("""COMPUTED_VALUE"""),2.0)</f>
        <v>2</v>
      </c>
      <c r="E153" s="6">
        <f>IFERROR(__xludf.DUMMYFUNCTION("""COMPUTED_VALUE"""),5837.73)</f>
        <v>5837.73</v>
      </c>
      <c r="F153" s="6">
        <f>IFERROR(__xludf.DUMMYFUNCTION("""COMPUTED_VALUE"""),5193.25)</f>
        <v>5193.25</v>
      </c>
      <c r="G153" s="1">
        <f>IFERROR(__xludf.DUMMYFUNCTION("""COMPUTED_VALUE"""),121.0)</f>
        <v>121</v>
      </c>
      <c r="H153" s="6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IFERROR(__xludf.DUMMYFUNCTION("""COMPUTED_VALUE"""),1.0)</f>
        <v>1</v>
      </c>
      <c r="E154" s="6">
        <f>IFERROR(__xludf.DUMMYFUNCTION("""COMPUTED_VALUE"""),6072.95)</f>
        <v>6072.95</v>
      </c>
      <c r="F154" s="6">
        <f>IFERROR(__xludf.DUMMYFUNCTION("""COMPUTED_VALUE"""),5697.27)</f>
        <v>5697.27</v>
      </c>
      <c r="G154" s="1">
        <f>IFERROR(__xludf.DUMMYFUNCTION("""COMPUTED_VALUE"""),134.0)</f>
        <v>134</v>
      </c>
      <c r="H154" s="6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IFERROR(__xludf.DUMMYFUNCTION("""COMPUTED_VALUE"""),2.0)</f>
        <v>2</v>
      </c>
      <c r="E155" s="6">
        <f>IFERROR(__xludf.DUMMYFUNCTION("""COMPUTED_VALUE"""),5780.23)</f>
        <v>5780.23</v>
      </c>
      <c r="F155" s="6">
        <f>IFERROR(__xludf.DUMMYFUNCTION("""COMPUTED_VALUE"""),4317.75)</f>
        <v>4317.75</v>
      </c>
      <c r="G155" s="1">
        <f>IFERROR(__xludf.DUMMYFUNCTION("""COMPUTED_VALUE"""),108.0)</f>
        <v>108</v>
      </c>
      <c r="H155" s="6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IFERROR(__xludf.DUMMYFUNCTION("""COMPUTED_VALUE"""),1.0)</f>
        <v>1</v>
      </c>
      <c r="E156" s="6">
        <f>IFERROR(__xludf.DUMMYFUNCTION("""COMPUTED_VALUE"""),6107.68)</f>
        <v>6107.68</v>
      </c>
      <c r="F156" s="6">
        <f>IFERROR(__xludf.DUMMYFUNCTION("""COMPUTED_VALUE"""),5293.51)</f>
        <v>5293.51</v>
      </c>
      <c r="G156" s="1">
        <f>IFERROR(__xludf.DUMMYFUNCTION("""COMPUTED_VALUE"""),134.0)</f>
        <v>134</v>
      </c>
      <c r="H156" s="6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IFERROR(__xludf.DUMMYFUNCTION("""COMPUTED_VALUE"""),2.0)</f>
        <v>2</v>
      </c>
      <c r="E157" s="6">
        <f>IFERROR(__xludf.DUMMYFUNCTION("""COMPUTED_VALUE"""),6237.38)</f>
        <v>6237.38</v>
      </c>
      <c r="F157" s="6">
        <f>IFERROR(__xludf.DUMMYFUNCTION("""COMPUTED_VALUE"""),5534.75)</f>
        <v>5534.75</v>
      </c>
      <c r="G157" s="1">
        <f>IFERROR(__xludf.DUMMYFUNCTION("""COMPUTED_VALUE"""),138.0)</f>
        <v>138</v>
      </c>
      <c r="H157" s="6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IFERROR(__xludf.DUMMYFUNCTION("""COMPUTED_VALUE"""),1.0)</f>
        <v>1</v>
      </c>
      <c r="E158" s="6">
        <f>IFERROR(__xludf.DUMMYFUNCTION("""COMPUTED_VALUE"""),6131.47)</f>
        <v>6131.47</v>
      </c>
      <c r="F158" s="6">
        <f>IFERROR(__xludf.DUMMYFUNCTION("""COMPUTED_VALUE"""),4842.75)</f>
        <v>4842.75</v>
      </c>
      <c r="G158" s="1">
        <f>IFERROR(__xludf.DUMMYFUNCTION("""COMPUTED_VALUE"""),115.0)</f>
        <v>115</v>
      </c>
      <c r="H158" s="6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IFERROR(__xludf.DUMMYFUNCTION("""COMPUTED_VALUE"""),2.0)</f>
        <v>2</v>
      </c>
      <c r="E159" s="6">
        <f>IFERROR(__xludf.DUMMYFUNCTION("""COMPUTED_VALUE"""),6746.39)</f>
        <v>6746.39</v>
      </c>
      <c r="F159" s="6">
        <f>IFERROR(__xludf.DUMMYFUNCTION("""COMPUTED_VALUE"""),6439.5)</f>
        <v>6439.5</v>
      </c>
      <c r="G159" s="1">
        <f>IFERROR(__xludf.DUMMYFUNCTION("""COMPUTED_VALUE"""),137.0)</f>
        <v>137</v>
      </c>
      <c r="H159" s="6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IFERROR(__xludf.DUMMYFUNCTION("""COMPUTED_VALUE"""),1.0)</f>
        <v>1</v>
      </c>
      <c r="E160" s="6">
        <f>IFERROR(__xludf.DUMMYFUNCTION("""COMPUTED_VALUE"""),5837.73)</f>
        <v>5837.73</v>
      </c>
      <c r="F160" s="6">
        <f>IFERROR(__xludf.DUMMYFUNCTION("""COMPUTED_VALUE"""),4094.5)</f>
        <v>4094.5</v>
      </c>
      <c r="G160" s="1">
        <f>IFERROR(__xludf.DUMMYFUNCTION("""COMPUTED_VALUE"""),100.0)</f>
        <v>100</v>
      </c>
      <c r="H160" s="6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IFERROR(__xludf.DUMMYFUNCTION("""COMPUTED_VALUE"""),2.0)</f>
        <v>2</v>
      </c>
      <c r="E161" s="6">
        <f>IFERROR(__xludf.DUMMYFUNCTION("""COMPUTED_VALUE"""),6072.95)</f>
        <v>6072.95</v>
      </c>
      <c r="F161" s="6">
        <f>IFERROR(__xludf.DUMMYFUNCTION("""COMPUTED_VALUE"""),4391.5)</f>
        <v>4391.5</v>
      </c>
      <c r="G161" s="1">
        <f>IFERROR(__xludf.DUMMYFUNCTION("""COMPUTED_VALUE"""),100.0)</f>
        <v>100</v>
      </c>
      <c r="H161" s="6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IFERROR(__xludf.DUMMYFUNCTION("""COMPUTED_VALUE"""),1.0)</f>
        <v>1</v>
      </c>
      <c r="E162" s="6">
        <f>IFERROR(__xludf.DUMMYFUNCTION("""COMPUTED_VALUE"""),5780.23)</f>
        <v>5780.23</v>
      </c>
      <c r="F162" s="6">
        <f>IFERROR(__xludf.DUMMYFUNCTION("""COMPUTED_VALUE"""),4964.15)</f>
        <v>4964.15</v>
      </c>
      <c r="G162" s="1">
        <f>IFERROR(__xludf.DUMMYFUNCTION("""COMPUTED_VALUE"""),124.0)</f>
        <v>124</v>
      </c>
      <c r="H162" s="6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IFERROR(__xludf.DUMMYFUNCTION("""COMPUTED_VALUE"""),2.0)</f>
        <v>2</v>
      </c>
      <c r="E163" s="6">
        <f>IFERROR(__xludf.DUMMYFUNCTION("""COMPUTED_VALUE"""),6107.68)</f>
        <v>6107.68</v>
      </c>
      <c r="F163" s="6">
        <f>IFERROR(__xludf.DUMMYFUNCTION("""COMPUTED_VALUE"""),5189.25)</f>
        <v>5189.25</v>
      </c>
      <c r="G163" s="1">
        <f>IFERROR(__xludf.DUMMYFUNCTION("""COMPUTED_VALUE"""),129.0)</f>
        <v>129</v>
      </c>
      <c r="H163" s="6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IFERROR(__xludf.DUMMYFUNCTION("""COMPUTED_VALUE"""),1.0)</f>
        <v>1</v>
      </c>
      <c r="E164" s="6">
        <f>IFERROR(__xludf.DUMMYFUNCTION("""COMPUTED_VALUE"""),6237.38)</f>
        <v>6237.38</v>
      </c>
      <c r="F164" s="6">
        <f>IFERROR(__xludf.DUMMYFUNCTION("""COMPUTED_VALUE"""),6545.75)</f>
        <v>6545.75</v>
      </c>
      <c r="G164" s="1">
        <f>IFERROR(__xludf.DUMMYFUNCTION("""COMPUTED_VALUE"""),155.0)</f>
        <v>155</v>
      </c>
      <c r="H164" s="6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IFERROR(__xludf.DUMMYFUNCTION("""COMPUTED_VALUE"""),2.0)</f>
        <v>2</v>
      </c>
      <c r="E165" s="6">
        <f>IFERROR(__xludf.DUMMYFUNCTION("""COMPUTED_VALUE"""),6131.47)</f>
        <v>6131.47</v>
      </c>
      <c r="F165" s="6">
        <f>IFERROR(__xludf.DUMMYFUNCTION("""COMPUTED_VALUE"""),5333.0)</f>
        <v>5333</v>
      </c>
      <c r="G165" s="1">
        <f>IFERROR(__xludf.DUMMYFUNCTION("""COMPUTED_VALUE"""),111.0)</f>
        <v>111</v>
      </c>
      <c r="H165" s="6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IFERROR(__xludf.DUMMYFUNCTION("""COMPUTED_VALUE"""),1.0)</f>
        <v>1</v>
      </c>
      <c r="E166" s="6">
        <f>IFERROR(__xludf.DUMMYFUNCTION("""COMPUTED_VALUE"""),6746.39)</f>
        <v>6746.39</v>
      </c>
      <c r="F166" s="6">
        <f>IFERROR(__xludf.DUMMYFUNCTION("""COMPUTED_VALUE"""),7200.01)</f>
        <v>7200.01</v>
      </c>
      <c r="G166" s="1">
        <f>IFERROR(__xludf.DUMMYFUNCTION("""COMPUTED_VALUE"""),150.0)</f>
        <v>150</v>
      </c>
      <c r="H166" s="6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IFERROR(__xludf.DUMMYFUNCTION("""COMPUTED_VALUE"""),2.0)</f>
        <v>2</v>
      </c>
      <c r="E167" s="6">
        <f>IFERROR(__xludf.DUMMYFUNCTION("""COMPUTED_VALUE"""),5837.73)</f>
        <v>5837.73</v>
      </c>
      <c r="F167" s="6">
        <f>IFERROR(__xludf.DUMMYFUNCTION("""COMPUTED_VALUE"""),5326.5)</f>
        <v>5326.5</v>
      </c>
      <c r="G167" s="1">
        <f>IFERROR(__xludf.DUMMYFUNCTION("""COMPUTED_VALUE"""),112.0)</f>
        <v>112</v>
      </c>
      <c r="H167" s="6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IFERROR(__xludf.DUMMYFUNCTION("""COMPUTED_VALUE"""),1.0)</f>
        <v>1</v>
      </c>
      <c r="E168" s="6">
        <f>IFERROR(__xludf.DUMMYFUNCTION("""COMPUTED_VALUE"""),6072.95)</f>
        <v>6072.95</v>
      </c>
      <c r="F168" s="6">
        <f>IFERROR(__xludf.DUMMYFUNCTION("""COMPUTED_VALUE"""),5026.0)</f>
        <v>5026</v>
      </c>
      <c r="G168" s="1">
        <f>IFERROR(__xludf.DUMMYFUNCTION("""COMPUTED_VALUE"""),119.0)</f>
        <v>119</v>
      </c>
      <c r="H168" s="6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IFERROR(__xludf.DUMMYFUNCTION("""COMPUTED_VALUE"""),2.0)</f>
        <v>2</v>
      </c>
      <c r="E169" s="6">
        <f>IFERROR(__xludf.DUMMYFUNCTION("""COMPUTED_VALUE"""),5780.23)</f>
        <v>5780.23</v>
      </c>
      <c r="F169" s="6">
        <f>IFERROR(__xludf.DUMMYFUNCTION("""COMPUTED_VALUE"""),5887.0)</f>
        <v>5887</v>
      </c>
      <c r="G169" s="1">
        <f>IFERROR(__xludf.DUMMYFUNCTION("""COMPUTED_VALUE"""),144.0)</f>
        <v>144</v>
      </c>
      <c r="H169" s="6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IFERROR(__xludf.DUMMYFUNCTION("""COMPUTED_VALUE"""),1.0)</f>
        <v>1</v>
      </c>
      <c r="E170" s="6">
        <f>IFERROR(__xludf.DUMMYFUNCTION("""COMPUTED_VALUE"""),6107.68)</f>
        <v>6107.68</v>
      </c>
      <c r="F170" s="6">
        <f>IFERROR(__xludf.DUMMYFUNCTION("""COMPUTED_VALUE"""),4456.5)</f>
        <v>4456.5</v>
      </c>
      <c r="G170" s="1">
        <f>IFERROR(__xludf.DUMMYFUNCTION("""COMPUTED_VALUE"""),114.0)</f>
        <v>114</v>
      </c>
      <c r="H170" s="6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IFERROR(__xludf.DUMMYFUNCTION("""COMPUTED_VALUE"""),2.0)</f>
        <v>2</v>
      </c>
      <c r="E171" s="6">
        <f>IFERROR(__xludf.DUMMYFUNCTION("""COMPUTED_VALUE"""),6237.38)</f>
        <v>6237.38</v>
      </c>
      <c r="F171" s="6">
        <f>IFERROR(__xludf.DUMMYFUNCTION("""COMPUTED_VALUE"""),5131.0)</f>
        <v>5131</v>
      </c>
      <c r="G171" s="1">
        <f>IFERROR(__xludf.DUMMYFUNCTION("""COMPUTED_VALUE"""),107.0)</f>
        <v>107</v>
      </c>
      <c r="H171" s="6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IFERROR(__xludf.DUMMYFUNCTION("""COMPUTED_VALUE"""),1.0)</f>
        <v>1</v>
      </c>
      <c r="E172" s="6">
        <f>IFERROR(__xludf.DUMMYFUNCTION("""COMPUTED_VALUE"""),6131.47)</f>
        <v>6131.47</v>
      </c>
      <c r="F172" s="6">
        <f>IFERROR(__xludf.DUMMYFUNCTION("""COMPUTED_VALUE"""),5846.5)</f>
        <v>5846.5</v>
      </c>
      <c r="G172" s="1">
        <f>IFERROR(__xludf.DUMMYFUNCTION("""COMPUTED_VALUE"""),134.0)</f>
        <v>134</v>
      </c>
      <c r="H172" s="6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IFERROR(__xludf.DUMMYFUNCTION("""COMPUTED_VALUE"""),2.0)</f>
        <v>2</v>
      </c>
      <c r="E173" s="6">
        <f>IFERROR(__xludf.DUMMYFUNCTION("""COMPUTED_VALUE"""),6746.39)</f>
        <v>6746.39</v>
      </c>
      <c r="F173" s="6">
        <f>IFERROR(__xludf.DUMMYFUNCTION("""COMPUTED_VALUE"""),6270.5)</f>
        <v>6270.5</v>
      </c>
      <c r="G173" s="1">
        <f>IFERROR(__xludf.DUMMYFUNCTION("""COMPUTED_VALUE"""),136.0)</f>
        <v>136</v>
      </c>
      <c r="H173" s="6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IFERROR(__xludf.DUMMYFUNCTION("""COMPUTED_VALUE"""),1.0)</f>
        <v>1</v>
      </c>
      <c r="E174" s="6">
        <f>IFERROR(__xludf.DUMMYFUNCTION("""COMPUTED_VALUE"""),5837.73)</f>
        <v>5837.73</v>
      </c>
      <c r="F174" s="6">
        <f>IFERROR(__xludf.DUMMYFUNCTION("""COMPUTED_VALUE"""),4327.0)</f>
        <v>4327</v>
      </c>
      <c r="G174" s="1">
        <f>IFERROR(__xludf.DUMMYFUNCTION("""COMPUTED_VALUE"""),101.0)</f>
        <v>101</v>
      </c>
      <c r="H174" s="6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IFERROR(__xludf.DUMMYFUNCTION("""COMPUTED_VALUE"""),2.0)</f>
        <v>2</v>
      </c>
      <c r="E175" s="6">
        <f>IFERROR(__xludf.DUMMYFUNCTION("""COMPUTED_VALUE"""),6072.95)</f>
        <v>6072.95</v>
      </c>
      <c r="F175" s="6">
        <f>IFERROR(__xludf.DUMMYFUNCTION("""COMPUTED_VALUE"""),4365.0)</f>
        <v>4365</v>
      </c>
      <c r="G175" s="1">
        <f>IFERROR(__xludf.DUMMYFUNCTION("""COMPUTED_VALUE"""),102.0)</f>
        <v>102</v>
      </c>
      <c r="H175" s="6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IFERROR(__xludf.DUMMYFUNCTION("""COMPUTED_VALUE"""),1.0)</f>
        <v>1</v>
      </c>
      <c r="E176" s="6">
        <f>IFERROR(__xludf.DUMMYFUNCTION("""COMPUTED_VALUE"""),5780.23)</f>
        <v>5780.23</v>
      </c>
      <c r="F176" s="6">
        <f>IFERROR(__xludf.DUMMYFUNCTION("""COMPUTED_VALUE"""),5182.0)</f>
        <v>5182</v>
      </c>
      <c r="G176" s="1">
        <f>IFERROR(__xludf.DUMMYFUNCTION("""COMPUTED_VALUE"""),144.0)</f>
        <v>144</v>
      </c>
      <c r="H176" s="6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IFERROR(__xludf.DUMMYFUNCTION("""COMPUTED_VALUE"""),2.0)</f>
        <v>2</v>
      </c>
      <c r="E177" s="6">
        <f>IFERROR(__xludf.DUMMYFUNCTION("""COMPUTED_VALUE"""),6107.68)</f>
        <v>6107.68</v>
      </c>
      <c r="F177" s="6">
        <f>IFERROR(__xludf.DUMMYFUNCTION("""COMPUTED_VALUE"""),5725.51)</f>
        <v>5725.51</v>
      </c>
      <c r="G177" s="1">
        <f>IFERROR(__xludf.DUMMYFUNCTION("""COMPUTED_VALUE"""),139.0)</f>
        <v>139</v>
      </c>
      <c r="H177" s="6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IFERROR(__xludf.DUMMYFUNCTION("""COMPUTED_VALUE"""),1.0)</f>
        <v>1</v>
      </c>
      <c r="E178" s="6">
        <f>IFERROR(__xludf.DUMMYFUNCTION("""COMPUTED_VALUE"""),6237.38)</f>
        <v>6237.38</v>
      </c>
      <c r="F178" s="6">
        <f>IFERROR(__xludf.DUMMYFUNCTION("""COMPUTED_VALUE"""),5830.5)</f>
        <v>5830.5</v>
      </c>
      <c r="G178" s="1">
        <f>IFERROR(__xludf.DUMMYFUNCTION("""COMPUTED_VALUE"""),121.0)</f>
        <v>121</v>
      </c>
      <c r="H178" s="6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IFERROR(__xludf.DUMMYFUNCTION("""COMPUTED_VALUE"""),2.0)</f>
        <v>2</v>
      </c>
      <c r="E179" s="6">
        <f>IFERROR(__xludf.DUMMYFUNCTION("""COMPUTED_VALUE"""),6131.47)</f>
        <v>6131.47</v>
      </c>
      <c r="F179" s="6">
        <f>IFERROR(__xludf.DUMMYFUNCTION("""COMPUTED_VALUE"""),4876.03)</f>
        <v>4876.03</v>
      </c>
      <c r="G179" s="1">
        <f>IFERROR(__xludf.DUMMYFUNCTION("""COMPUTED_VALUE"""),123.0)</f>
        <v>123</v>
      </c>
      <c r="H179" s="6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IFERROR(__xludf.DUMMYFUNCTION("""COMPUTED_VALUE"""),1.0)</f>
        <v>1</v>
      </c>
      <c r="E180" s="6">
        <f>IFERROR(__xludf.DUMMYFUNCTION("""COMPUTED_VALUE"""),6746.39)</f>
        <v>6746.39</v>
      </c>
      <c r="F180" s="6">
        <f>IFERROR(__xludf.DUMMYFUNCTION("""COMPUTED_VALUE"""),5045.4)</f>
        <v>5045.4</v>
      </c>
      <c r="G180" s="1">
        <f>IFERROR(__xludf.DUMMYFUNCTION("""COMPUTED_VALUE"""),98.0)</f>
        <v>98</v>
      </c>
      <c r="H180" s="6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IFERROR(__xludf.DUMMYFUNCTION("""COMPUTED_VALUE"""),2.0)</f>
        <v>2</v>
      </c>
      <c r="E181" s="6">
        <f>IFERROR(__xludf.DUMMYFUNCTION("""COMPUTED_VALUE"""),5837.73)</f>
        <v>5837.73</v>
      </c>
      <c r="F181" s="6">
        <f>IFERROR(__xludf.DUMMYFUNCTION("""COMPUTED_VALUE"""),3206.5)</f>
        <v>3206.5</v>
      </c>
      <c r="G181" s="1">
        <f>IFERROR(__xludf.DUMMYFUNCTION("""COMPUTED_VALUE"""),81.0)</f>
        <v>81</v>
      </c>
      <c r="H181" s="6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IFERROR(__xludf.DUMMYFUNCTION("""COMPUTED_VALUE"""),1.0)</f>
        <v>1</v>
      </c>
      <c r="E182" s="6">
        <f>IFERROR(__xludf.DUMMYFUNCTION("""COMPUTED_VALUE"""),6072.95)</f>
        <v>6072.95</v>
      </c>
      <c r="F182" s="6">
        <f>IFERROR(__xludf.DUMMYFUNCTION("""COMPUTED_VALUE"""),5612.31)</f>
        <v>5612.31</v>
      </c>
      <c r="G182" s="1">
        <f>IFERROR(__xludf.DUMMYFUNCTION("""COMPUTED_VALUE"""),124.0)</f>
        <v>124</v>
      </c>
      <c r="H182" s="6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IFERROR(__xludf.DUMMYFUNCTION("""COMPUTED_VALUE"""),2.0)</f>
        <v>2</v>
      </c>
      <c r="E183" s="6">
        <f>IFERROR(__xludf.DUMMYFUNCTION("""COMPUTED_VALUE"""),5899.58)</f>
        <v>5899.58</v>
      </c>
      <c r="F183" s="6">
        <f>IFERROR(__xludf.DUMMYFUNCTION("""COMPUTED_VALUE"""),5069.0)</f>
        <v>5069</v>
      </c>
      <c r="G183" s="1">
        <f>IFERROR(__xludf.DUMMYFUNCTION("""COMPUTED_VALUE"""),121.0)</f>
        <v>121</v>
      </c>
      <c r="H183" s="6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IFERROR(__xludf.DUMMYFUNCTION("""COMPUTED_VALUE"""),1.0)</f>
        <v>1</v>
      </c>
      <c r="E184" s="6">
        <f>IFERROR(__xludf.DUMMYFUNCTION("""COMPUTED_VALUE"""),6067.75)</f>
        <v>6067.75</v>
      </c>
      <c r="F184" s="6">
        <f>IFERROR(__xludf.DUMMYFUNCTION("""COMPUTED_VALUE"""),5011.0)</f>
        <v>5011</v>
      </c>
      <c r="G184" s="1">
        <f>IFERROR(__xludf.DUMMYFUNCTION("""COMPUTED_VALUE"""),127.0)</f>
        <v>127</v>
      </c>
      <c r="H184" s="6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IFERROR(__xludf.DUMMYFUNCTION("""COMPUTED_VALUE"""),2.0)</f>
        <v>2</v>
      </c>
      <c r="E185" s="6">
        <f>IFERROR(__xludf.DUMMYFUNCTION("""COMPUTED_VALUE"""),6377.51)</f>
        <v>6377.51</v>
      </c>
      <c r="F185" s="6">
        <f>IFERROR(__xludf.DUMMYFUNCTION("""COMPUTED_VALUE"""),5290.2)</f>
        <v>5290.2</v>
      </c>
      <c r="G185" s="1">
        <f>IFERROR(__xludf.DUMMYFUNCTION("""COMPUTED_VALUE"""),124.0)</f>
        <v>124</v>
      </c>
      <c r="H185" s="6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IFERROR(__xludf.DUMMYFUNCTION("""COMPUTED_VALUE"""),1.0)</f>
        <v>1</v>
      </c>
      <c r="E186" s="6">
        <f>IFERROR(__xludf.DUMMYFUNCTION("""COMPUTED_VALUE"""),6056.23)</f>
        <v>6056.23</v>
      </c>
      <c r="F186" s="6">
        <f>IFERROR(__xludf.DUMMYFUNCTION("""COMPUTED_VALUE"""),5047.0)</f>
        <v>5047</v>
      </c>
      <c r="G186" s="1">
        <f>IFERROR(__xludf.DUMMYFUNCTION("""COMPUTED_VALUE"""),120.0)</f>
        <v>120</v>
      </c>
      <c r="H186" s="6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IFERROR(__xludf.DUMMYFUNCTION("""COMPUTED_VALUE"""),2.0)</f>
        <v>2</v>
      </c>
      <c r="E187" s="6">
        <f>IFERROR(__xludf.DUMMYFUNCTION("""COMPUTED_VALUE"""),6837.65)</f>
        <v>6837.65</v>
      </c>
      <c r="F187" s="6">
        <f>IFERROR(__xludf.DUMMYFUNCTION("""COMPUTED_VALUE"""),7442.65)</f>
        <v>7442.65</v>
      </c>
      <c r="G187" s="1">
        <f>IFERROR(__xludf.DUMMYFUNCTION("""COMPUTED_VALUE"""),156.0)</f>
        <v>156</v>
      </c>
      <c r="H187" s="6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IFERROR(__xludf.DUMMYFUNCTION("""COMPUTED_VALUE"""),1.0)</f>
        <v>1</v>
      </c>
      <c r="E188" s="6">
        <f>IFERROR(__xludf.DUMMYFUNCTION("""COMPUTED_VALUE"""),5596.94)</f>
        <v>5596.94</v>
      </c>
      <c r="F188" s="6">
        <f>IFERROR(__xludf.DUMMYFUNCTION("""COMPUTED_VALUE"""),5194.15)</f>
        <v>5194.15</v>
      </c>
      <c r="G188" s="1">
        <f>IFERROR(__xludf.DUMMYFUNCTION("""COMPUTED_VALUE"""),129.0)</f>
        <v>129</v>
      </c>
      <c r="H188" s="6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IFERROR(__xludf.DUMMYFUNCTION("""COMPUTED_VALUE"""),2.0)</f>
        <v>2</v>
      </c>
      <c r="E189" s="6">
        <f>IFERROR(__xludf.DUMMYFUNCTION("""COMPUTED_VALUE"""),5816.21)</f>
        <v>5816.21</v>
      </c>
      <c r="F189" s="6">
        <f>IFERROR(__xludf.DUMMYFUNCTION("""COMPUTED_VALUE"""),5841.81)</f>
        <v>5841.81</v>
      </c>
      <c r="G189" s="1">
        <f>IFERROR(__xludf.DUMMYFUNCTION("""COMPUTED_VALUE"""),124.0)</f>
        <v>124</v>
      </c>
      <c r="H189" s="6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IFERROR(__xludf.DUMMYFUNCTION("""COMPUTED_VALUE"""),1.0)</f>
        <v>1</v>
      </c>
      <c r="E190" s="6">
        <f>IFERROR(__xludf.DUMMYFUNCTION("""COMPUTED_VALUE"""),5899.58)</f>
        <v>5899.58</v>
      </c>
      <c r="F190" s="6">
        <f>IFERROR(__xludf.DUMMYFUNCTION("""COMPUTED_VALUE"""),5450.5)</f>
        <v>5450.5</v>
      </c>
      <c r="G190" s="1">
        <f>IFERROR(__xludf.DUMMYFUNCTION("""COMPUTED_VALUE"""),134.0)</f>
        <v>134</v>
      </c>
      <c r="H190" s="6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IFERROR(__xludf.DUMMYFUNCTION("""COMPUTED_VALUE"""),2.0)</f>
        <v>2</v>
      </c>
      <c r="E191" s="6">
        <f>IFERROR(__xludf.DUMMYFUNCTION("""COMPUTED_VALUE"""),6067.75)</f>
        <v>6067.75</v>
      </c>
      <c r="F191" s="6">
        <f>IFERROR(__xludf.DUMMYFUNCTION("""COMPUTED_VALUE"""),6126.66)</f>
        <v>6126.66</v>
      </c>
      <c r="G191" s="1">
        <f>IFERROR(__xludf.DUMMYFUNCTION("""COMPUTED_VALUE"""),145.0)</f>
        <v>145</v>
      </c>
      <c r="H191" s="6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IFERROR(__xludf.DUMMYFUNCTION("""COMPUTED_VALUE"""),1.0)</f>
        <v>1</v>
      </c>
      <c r="E192" s="6">
        <f>IFERROR(__xludf.DUMMYFUNCTION("""COMPUTED_VALUE"""),6377.51)</f>
        <v>6377.51</v>
      </c>
      <c r="F192" s="6">
        <f>IFERROR(__xludf.DUMMYFUNCTION("""COMPUTED_VALUE"""),6713.85)</f>
        <v>6713.85</v>
      </c>
      <c r="G192" s="1">
        <f>IFERROR(__xludf.DUMMYFUNCTION("""COMPUTED_VALUE"""),169.0)</f>
        <v>169</v>
      </c>
      <c r="H192" s="6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IFERROR(__xludf.DUMMYFUNCTION("""COMPUTED_VALUE"""),2.0)</f>
        <v>2</v>
      </c>
      <c r="E193" s="6">
        <f>IFERROR(__xludf.DUMMYFUNCTION("""COMPUTED_VALUE"""),6056.23)</f>
        <v>6056.23</v>
      </c>
      <c r="F193" s="6">
        <f>IFERROR(__xludf.DUMMYFUNCTION("""COMPUTED_VALUE"""),6461.5)</f>
        <v>6461.5</v>
      </c>
      <c r="G193" s="1">
        <f>IFERROR(__xludf.DUMMYFUNCTION("""COMPUTED_VALUE"""),138.0)</f>
        <v>138</v>
      </c>
      <c r="H193" s="6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IFERROR(__xludf.DUMMYFUNCTION("""COMPUTED_VALUE"""),1.0)</f>
        <v>1</v>
      </c>
      <c r="E194" s="6">
        <f>IFERROR(__xludf.DUMMYFUNCTION("""COMPUTED_VALUE"""),6837.65)</f>
        <v>6837.65</v>
      </c>
      <c r="F194" s="6">
        <f>IFERROR(__xludf.DUMMYFUNCTION("""COMPUTED_VALUE"""),6510.55)</f>
        <v>6510.55</v>
      </c>
      <c r="G194" s="1">
        <f>IFERROR(__xludf.DUMMYFUNCTION("""COMPUTED_VALUE"""),142.0)</f>
        <v>142</v>
      </c>
      <c r="H194" s="6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IFERROR(__xludf.DUMMYFUNCTION("""COMPUTED_VALUE"""),2.0)</f>
        <v>2</v>
      </c>
      <c r="E195" s="6">
        <f>IFERROR(__xludf.DUMMYFUNCTION("""COMPUTED_VALUE"""),5596.94)</f>
        <v>5596.94</v>
      </c>
      <c r="F195" s="6">
        <f>IFERROR(__xludf.DUMMYFUNCTION("""COMPUTED_VALUE"""),4024.5)</f>
        <v>4024.5</v>
      </c>
      <c r="G195" s="1">
        <f>IFERROR(__xludf.DUMMYFUNCTION("""COMPUTED_VALUE"""),95.0)</f>
        <v>95</v>
      </c>
      <c r="H195" s="6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IFERROR(__xludf.DUMMYFUNCTION("""COMPUTED_VALUE"""),1.0)</f>
        <v>1</v>
      </c>
      <c r="E196" s="6">
        <f>IFERROR(__xludf.DUMMYFUNCTION("""COMPUTED_VALUE"""),5816.21)</f>
        <v>5816.21</v>
      </c>
      <c r="F196" s="6">
        <f>IFERROR(__xludf.DUMMYFUNCTION("""COMPUTED_VALUE"""),5151.5)</f>
        <v>5151.5</v>
      </c>
      <c r="G196" s="1">
        <f>IFERROR(__xludf.DUMMYFUNCTION("""COMPUTED_VALUE"""),127.0)</f>
        <v>127</v>
      </c>
      <c r="H196" s="6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IFERROR(__xludf.DUMMYFUNCTION("""COMPUTED_VALUE"""),2.0)</f>
        <v>2</v>
      </c>
      <c r="E197" s="6">
        <f>IFERROR(__xludf.DUMMYFUNCTION("""COMPUTED_VALUE"""),5899.58)</f>
        <v>5899.58</v>
      </c>
      <c r="F197" s="6">
        <f>IFERROR(__xludf.DUMMYFUNCTION("""COMPUTED_VALUE"""),5948.0)</f>
        <v>5948</v>
      </c>
      <c r="G197" s="1">
        <f>IFERROR(__xludf.DUMMYFUNCTION("""COMPUTED_VALUE"""),135.0)</f>
        <v>135</v>
      </c>
      <c r="H197" s="6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IFERROR(__xludf.DUMMYFUNCTION("""COMPUTED_VALUE"""),1.0)</f>
        <v>1</v>
      </c>
      <c r="E198" s="6">
        <f>IFERROR(__xludf.DUMMYFUNCTION("""COMPUTED_VALUE"""),6067.75)</f>
        <v>6067.75</v>
      </c>
      <c r="F198" s="6">
        <f>IFERROR(__xludf.DUMMYFUNCTION("""COMPUTED_VALUE"""),5867.55)</f>
        <v>5867.55</v>
      </c>
      <c r="G198" s="1">
        <f>IFERROR(__xludf.DUMMYFUNCTION("""COMPUTED_VALUE"""),133.0)</f>
        <v>133</v>
      </c>
      <c r="H198" s="6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IFERROR(__xludf.DUMMYFUNCTION("""COMPUTED_VALUE"""),2.0)</f>
        <v>2</v>
      </c>
      <c r="E199" s="6">
        <f>IFERROR(__xludf.DUMMYFUNCTION("""COMPUTED_VALUE"""),6377.51)</f>
        <v>6377.51</v>
      </c>
      <c r="F199" s="6">
        <f>IFERROR(__xludf.DUMMYFUNCTION("""COMPUTED_VALUE"""),5857.5)</f>
        <v>5857.5</v>
      </c>
      <c r="G199" s="1">
        <f>IFERROR(__xludf.DUMMYFUNCTION("""COMPUTED_VALUE"""),148.0)</f>
        <v>148</v>
      </c>
      <c r="H199" s="6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IFERROR(__xludf.DUMMYFUNCTION("""COMPUTED_VALUE"""),1.0)</f>
        <v>1</v>
      </c>
      <c r="E200" s="6">
        <f>IFERROR(__xludf.DUMMYFUNCTION("""COMPUTED_VALUE"""),6056.23)</f>
        <v>6056.23</v>
      </c>
      <c r="F200" s="6">
        <f>IFERROR(__xludf.DUMMYFUNCTION("""COMPUTED_VALUE"""),4632.0)</f>
        <v>4632</v>
      </c>
      <c r="G200" s="1">
        <f>IFERROR(__xludf.DUMMYFUNCTION("""COMPUTED_VALUE"""),111.0)</f>
        <v>111</v>
      </c>
      <c r="H200" s="6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IFERROR(__xludf.DUMMYFUNCTION("""COMPUTED_VALUE"""),2.0)</f>
        <v>2</v>
      </c>
      <c r="E201" s="6">
        <f>IFERROR(__xludf.DUMMYFUNCTION("""COMPUTED_VALUE"""),6837.65)</f>
        <v>6837.65</v>
      </c>
      <c r="F201" s="6">
        <f>IFERROR(__xludf.DUMMYFUNCTION("""COMPUTED_VALUE"""),6785.45)</f>
        <v>6785.45</v>
      </c>
      <c r="G201" s="1">
        <f>IFERROR(__xludf.DUMMYFUNCTION("""COMPUTED_VALUE"""),140.0)</f>
        <v>140</v>
      </c>
      <c r="H201" s="6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IFERROR(__xludf.DUMMYFUNCTION("""COMPUTED_VALUE"""),1.0)</f>
        <v>1</v>
      </c>
      <c r="E202" s="6">
        <f>IFERROR(__xludf.DUMMYFUNCTION("""COMPUTED_VALUE"""),5596.94)</f>
        <v>5596.94</v>
      </c>
      <c r="F202" s="6">
        <f>IFERROR(__xludf.DUMMYFUNCTION("""COMPUTED_VALUE"""),5869.0)</f>
        <v>5869</v>
      </c>
      <c r="G202" s="1">
        <f>IFERROR(__xludf.DUMMYFUNCTION("""COMPUTED_VALUE"""),131.0)</f>
        <v>131</v>
      </c>
      <c r="H202" s="6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IFERROR(__xludf.DUMMYFUNCTION("""COMPUTED_VALUE"""),2.0)</f>
        <v>2</v>
      </c>
      <c r="E203" s="6">
        <f>IFERROR(__xludf.DUMMYFUNCTION("""COMPUTED_VALUE"""),5816.21)</f>
        <v>5816.21</v>
      </c>
      <c r="F203" s="6">
        <f>IFERROR(__xludf.DUMMYFUNCTION("""COMPUTED_VALUE"""),6605.5)</f>
        <v>6605.5</v>
      </c>
      <c r="G203" s="1">
        <f>IFERROR(__xludf.DUMMYFUNCTION("""COMPUTED_VALUE"""),126.0)</f>
        <v>126</v>
      </c>
      <c r="H203" s="6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IFERROR(__xludf.DUMMYFUNCTION("""COMPUTED_VALUE"""),1.0)</f>
        <v>1</v>
      </c>
      <c r="E204" s="6">
        <f>IFERROR(__xludf.DUMMYFUNCTION("""COMPUTED_VALUE"""),5899.58)</f>
        <v>5899.58</v>
      </c>
      <c r="F204" s="6">
        <f>IFERROR(__xludf.DUMMYFUNCTION("""COMPUTED_VALUE"""),4773.0)</f>
        <v>4773</v>
      </c>
      <c r="G204" s="1">
        <f>IFERROR(__xludf.DUMMYFUNCTION("""COMPUTED_VALUE"""),133.0)</f>
        <v>133</v>
      </c>
      <c r="H204" s="6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IFERROR(__xludf.DUMMYFUNCTION("""COMPUTED_VALUE"""),2.0)</f>
        <v>2</v>
      </c>
      <c r="E205" s="6">
        <f>IFERROR(__xludf.DUMMYFUNCTION("""COMPUTED_VALUE"""),6067.75)</f>
        <v>6067.75</v>
      </c>
      <c r="F205" s="6">
        <f>IFERROR(__xludf.DUMMYFUNCTION("""COMPUTED_VALUE"""),6406.4)</f>
        <v>6406.4</v>
      </c>
      <c r="G205" s="1">
        <f>IFERROR(__xludf.DUMMYFUNCTION("""COMPUTED_VALUE"""),122.0)</f>
        <v>122</v>
      </c>
      <c r="H205" s="6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IFERROR(__xludf.DUMMYFUNCTION("""COMPUTED_VALUE"""),1.0)</f>
        <v>1</v>
      </c>
      <c r="E206" s="6">
        <f>IFERROR(__xludf.DUMMYFUNCTION("""COMPUTED_VALUE"""),6377.51)</f>
        <v>6377.51</v>
      </c>
      <c r="F206" s="6">
        <f>IFERROR(__xludf.DUMMYFUNCTION("""COMPUTED_VALUE"""),5730.4)</f>
        <v>5730.4</v>
      </c>
      <c r="G206" s="1">
        <f>IFERROR(__xludf.DUMMYFUNCTION("""COMPUTED_VALUE"""),133.0)</f>
        <v>133</v>
      </c>
      <c r="H206" s="6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IFERROR(__xludf.DUMMYFUNCTION("""COMPUTED_VALUE"""),2.0)</f>
        <v>2</v>
      </c>
      <c r="E207" s="6">
        <f>IFERROR(__xludf.DUMMYFUNCTION("""COMPUTED_VALUE"""),6056.23)</f>
        <v>6056.23</v>
      </c>
      <c r="F207" s="6">
        <f>IFERROR(__xludf.DUMMYFUNCTION("""COMPUTED_VALUE"""),6487.0)</f>
        <v>6487</v>
      </c>
      <c r="G207" s="1">
        <f>IFERROR(__xludf.DUMMYFUNCTION("""COMPUTED_VALUE"""),148.0)</f>
        <v>148</v>
      </c>
      <c r="H207" s="6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IFERROR(__xludf.DUMMYFUNCTION("""COMPUTED_VALUE"""),1.0)</f>
        <v>1</v>
      </c>
      <c r="E208" s="6">
        <f>IFERROR(__xludf.DUMMYFUNCTION("""COMPUTED_VALUE"""),6837.65)</f>
        <v>6837.65</v>
      </c>
      <c r="F208" s="6">
        <f>IFERROR(__xludf.DUMMYFUNCTION("""COMPUTED_VALUE"""),5866.9)</f>
        <v>5866.9</v>
      </c>
      <c r="G208" s="1">
        <f>IFERROR(__xludf.DUMMYFUNCTION("""COMPUTED_VALUE"""),128.0)</f>
        <v>128</v>
      </c>
      <c r="H208" s="6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IFERROR(__xludf.DUMMYFUNCTION("""COMPUTED_VALUE"""),2.0)</f>
        <v>2</v>
      </c>
      <c r="E209" s="6">
        <f>IFERROR(__xludf.DUMMYFUNCTION("""COMPUTED_VALUE"""),5596.94)</f>
        <v>5596.94</v>
      </c>
      <c r="F209" s="6">
        <f>IFERROR(__xludf.DUMMYFUNCTION("""COMPUTED_VALUE"""),5371.85)</f>
        <v>5371.85</v>
      </c>
      <c r="G209" s="1">
        <f>IFERROR(__xludf.DUMMYFUNCTION("""COMPUTED_VALUE"""),118.0)</f>
        <v>118</v>
      </c>
      <c r="H209" s="6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IFERROR(__xludf.DUMMYFUNCTION("""COMPUTED_VALUE"""),1.0)</f>
        <v>1</v>
      </c>
      <c r="E210" s="6">
        <f>IFERROR(__xludf.DUMMYFUNCTION("""COMPUTED_VALUE"""),5816.21)</f>
        <v>5816.21</v>
      </c>
      <c r="F210" s="6">
        <f>IFERROR(__xludf.DUMMYFUNCTION("""COMPUTED_VALUE"""),6144.65)</f>
        <v>6144.65</v>
      </c>
      <c r="G210" s="1">
        <f>IFERROR(__xludf.DUMMYFUNCTION("""COMPUTED_VALUE"""),136.0)</f>
        <v>136</v>
      </c>
      <c r="H210" s="6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IFERROR(__xludf.DUMMYFUNCTION("""COMPUTED_VALUE"""),2.0)</f>
        <v>2</v>
      </c>
      <c r="E211" s="6">
        <f>IFERROR(__xludf.DUMMYFUNCTION("""COMPUTED_VALUE"""),5899.58)</f>
        <v>5899.58</v>
      </c>
      <c r="F211" s="6">
        <f>IFERROR(__xludf.DUMMYFUNCTION("""COMPUTED_VALUE"""),6875.41)</f>
        <v>6875.41</v>
      </c>
      <c r="G211" s="1">
        <f>IFERROR(__xludf.DUMMYFUNCTION("""COMPUTED_VALUE"""),130.0)</f>
        <v>130</v>
      </c>
      <c r="H211" s="6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IFERROR(__xludf.DUMMYFUNCTION("""COMPUTED_VALUE"""),1.0)</f>
        <v>1</v>
      </c>
      <c r="E212" s="6">
        <f>IFERROR(__xludf.DUMMYFUNCTION("""COMPUTED_VALUE"""),6067.75)</f>
        <v>6067.75</v>
      </c>
      <c r="F212" s="6">
        <f>IFERROR(__xludf.DUMMYFUNCTION("""COMPUTED_VALUE"""),6003.91)</f>
        <v>6003.91</v>
      </c>
      <c r="G212" s="1">
        <f>IFERROR(__xludf.DUMMYFUNCTION("""COMPUTED_VALUE"""),142.0)</f>
        <v>142</v>
      </c>
      <c r="H212" s="6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IFERROR(__xludf.DUMMYFUNCTION("""COMPUTED_VALUE"""),2.0)</f>
        <v>2</v>
      </c>
      <c r="E213" s="6">
        <f>IFERROR(__xludf.DUMMYFUNCTION("""COMPUTED_VALUE"""),6377.51)</f>
        <v>6377.51</v>
      </c>
      <c r="F213" s="6">
        <f>IFERROR(__xludf.DUMMYFUNCTION("""COMPUTED_VALUE"""),5887.0)</f>
        <v>5887</v>
      </c>
      <c r="G213" s="1">
        <f>IFERROR(__xludf.DUMMYFUNCTION("""COMPUTED_VALUE"""),126.0)</f>
        <v>126</v>
      </c>
      <c r="H213" s="6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IFERROR(__xludf.DUMMYFUNCTION("""COMPUTED_VALUE"""),1.0)</f>
        <v>1</v>
      </c>
      <c r="E214" s="6">
        <f>IFERROR(__xludf.DUMMYFUNCTION("""COMPUTED_VALUE"""),6085.06)</f>
        <v>6085.06</v>
      </c>
      <c r="F214" s="6">
        <f>IFERROR(__xludf.DUMMYFUNCTION("""COMPUTED_VALUE"""),6476.01)</f>
        <v>6476.01</v>
      </c>
      <c r="G214" s="1">
        <f>IFERROR(__xludf.DUMMYFUNCTION("""COMPUTED_VALUE"""),147.0)</f>
        <v>147</v>
      </c>
      <c r="H214" s="6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IFERROR(__xludf.DUMMYFUNCTION("""COMPUTED_VALUE"""),2.0)</f>
        <v>2</v>
      </c>
      <c r="E215" s="6">
        <f>IFERROR(__xludf.DUMMYFUNCTION("""COMPUTED_VALUE"""),6895.37)</f>
        <v>6895.37</v>
      </c>
      <c r="F215" s="6">
        <f>IFERROR(__xludf.DUMMYFUNCTION("""COMPUTED_VALUE"""),5510.5)</f>
        <v>5510.5</v>
      </c>
      <c r="G215" s="1">
        <f>IFERROR(__xludf.DUMMYFUNCTION("""COMPUTED_VALUE"""),128.0)</f>
        <v>128</v>
      </c>
      <c r="H215" s="6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IFERROR(__xludf.DUMMYFUNCTION("""COMPUTED_VALUE"""),1.0)</f>
        <v>1</v>
      </c>
      <c r="E216" s="6">
        <f>IFERROR(__xludf.DUMMYFUNCTION("""COMPUTED_VALUE"""),5574.56)</f>
        <v>5574.56</v>
      </c>
      <c r="F216" s="6" t="str">
        <f>IFERROR(__xludf.DUMMYFUNCTION("""COMPUTED_VALUE"""),"  ")</f>
        <v/>
      </c>
      <c r="G216" s="1" t="str">
        <f>IFERROR(__xludf.DUMMYFUNCTION("""COMPUTED_VALUE"""),"")</f>
        <v/>
      </c>
      <c r="H216" s="6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IFERROR(__xludf.DUMMYFUNCTION("""COMPUTED_VALUE"""),2.0)</f>
        <v>2</v>
      </c>
      <c r="E217" s="6">
        <f>IFERROR(__xludf.DUMMYFUNCTION("""COMPUTED_VALUE"""),5775.6)</f>
        <v>5775.6</v>
      </c>
      <c r="F217" s="6">
        <f>IFERROR(__xludf.DUMMYFUNCTION("""COMPUTED_VALUE"""),5062.55)</f>
        <v>5062.55</v>
      </c>
      <c r="G217" s="1">
        <f>IFERROR(__xludf.DUMMYFUNCTION("""COMPUTED_VALUE"""),111.0)</f>
        <v>111</v>
      </c>
      <c r="H217" s="6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IFERROR(__xludf.DUMMYFUNCTION("""COMPUTED_VALUE"""),1.0)</f>
        <v>1</v>
      </c>
      <c r="E218" s="6">
        <f>IFERROR(__xludf.DUMMYFUNCTION("""COMPUTED_VALUE"""),5889.84)</f>
        <v>5889.84</v>
      </c>
      <c r="F218" s="6">
        <f>IFERROR(__xludf.DUMMYFUNCTION("""COMPUTED_VALUE"""),5971.0)</f>
        <v>5971</v>
      </c>
      <c r="G218" s="1">
        <f>IFERROR(__xludf.DUMMYFUNCTION("""COMPUTED_VALUE"""),130.0)</f>
        <v>130</v>
      </c>
      <c r="H218" s="6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IFERROR(__xludf.DUMMYFUNCTION("""COMPUTED_VALUE"""),2.0)</f>
        <v>2</v>
      </c>
      <c r="E219" s="6">
        <f>IFERROR(__xludf.DUMMYFUNCTION("""COMPUTED_VALUE"""),6101.83)</f>
        <v>6101.83</v>
      </c>
      <c r="F219" s="6">
        <f>IFERROR(__xludf.DUMMYFUNCTION("""COMPUTED_VALUE"""),4875.5)</f>
        <v>4875.5</v>
      </c>
      <c r="G219" s="1">
        <f>IFERROR(__xludf.DUMMYFUNCTION("""COMPUTED_VALUE"""),128.0)</f>
        <v>128</v>
      </c>
      <c r="H219" s="6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IFERROR(__xludf.DUMMYFUNCTION("""COMPUTED_VALUE"""),1.0)</f>
        <v>1</v>
      </c>
      <c r="E220" s="6">
        <f>IFERROR(__xludf.DUMMYFUNCTION("""COMPUTED_VALUE"""),6435.24)</f>
        <v>6435.24</v>
      </c>
      <c r="F220" s="6">
        <f>IFERROR(__xludf.DUMMYFUNCTION("""COMPUTED_VALUE"""),9500.9)</f>
        <v>9500.9</v>
      </c>
      <c r="G220" s="1">
        <f>IFERROR(__xludf.DUMMYFUNCTION("""COMPUTED_VALUE"""),240.0)</f>
        <v>240</v>
      </c>
      <c r="H220" s="6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IFERROR(__xludf.DUMMYFUNCTION("""COMPUTED_VALUE"""),2.0)</f>
        <v>2</v>
      </c>
      <c r="E221" s="6">
        <f>IFERROR(__xludf.DUMMYFUNCTION("""COMPUTED_VALUE"""),6085.06)</f>
        <v>6085.06</v>
      </c>
      <c r="F221" s="6">
        <f>IFERROR(__xludf.DUMMYFUNCTION("""COMPUTED_VALUE"""),4819.5)</f>
        <v>4819.5</v>
      </c>
      <c r="G221" s="1">
        <f>IFERROR(__xludf.DUMMYFUNCTION("""COMPUTED_VALUE"""),117.0)</f>
        <v>117</v>
      </c>
      <c r="H221" s="6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IFERROR(__xludf.DUMMYFUNCTION("""COMPUTED_VALUE"""),1.0)</f>
        <v>1</v>
      </c>
      <c r="E222" s="6">
        <f>IFERROR(__xludf.DUMMYFUNCTION("""COMPUTED_VALUE"""),6895.37)</f>
        <v>6895.37</v>
      </c>
      <c r="F222" s="6">
        <f>IFERROR(__xludf.DUMMYFUNCTION("""COMPUTED_VALUE"""),7002.4)</f>
        <v>7002.4</v>
      </c>
      <c r="G222" s="1">
        <f>IFERROR(__xludf.DUMMYFUNCTION("""COMPUTED_VALUE"""),164.0)</f>
        <v>164</v>
      </c>
      <c r="H222" s="6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IFERROR(__xludf.DUMMYFUNCTION("""COMPUTED_VALUE"""),2.0)</f>
        <v>2</v>
      </c>
      <c r="E223" s="6">
        <f>IFERROR(__xludf.DUMMYFUNCTION("""COMPUTED_VALUE"""),5574.56)</f>
        <v>5574.56</v>
      </c>
      <c r="F223" s="6">
        <f>IFERROR(__xludf.DUMMYFUNCTION("""COMPUTED_VALUE"""),5511.0)</f>
        <v>5511</v>
      </c>
      <c r="G223" s="1">
        <f>IFERROR(__xludf.DUMMYFUNCTION("""COMPUTED_VALUE"""),117.0)</f>
        <v>117</v>
      </c>
      <c r="H223" s="6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IFERROR(__xludf.DUMMYFUNCTION("""COMPUTED_VALUE"""),1.0)</f>
        <v>1</v>
      </c>
      <c r="E224" s="6">
        <f>IFERROR(__xludf.DUMMYFUNCTION("""COMPUTED_VALUE"""),5775.6)</f>
        <v>5775.6</v>
      </c>
      <c r="F224" s="6">
        <f>IFERROR(__xludf.DUMMYFUNCTION("""COMPUTED_VALUE"""),5700.0)</f>
        <v>5700</v>
      </c>
      <c r="G224" s="1">
        <f>IFERROR(__xludf.DUMMYFUNCTION("""COMPUTED_VALUE"""),143.0)</f>
        <v>143</v>
      </c>
      <c r="H224" s="6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IFERROR(__xludf.DUMMYFUNCTION("""COMPUTED_VALUE"""),2.0)</f>
        <v>2</v>
      </c>
      <c r="E225" s="6">
        <f>IFERROR(__xludf.DUMMYFUNCTION("""COMPUTED_VALUE"""),5889.84)</f>
        <v>5889.84</v>
      </c>
      <c r="F225" s="6">
        <f>IFERROR(__xludf.DUMMYFUNCTION("""COMPUTED_VALUE"""),5858.0)</f>
        <v>5858</v>
      </c>
      <c r="G225" s="1">
        <f>IFERROR(__xludf.DUMMYFUNCTION("""COMPUTED_VALUE"""),143.0)</f>
        <v>143</v>
      </c>
      <c r="H225" s="6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IFERROR(__xludf.DUMMYFUNCTION("""COMPUTED_VALUE"""),1.0)</f>
        <v>1</v>
      </c>
      <c r="E226" s="6">
        <f>IFERROR(__xludf.DUMMYFUNCTION("""COMPUTED_VALUE"""),6101.83)</f>
        <v>6101.83</v>
      </c>
      <c r="F226" s="6">
        <f>IFERROR(__xludf.DUMMYFUNCTION("""COMPUTED_VALUE"""),5198.5)</f>
        <v>5198.5</v>
      </c>
      <c r="G226" s="1">
        <f>IFERROR(__xludf.DUMMYFUNCTION("""COMPUTED_VALUE"""),125.0)</f>
        <v>125</v>
      </c>
      <c r="H226" s="6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IFERROR(__xludf.DUMMYFUNCTION("""COMPUTED_VALUE"""),2.0)</f>
        <v>2</v>
      </c>
      <c r="E227" s="6">
        <f>IFERROR(__xludf.DUMMYFUNCTION("""COMPUTED_VALUE"""),6435.24)</f>
        <v>6435.24</v>
      </c>
      <c r="F227" s="6">
        <f>IFERROR(__xludf.DUMMYFUNCTION("""COMPUTED_VALUE"""),4780.01)</f>
        <v>4780.01</v>
      </c>
      <c r="G227" s="1">
        <f>IFERROR(__xludf.DUMMYFUNCTION("""COMPUTED_VALUE"""),117.0)</f>
        <v>117</v>
      </c>
      <c r="H227" s="6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IFERROR(__xludf.DUMMYFUNCTION("""COMPUTED_VALUE"""),1.0)</f>
        <v>1</v>
      </c>
      <c r="E228" s="6">
        <f>IFERROR(__xludf.DUMMYFUNCTION("""COMPUTED_VALUE"""),6085.06)</f>
        <v>6085.06</v>
      </c>
      <c r="F228" s="6">
        <f>IFERROR(__xludf.DUMMYFUNCTION("""COMPUTED_VALUE"""),7839.5)</f>
        <v>7839.5</v>
      </c>
      <c r="G228" s="1">
        <f>IFERROR(__xludf.DUMMYFUNCTION("""COMPUTED_VALUE"""),154.0)</f>
        <v>154</v>
      </c>
      <c r="H228" s="6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IFERROR(__xludf.DUMMYFUNCTION("""COMPUTED_VALUE"""),2.0)</f>
        <v>2</v>
      </c>
      <c r="E229" s="6">
        <f>IFERROR(__xludf.DUMMYFUNCTION("""COMPUTED_VALUE"""),6895.37)</f>
        <v>6895.37</v>
      </c>
      <c r="F229" s="6">
        <f>IFERROR(__xludf.DUMMYFUNCTION("""COMPUTED_VALUE"""),7144.45)</f>
        <v>7144.45</v>
      </c>
      <c r="G229" s="1">
        <f>IFERROR(__xludf.DUMMYFUNCTION("""COMPUTED_VALUE"""),151.0)</f>
        <v>151</v>
      </c>
      <c r="H229" s="6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IFERROR(__xludf.DUMMYFUNCTION("""COMPUTED_VALUE"""),1.0)</f>
        <v>1</v>
      </c>
      <c r="E230" s="6">
        <f>IFERROR(__xludf.DUMMYFUNCTION("""COMPUTED_VALUE"""),5574.56)</f>
        <v>5574.56</v>
      </c>
      <c r="F230" s="6">
        <f>IFERROR(__xludf.DUMMYFUNCTION("""COMPUTED_VALUE"""),5274.0)</f>
        <v>5274</v>
      </c>
      <c r="G230" s="1">
        <f>IFERROR(__xludf.DUMMYFUNCTION("""COMPUTED_VALUE"""),119.0)</f>
        <v>119</v>
      </c>
      <c r="H230" s="6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IFERROR(__xludf.DUMMYFUNCTION("""COMPUTED_VALUE"""),2.0)</f>
        <v>2</v>
      </c>
      <c r="E231" s="6">
        <f>IFERROR(__xludf.DUMMYFUNCTION("""COMPUTED_VALUE"""),5775.6)</f>
        <v>5775.6</v>
      </c>
      <c r="F231" s="6">
        <f>IFERROR(__xludf.DUMMYFUNCTION("""COMPUTED_VALUE"""),5396.5)</f>
        <v>5396.5</v>
      </c>
      <c r="G231" s="1">
        <f>IFERROR(__xludf.DUMMYFUNCTION("""COMPUTED_VALUE"""),116.0)</f>
        <v>116</v>
      </c>
      <c r="H231" s="6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IFERROR(__xludf.DUMMYFUNCTION("""COMPUTED_VALUE"""),1.0)</f>
        <v>1</v>
      </c>
      <c r="E232" s="6">
        <f>IFERROR(__xludf.DUMMYFUNCTION("""COMPUTED_VALUE"""),5889.84)</f>
        <v>5889.84</v>
      </c>
      <c r="F232" s="6">
        <f>IFERROR(__xludf.DUMMYFUNCTION("""COMPUTED_VALUE"""),5503.0)</f>
        <v>5503</v>
      </c>
      <c r="G232" s="1">
        <f>IFERROR(__xludf.DUMMYFUNCTION("""COMPUTED_VALUE"""),143.0)</f>
        <v>143</v>
      </c>
      <c r="H232" s="6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IFERROR(__xludf.DUMMYFUNCTION("""COMPUTED_VALUE"""),2.0)</f>
        <v>2</v>
      </c>
      <c r="E233" s="6">
        <f>IFERROR(__xludf.DUMMYFUNCTION("""COMPUTED_VALUE"""),6101.83)</f>
        <v>6101.83</v>
      </c>
      <c r="F233" s="6">
        <f>IFERROR(__xludf.DUMMYFUNCTION("""COMPUTED_VALUE"""),5177.02)</f>
        <v>5177.02</v>
      </c>
      <c r="G233" s="1">
        <f>IFERROR(__xludf.DUMMYFUNCTION("""COMPUTED_VALUE"""),120.0)</f>
        <v>120</v>
      </c>
      <c r="H233" s="6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IFERROR(__xludf.DUMMYFUNCTION("""COMPUTED_VALUE"""),1.0)</f>
        <v>1</v>
      </c>
      <c r="E234" s="6">
        <f>IFERROR(__xludf.DUMMYFUNCTION("""COMPUTED_VALUE"""),6435.24)</f>
        <v>6435.24</v>
      </c>
      <c r="F234" s="6">
        <f>IFERROR(__xludf.DUMMYFUNCTION("""COMPUTED_VALUE"""),4883.05)</f>
        <v>4883.05</v>
      </c>
      <c r="G234" s="1">
        <f>IFERROR(__xludf.DUMMYFUNCTION("""COMPUTED_VALUE"""),131.0)</f>
        <v>131</v>
      </c>
      <c r="H234" s="6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IFERROR(__xludf.DUMMYFUNCTION("""COMPUTED_VALUE"""),2.0)</f>
        <v>2</v>
      </c>
      <c r="E235" s="6">
        <f>IFERROR(__xludf.DUMMYFUNCTION("""COMPUTED_VALUE"""),6085.06)</f>
        <v>6085.06</v>
      </c>
      <c r="F235" s="6">
        <f>IFERROR(__xludf.DUMMYFUNCTION("""COMPUTED_VALUE"""),4994.3)</f>
        <v>4994.3</v>
      </c>
      <c r="G235" s="1">
        <f>IFERROR(__xludf.DUMMYFUNCTION("""COMPUTED_VALUE"""),115.0)</f>
        <v>115</v>
      </c>
      <c r="H235" s="6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IFERROR(__xludf.DUMMYFUNCTION("""COMPUTED_VALUE"""),1.0)</f>
        <v>1</v>
      </c>
      <c r="E236" s="6">
        <f>IFERROR(__xludf.DUMMYFUNCTION("""COMPUTED_VALUE"""),6895.37)</f>
        <v>6895.37</v>
      </c>
      <c r="F236" s="6">
        <f>IFERROR(__xludf.DUMMYFUNCTION("""COMPUTED_VALUE"""),6177.51)</f>
        <v>6177.51</v>
      </c>
      <c r="G236" s="1">
        <f>IFERROR(__xludf.DUMMYFUNCTION("""COMPUTED_VALUE"""),131.0)</f>
        <v>131</v>
      </c>
      <c r="H236" s="6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IFERROR(__xludf.DUMMYFUNCTION("""COMPUTED_VALUE"""),2.0)</f>
        <v>2</v>
      </c>
      <c r="E237" s="6">
        <f>IFERROR(__xludf.DUMMYFUNCTION("""COMPUTED_VALUE"""),5574.56)</f>
        <v>5574.56</v>
      </c>
      <c r="F237" s="6">
        <f>IFERROR(__xludf.DUMMYFUNCTION("""COMPUTED_VALUE"""),5144.4)</f>
        <v>5144.4</v>
      </c>
      <c r="G237" s="1">
        <f>IFERROR(__xludf.DUMMYFUNCTION("""COMPUTED_VALUE"""),97.0)</f>
        <v>97</v>
      </c>
      <c r="H237" s="6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IFERROR(__xludf.DUMMYFUNCTION("""COMPUTED_VALUE"""),1.0)</f>
        <v>1</v>
      </c>
      <c r="E238" s="6">
        <f>IFERROR(__xludf.DUMMYFUNCTION("""COMPUTED_VALUE"""),5775.6)</f>
        <v>5775.6</v>
      </c>
      <c r="F238" s="6">
        <f>IFERROR(__xludf.DUMMYFUNCTION("""COMPUTED_VALUE"""),4955.5)</f>
        <v>4955.5</v>
      </c>
      <c r="G238" s="1">
        <f>IFERROR(__xludf.DUMMYFUNCTION("""COMPUTED_VALUE"""),104.0)</f>
        <v>104</v>
      </c>
      <c r="H238" s="6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IFERROR(__xludf.DUMMYFUNCTION("""COMPUTED_VALUE"""),2.0)</f>
        <v>2</v>
      </c>
      <c r="E239" s="6">
        <f>IFERROR(__xludf.DUMMYFUNCTION("""COMPUTED_VALUE"""),5889.84)</f>
        <v>5889.84</v>
      </c>
      <c r="F239" s="6">
        <f>IFERROR(__xludf.DUMMYFUNCTION("""COMPUTED_VALUE"""),5195.01)</f>
        <v>5195.01</v>
      </c>
      <c r="G239" s="1">
        <f>IFERROR(__xludf.DUMMYFUNCTION("""COMPUTED_VALUE"""),109.0)</f>
        <v>109</v>
      </c>
      <c r="H239" s="6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IFERROR(__xludf.DUMMYFUNCTION("""COMPUTED_VALUE"""),1.0)</f>
        <v>1</v>
      </c>
      <c r="E240" s="6">
        <f>IFERROR(__xludf.DUMMYFUNCTION("""COMPUTED_VALUE"""),6101.83)</f>
        <v>6101.83</v>
      </c>
      <c r="F240" s="6">
        <f>IFERROR(__xludf.DUMMYFUNCTION("""COMPUTED_VALUE"""),4968.95)</f>
        <v>4968.95</v>
      </c>
      <c r="G240" s="1">
        <f>IFERROR(__xludf.DUMMYFUNCTION("""COMPUTED_VALUE"""),109.0)</f>
        <v>109</v>
      </c>
      <c r="H240" s="6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IFERROR(__xludf.DUMMYFUNCTION("""COMPUTED_VALUE"""),2.0)</f>
        <v>2</v>
      </c>
      <c r="E241" s="6">
        <f>IFERROR(__xludf.DUMMYFUNCTION("""COMPUTED_VALUE"""),6435.24)</f>
        <v>6435.24</v>
      </c>
      <c r="F241" s="6">
        <f>IFERROR(__xludf.DUMMYFUNCTION("""COMPUTED_VALUE"""),4101.8)</f>
        <v>4101.8</v>
      </c>
      <c r="G241" s="1">
        <f>IFERROR(__xludf.DUMMYFUNCTION("""COMPUTED_VALUE"""),95.0)</f>
        <v>95</v>
      </c>
      <c r="H241" s="6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IFERROR(__xludf.DUMMYFUNCTION("""COMPUTED_VALUE"""),1.0)</f>
        <v>1</v>
      </c>
      <c r="E242" s="6">
        <f>IFERROR(__xludf.DUMMYFUNCTION("""COMPUTED_VALUE"""),6085.06)</f>
        <v>6085.06</v>
      </c>
      <c r="F242" s="6">
        <f>IFERROR(__xludf.DUMMYFUNCTION("""COMPUTED_VALUE"""),6338.5)</f>
        <v>6338.5</v>
      </c>
      <c r="G242" s="1">
        <f>IFERROR(__xludf.DUMMYFUNCTION("""COMPUTED_VALUE"""),121.0)</f>
        <v>121</v>
      </c>
      <c r="H242" s="6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IFERROR(__xludf.DUMMYFUNCTION("""COMPUTED_VALUE"""),2.0)</f>
        <v>2</v>
      </c>
      <c r="E243" s="6">
        <f>IFERROR(__xludf.DUMMYFUNCTION("""COMPUTED_VALUE"""),6895.37)</f>
        <v>6895.37</v>
      </c>
      <c r="F243" s="6">
        <f>IFERROR(__xludf.DUMMYFUNCTION("""COMPUTED_VALUE"""),5747.0)</f>
        <v>5747</v>
      </c>
      <c r="G243" s="1">
        <f>IFERROR(__xludf.DUMMYFUNCTION("""COMPUTED_VALUE"""),128.0)</f>
        <v>128</v>
      </c>
      <c r="H243" s="6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IFERROR(__xludf.DUMMYFUNCTION("""COMPUTED_VALUE"""),1.0)</f>
        <v>1</v>
      </c>
      <c r="E244" s="6">
        <f>IFERROR(__xludf.DUMMYFUNCTION("""COMPUTED_VALUE"""),5574.56)</f>
        <v>5574.56</v>
      </c>
      <c r="F244" s="6">
        <f>IFERROR(__xludf.DUMMYFUNCTION("""COMPUTED_VALUE"""),4998.5)</f>
        <v>4998.5</v>
      </c>
      <c r="G244" s="1">
        <f>IFERROR(__xludf.DUMMYFUNCTION("""COMPUTED_VALUE"""),109.0)</f>
        <v>109</v>
      </c>
      <c r="H244" s="6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IFERROR(__xludf.DUMMYFUNCTION("""COMPUTED_VALUE"""),2.0)</f>
        <v>2</v>
      </c>
      <c r="E245" s="6">
        <f>IFERROR(__xludf.DUMMYFUNCTION("""COMPUTED_VALUE"""),5775.6)</f>
        <v>5775.6</v>
      </c>
      <c r="F245" s="6">
        <f>IFERROR(__xludf.DUMMYFUNCTION("""COMPUTED_VALUE"""),3943.65)</f>
        <v>3943.65</v>
      </c>
      <c r="G245" s="1">
        <f>IFERROR(__xludf.DUMMYFUNCTION("""COMPUTED_VALUE"""),101.0)</f>
        <v>101</v>
      </c>
      <c r="H245" s="6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IFERROR(__xludf.DUMMYFUNCTION("""COMPUTED_VALUE"""),1.0)</f>
        <v>1</v>
      </c>
      <c r="E246" s="6">
        <f>IFERROR(__xludf.DUMMYFUNCTION("""COMPUTED_VALUE"""),5942.31)</f>
        <v>5942.31</v>
      </c>
      <c r="F246" s="6">
        <f>IFERROR(__xludf.DUMMYFUNCTION("""COMPUTED_VALUE"""),5823.9)</f>
        <v>5823.9</v>
      </c>
      <c r="G246" s="1">
        <f>IFERROR(__xludf.DUMMYFUNCTION("""COMPUTED_VALUE"""),139.0)</f>
        <v>139</v>
      </c>
      <c r="H246" s="6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IFERROR(__xludf.DUMMYFUNCTION("""COMPUTED_VALUE"""),2.0)</f>
        <v>2</v>
      </c>
      <c r="E247" s="6">
        <f>IFERROR(__xludf.DUMMYFUNCTION("""COMPUTED_VALUE"""),6101.83)</f>
        <v>6101.83</v>
      </c>
      <c r="F247" s="6">
        <f>IFERROR(__xludf.DUMMYFUNCTION("""COMPUTED_VALUE"""),5513.5)</f>
        <v>5513.5</v>
      </c>
      <c r="G247" s="1">
        <f>IFERROR(__xludf.DUMMYFUNCTION("""COMPUTED_VALUE"""),117.0)</f>
        <v>117</v>
      </c>
      <c r="H247" s="6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IFERROR(__xludf.DUMMYFUNCTION("""COMPUTED_VALUE"""),1.0)</f>
        <v>1</v>
      </c>
      <c r="E248" s="6">
        <f>IFERROR(__xludf.DUMMYFUNCTION("""COMPUTED_VALUE"""),6435.24)</f>
        <v>6435.24</v>
      </c>
      <c r="F248" s="6">
        <f>IFERROR(__xludf.DUMMYFUNCTION("""COMPUTED_VALUE"""),5428.51)</f>
        <v>5428.51</v>
      </c>
      <c r="G248" s="1">
        <f>IFERROR(__xludf.DUMMYFUNCTION("""COMPUTED_VALUE"""),128.0)</f>
        <v>128</v>
      </c>
      <c r="H248" s="6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IFERROR(__xludf.DUMMYFUNCTION("""COMPUTED_VALUE"""),2.0)</f>
        <v>2</v>
      </c>
      <c r="E249" s="6">
        <f>IFERROR(__xludf.DUMMYFUNCTION("""COMPUTED_VALUE"""),6114.06)</f>
        <v>6114.06</v>
      </c>
      <c r="F249" s="6">
        <f>IFERROR(__xludf.DUMMYFUNCTION("""COMPUTED_VALUE"""),3984.01)</f>
        <v>3984.01</v>
      </c>
      <c r="G249" s="1">
        <f>IFERROR(__xludf.DUMMYFUNCTION("""COMPUTED_VALUE"""),95.0)</f>
        <v>95</v>
      </c>
      <c r="H249" s="6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IFERROR(__xludf.DUMMYFUNCTION("""COMPUTED_VALUE"""),1.0)</f>
        <v>1</v>
      </c>
      <c r="E250" s="6">
        <f>IFERROR(__xludf.DUMMYFUNCTION("""COMPUTED_VALUE"""),6985.56)</f>
        <v>6985.56</v>
      </c>
      <c r="F250" s="6">
        <f>IFERROR(__xludf.DUMMYFUNCTION("""COMPUTED_VALUE"""),6261.0)</f>
        <v>6261</v>
      </c>
      <c r="G250" s="1">
        <f>IFERROR(__xludf.DUMMYFUNCTION("""COMPUTED_VALUE"""),143.0)</f>
        <v>143</v>
      </c>
      <c r="H250" s="6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IFERROR(__xludf.DUMMYFUNCTION("""COMPUTED_VALUE"""),2.0)</f>
        <v>2</v>
      </c>
      <c r="E251" s="6">
        <f>IFERROR(__xludf.DUMMYFUNCTION("""COMPUTED_VALUE"""),5624.12)</f>
        <v>5624.12</v>
      </c>
      <c r="F251" s="6">
        <f>IFERROR(__xludf.DUMMYFUNCTION("""COMPUTED_VALUE"""),5571.5)</f>
        <v>5571.5</v>
      </c>
      <c r="G251" s="1">
        <f>IFERROR(__xludf.DUMMYFUNCTION("""COMPUTED_VALUE"""),115.0)</f>
        <v>115</v>
      </c>
      <c r="H251" s="6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IFERROR(__xludf.DUMMYFUNCTION("""COMPUTED_VALUE"""),1.0)</f>
        <v>1</v>
      </c>
      <c r="E252" s="6">
        <f>IFERROR(__xludf.DUMMYFUNCTION("""COMPUTED_VALUE"""),5775.6)</f>
        <v>5775.6</v>
      </c>
      <c r="F252" s="6">
        <f>IFERROR(__xludf.DUMMYFUNCTION("""COMPUTED_VALUE"""),4767.4)</f>
        <v>4767.4</v>
      </c>
      <c r="G252" s="1">
        <f>IFERROR(__xludf.DUMMYFUNCTION("""COMPUTED_VALUE"""),115.0)</f>
        <v>115</v>
      </c>
      <c r="H252" s="6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IFERROR(__xludf.DUMMYFUNCTION("""COMPUTED_VALUE"""),2.0)</f>
        <v>2</v>
      </c>
      <c r="E253" s="6">
        <f>IFERROR(__xludf.DUMMYFUNCTION("""COMPUTED_VALUE"""),5942.31)</f>
        <v>5942.31</v>
      </c>
      <c r="F253" s="6">
        <f>IFERROR(__xludf.DUMMYFUNCTION("""COMPUTED_VALUE"""),4090.5)</f>
        <v>4090.5</v>
      </c>
      <c r="G253" s="1">
        <f>IFERROR(__xludf.DUMMYFUNCTION("""COMPUTED_VALUE"""),91.0)</f>
        <v>91</v>
      </c>
      <c r="H253" s="6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IFERROR(__xludf.DUMMYFUNCTION("""COMPUTED_VALUE"""),1.0)</f>
        <v>1</v>
      </c>
      <c r="E254" s="6">
        <f>IFERROR(__xludf.DUMMYFUNCTION("""COMPUTED_VALUE"""),6101.83)</f>
        <v>6101.83</v>
      </c>
      <c r="F254" s="6">
        <f>IFERROR(__xludf.DUMMYFUNCTION("""COMPUTED_VALUE"""),4666.0)</f>
        <v>4666</v>
      </c>
      <c r="G254" s="1">
        <f>IFERROR(__xludf.DUMMYFUNCTION("""COMPUTED_VALUE"""),110.0)</f>
        <v>110</v>
      </c>
      <c r="H254" s="6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IFERROR(__xludf.DUMMYFUNCTION("""COMPUTED_VALUE"""),2.0)</f>
        <v>2</v>
      </c>
      <c r="E255" s="6">
        <f>IFERROR(__xludf.DUMMYFUNCTION("""COMPUTED_VALUE"""),6435.24)</f>
        <v>6435.24</v>
      </c>
      <c r="F255" s="6">
        <f>IFERROR(__xludf.DUMMYFUNCTION("""COMPUTED_VALUE"""),5870.55)</f>
        <v>5870.55</v>
      </c>
      <c r="G255" s="1">
        <f>IFERROR(__xludf.DUMMYFUNCTION("""COMPUTED_VALUE"""),129.0)</f>
        <v>129</v>
      </c>
      <c r="H255" s="6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IFERROR(__xludf.DUMMYFUNCTION("""COMPUTED_VALUE"""),1.0)</f>
        <v>1</v>
      </c>
      <c r="E256" s="6">
        <f>IFERROR(__xludf.DUMMYFUNCTION("""COMPUTED_VALUE"""),6114.06)</f>
        <v>6114.06</v>
      </c>
      <c r="F256" s="6">
        <f>IFERROR(__xludf.DUMMYFUNCTION("""COMPUTED_VALUE"""),6168.3)</f>
        <v>6168.3</v>
      </c>
      <c r="G256" s="1">
        <f>IFERROR(__xludf.DUMMYFUNCTION("""COMPUTED_VALUE"""),130.0)</f>
        <v>130</v>
      </c>
      <c r="H256" s="6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IFERROR(__xludf.DUMMYFUNCTION("""COMPUTED_VALUE"""),2.0)</f>
        <v>2</v>
      </c>
      <c r="E257" s="6">
        <f>IFERROR(__xludf.DUMMYFUNCTION("""COMPUTED_VALUE"""),6985.56)</f>
        <v>6985.56</v>
      </c>
      <c r="F257" s="6">
        <f>IFERROR(__xludf.DUMMYFUNCTION("""COMPUTED_VALUE"""),6981.0)</f>
        <v>6981</v>
      </c>
      <c r="G257" s="1">
        <f>IFERROR(__xludf.DUMMYFUNCTION("""COMPUTED_VALUE"""),141.0)</f>
        <v>141</v>
      </c>
      <c r="H257" s="6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IFERROR(__xludf.DUMMYFUNCTION("""COMPUTED_VALUE"""),1.0)</f>
        <v>1</v>
      </c>
      <c r="E258" s="6">
        <f>IFERROR(__xludf.DUMMYFUNCTION("""COMPUTED_VALUE"""),5624.12)</f>
        <v>5624.12</v>
      </c>
      <c r="F258" s="6">
        <f>IFERROR(__xludf.DUMMYFUNCTION("""COMPUTED_VALUE"""),5496.4)</f>
        <v>5496.4</v>
      </c>
      <c r="G258" s="1">
        <f>IFERROR(__xludf.DUMMYFUNCTION("""COMPUTED_VALUE"""),109.0)</f>
        <v>109</v>
      </c>
      <c r="H258" s="6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IFERROR(__xludf.DUMMYFUNCTION("""COMPUTED_VALUE"""),2.0)</f>
        <v>2</v>
      </c>
      <c r="E259" s="6">
        <f>IFERROR(__xludf.DUMMYFUNCTION("""COMPUTED_VALUE"""),5775.6)</f>
        <v>5775.6</v>
      </c>
      <c r="F259" s="6">
        <f>IFERROR(__xludf.DUMMYFUNCTION("""COMPUTED_VALUE"""),3511.5)</f>
        <v>3511.5</v>
      </c>
      <c r="G259" s="1">
        <f>IFERROR(__xludf.DUMMYFUNCTION("""COMPUTED_VALUE"""),86.0)</f>
        <v>86</v>
      </c>
      <c r="H259" s="6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IFERROR(__xludf.DUMMYFUNCTION("""COMPUTED_VALUE"""),1.0)</f>
        <v>1</v>
      </c>
      <c r="E260" s="6">
        <f>IFERROR(__xludf.DUMMYFUNCTION("""COMPUTED_VALUE"""),5942.31)</f>
        <v>5942.31</v>
      </c>
      <c r="F260" s="6">
        <f>IFERROR(__xludf.DUMMYFUNCTION("""COMPUTED_VALUE"""),4733.02)</f>
        <v>4733.02</v>
      </c>
      <c r="G260" s="1">
        <f>IFERROR(__xludf.DUMMYFUNCTION("""COMPUTED_VALUE"""),114.0)</f>
        <v>114</v>
      </c>
      <c r="H260" s="6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IFERROR(__xludf.DUMMYFUNCTION("""COMPUTED_VALUE"""),2.0)</f>
        <v>2</v>
      </c>
      <c r="E261" s="6">
        <f>IFERROR(__xludf.DUMMYFUNCTION("""COMPUTED_VALUE"""),6101.83)</f>
        <v>6101.83</v>
      </c>
      <c r="F261" s="6">
        <f>IFERROR(__xludf.DUMMYFUNCTION("""COMPUTED_VALUE"""),5370.41)</f>
        <v>5370.41</v>
      </c>
      <c r="G261" s="1">
        <f>IFERROR(__xludf.DUMMYFUNCTION("""COMPUTED_VALUE"""),117.0)</f>
        <v>117</v>
      </c>
      <c r="H261" s="6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IFERROR(__xludf.DUMMYFUNCTION("""COMPUTED_VALUE"""),1.0)</f>
        <v>1</v>
      </c>
      <c r="E262" s="6">
        <f>IFERROR(__xludf.DUMMYFUNCTION("""COMPUTED_VALUE"""),6435.24)</f>
        <v>6435.24</v>
      </c>
      <c r="F262" s="6">
        <f>IFERROR(__xludf.DUMMYFUNCTION("""COMPUTED_VALUE"""),5063.52)</f>
        <v>5063.52</v>
      </c>
      <c r="G262" s="1">
        <f>IFERROR(__xludf.DUMMYFUNCTION("""COMPUTED_VALUE"""),120.0)</f>
        <v>120</v>
      </c>
      <c r="H262" s="6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IFERROR(__xludf.DUMMYFUNCTION("""COMPUTED_VALUE"""),2.0)</f>
        <v>2</v>
      </c>
      <c r="E263" s="6">
        <f>IFERROR(__xludf.DUMMYFUNCTION("""COMPUTED_VALUE"""),6114.06)</f>
        <v>6114.06</v>
      </c>
      <c r="F263" s="6">
        <f>IFERROR(__xludf.DUMMYFUNCTION("""COMPUTED_VALUE"""),5173.55)</f>
        <v>5173.55</v>
      </c>
      <c r="G263" s="1">
        <f>IFERROR(__xludf.DUMMYFUNCTION("""COMPUTED_VALUE"""),119.0)</f>
        <v>119</v>
      </c>
      <c r="H263" s="6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IFERROR(__xludf.DUMMYFUNCTION("""COMPUTED_VALUE"""),1.0)</f>
        <v>1</v>
      </c>
      <c r="E264" s="6">
        <f>IFERROR(__xludf.DUMMYFUNCTION("""COMPUTED_VALUE"""),6985.56)</f>
        <v>6985.56</v>
      </c>
      <c r="F264" s="6">
        <f>IFERROR(__xludf.DUMMYFUNCTION("""COMPUTED_VALUE"""),6827.5)</f>
        <v>6827.5</v>
      </c>
      <c r="G264" s="1">
        <f>IFERROR(__xludf.DUMMYFUNCTION("""COMPUTED_VALUE"""),151.0)</f>
        <v>151</v>
      </c>
      <c r="H264" s="6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IFERROR(__xludf.DUMMYFUNCTION("""COMPUTED_VALUE"""),2.0)</f>
        <v>2</v>
      </c>
      <c r="E265" s="6">
        <f>IFERROR(__xludf.DUMMYFUNCTION("""COMPUTED_VALUE"""),5624.12)</f>
        <v>5624.12</v>
      </c>
      <c r="F265" s="6">
        <f>IFERROR(__xludf.DUMMYFUNCTION("""COMPUTED_VALUE"""),3876.5)</f>
        <v>3876.5</v>
      </c>
      <c r="G265" s="1">
        <f>IFERROR(__xludf.DUMMYFUNCTION("""COMPUTED_VALUE"""),94.0)</f>
        <v>94</v>
      </c>
      <c r="H265" s="6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IFERROR(__xludf.DUMMYFUNCTION("""COMPUTED_VALUE"""),1.0)</f>
        <v>1</v>
      </c>
      <c r="E266" s="6">
        <f>IFERROR(__xludf.DUMMYFUNCTION("""COMPUTED_VALUE"""),5775.6)</f>
        <v>5775.6</v>
      </c>
      <c r="F266" s="6">
        <f>IFERROR(__xludf.DUMMYFUNCTION("""COMPUTED_VALUE"""),3968.5)</f>
        <v>3968.5</v>
      </c>
      <c r="G266" s="1">
        <f>IFERROR(__xludf.DUMMYFUNCTION("""COMPUTED_VALUE"""),105.0)</f>
        <v>105</v>
      </c>
      <c r="H266" s="6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IFERROR(__xludf.DUMMYFUNCTION("""COMPUTED_VALUE"""),2.0)</f>
        <v>2</v>
      </c>
      <c r="E267" s="6">
        <f>IFERROR(__xludf.DUMMYFUNCTION("""COMPUTED_VALUE"""),5942.31)</f>
        <v>5942.31</v>
      </c>
      <c r="F267" s="6">
        <f>IFERROR(__xludf.DUMMYFUNCTION("""COMPUTED_VALUE"""),4766.0)</f>
        <v>4766</v>
      </c>
      <c r="G267" s="1">
        <f>IFERROR(__xludf.DUMMYFUNCTION("""COMPUTED_VALUE"""),122.0)</f>
        <v>122</v>
      </c>
      <c r="H267" s="6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IFERROR(__xludf.DUMMYFUNCTION("""COMPUTED_VALUE"""),1.0)</f>
        <v>1</v>
      </c>
      <c r="E268" s="6">
        <f>IFERROR(__xludf.DUMMYFUNCTION("""COMPUTED_VALUE"""),6101.83)</f>
        <v>6101.83</v>
      </c>
      <c r="F268" s="6">
        <f>IFERROR(__xludf.DUMMYFUNCTION("""COMPUTED_VALUE"""),4570.5)</f>
        <v>4570.5</v>
      </c>
      <c r="G268" s="1">
        <f>IFERROR(__xludf.DUMMYFUNCTION("""COMPUTED_VALUE"""),112.0)</f>
        <v>112</v>
      </c>
      <c r="H268" s="6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IFERROR(__xludf.DUMMYFUNCTION("""COMPUTED_VALUE"""),2.0)</f>
        <v>2</v>
      </c>
      <c r="E269" s="6">
        <f>IFERROR(__xludf.DUMMYFUNCTION("""COMPUTED_VALUE"""),6435.24)</f>
        <v>6435.24</v>
      </c>
      <c r="F269" s="6">
        <f>IFERROR(__xludf.DUMMYFUNCTION("""COMPUTED_VALUE"""),5385.0)</f>
        <v>5385</v>
      </c>
      <c r="G269" s="1">
        <f>IFERROR(__xludf.DUMMYFUNCTION("""COMPUTED_VALUE"""),122.0)</f>
        <v>122</v>
      </c>
      <c r="H269" s="6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IFERROR(__xludf.DUMMYFUNCTION("""COMPUTED_VALUE"""),1.0)</f>
        <v>1</v>
      </c>
      <c r="E270" s="6">
        <f>IFERROR(__xludf.DUMMYFUNCTION("""COMPUTED_VALUE"""),6114.06)</f>
        <v>6114.06</v>
      </c>
      <c r="F270" s="6">
        <f>IFERROR(__xludf.DUMMYFUNCTION("""COMPUTED_VALUE"""),5113.0)</f>
        <v>5113</v>
      </c>
      <c r="G270" s="1">
        <f>IFERROR(__xludf.DUMMYFUNCTION("""COMPUTED_VALUE"""),120.0)</f>
        <v>120</v>
      </c>
      <c r="H270" s="6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IFERROR(__xludf.DUMMYFUNCTION("""COMPUTED_VALUE"""),2.0)</f>
        <v>2</v>
      </c>
      <c r="E271" s="6">
        <f>IFERROR(__xludf.DUMMYFUNCTION("""COMPUTED_VALUE"""),6985.56)</f>
        <v>6985.56</v>
      </c>
      <c r="F271" s="6">
        <f>IFERROR(__xludf.DUMMYFUNCTION("""COMPUTED_VALUE"""),5288.5)</f>
        <v>5288.5</v>
      </c>
      <c r="G271" s="1">
        <f>IFERROR(__xludf.DUMMYFUNCTION("""COMPUTED_VALUE"""),115.0)</f>
        <v>115</v>
      </c>
      <c r="H271" s="6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IFERROR(__xludf.DUMMYFUNCTION("""COMPUTED_VALUE"""),1.0)</f>
        <v>1</v>
      </c>
      <c r="E272" s="6">
        <f>IFERROR(__xludf.DUMMYFUNCTION("""COMPUTED_VALUE"""),5624.12)</f>
        <v>5624.12</v>
      </c>
      <c r="F272" s="6">
        <f>IFERROR(__xludf.DUMMYFUNCTION("""COMPUTED_VALUE"""),4664.0)</f>
        <v>4664</v>
      </c>
      <c r="G272" s="1">
        <f>IFERROR(__xludf.DUMMYFUNCTION("""COMPUTED_VALUE"""),99.0)</f>
        <v>99</v>
      </c>
      <c r="H272" s="6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IFERROR(__xludf.DUMMYFUNCTION("""COMPUTED_VALUE"""),2.0)</f>
        <v>2</v>
      </c>
      <c r="E273" s="6">
        <f>IFERROR(__xludf.DUMMYFUNCTION("""COMPUTED_VALUE"""),5775.6)</f>
        <v>5775.6</v>
      </c>
      <c r="F273" s="6">
        <f>IFERROR(__xludf.DUMMYFUNCTION("""COMPUTED_VALUE"""),4976.01)</f>
        <v>4976.01</v>
      </c>
      <c r="G273" s="1">
        <f>IFERROR(__xludf.DUMMYFUNCTION("""COMPUTED_VALUE"""),123.0)</f>
        <v>123</v>
      </c>
      <c r="H273" s="6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IFERROR(__xludf.DUMMYFUNCTION("""COMPUTED_VALUE"""),1.0)</f>
        <v>1</v>
      </c>
      <c r="E274" s="6">
        <f>IFERROR(__xludf.DUMMYFUNCTION("""COMPUTED_VALUE"""),5942.31)</f>
        <v>5942.31</v>
      </c>
      <c r="F274" s="6">
        <f>IFERROR(__xludf.DUMMYFUNCTION("""COMPUTED_VALUE"""),4761.0)</f>
        <v>4761</v>
      </c>
      <c r="G274" s="1">
        <f>IFERROR(__xludf.DUMMYFUNCTION("""COMPUTED_VALUE"""),114.0)</f>
        <v>114</v>
      </c>
      <c r="H274" s="6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IFERROR(__xludf.DUMMYFUNCTION("""COMPUTED_VALUE"""),2.0)</f>
        <v>2</v>
      </c>
      <c r="E275" s="6">
        <f>IFERROR(__xludf.DUMMYFUNCTION("""COMPUTED_VALUE"""),6008.44)</f>
        <v>6008.44</v>
      </c>
      <c r="F275" s="6">
        <f>IFERROR(__xludf.DUMMYFUNCTION("""COMPUTED_VALUE"""),4690.0)</f>
        <v>4690</v>
      </c>
      <c r="G275" s="1">
        <f>IFERROR(__xludf.DUMMYFUNCTION("""COMPUTED_VALUE"""),110.0)</f>
        <v>110</v>
      </c>
      <c r="H275" s="6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IFERROR(__xludf.DUMMYFUNCTION("""COMPUTED_VALUE"""),1.0)</f>
        <v>1</v>
      </c>
      <c r="E276" s="6">
        <f>IFERROR(__xludf.DUMMYFUNCTION("""COMPUTED_VALUE"""),6276.66)</f>
        <v>6276.66</v>
      </c>
      <c r="F276" s="6">
        <f>IFERROR(__xludf.DUMMYFUNCTION("""COMPUTED_VALUE"""),4366.0)</f>
        <v>4366</v>
      </c>
      <c r="G276" s="1">
        <f>IFERROR(__xludf.DUMMYFUNCTION("""COMPUTED_VALUE"""),106.0)</f>
        <v>106</v>
      </c>
      <c r="H276" s="6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IFERROR(__xludf.DUMMYFUNCTION("""COMPUTED_VALUE"""),2.0)</f>
        <v>2</v>
      </c>
      <c r="E277" s="6">
        <f>IFERROR(__xludf.DUMMYFUNCTION("""COMPUTED_VALUE"""),6197.69)</f>
        <v>6197.69</v>
      </c>
      <c r="F277" s="6">
        <f>IFERROR(__xludf.DUMMYFUNCTION("""COMPUTED_VALUE"""),4551.0)</f>
        <v>4551</v>
      </c>
      <c r="G277" s="1">
        <f>IFERROR(__xludf.DUMMYFUNCTION("""COMPUTED_VALUE"""),111.0)</f>
        <v>111</v>
      </c>
      <c r="H277" s="6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IFERROR(__xludf.DUMMYFUNCTION("""COMPUTED_VALUE"""),1.0)</f>
        <v>1</v>
      </c>
      <c r="E278" s="6">
        <f>IFERROR(__xludf.DUMMYFUNCTION("""COMPUTED_VALUE"""),7130.16)</f>
        <v>7130.16</v>
      </c>
      <c r="F278" s="6">
        <f>IFERROR(__xludf.DUMMYFUNCTION("""COMPUTED_VALUE"""),7375.0)</f>
        <v>7375</v>
      </c>
      <c r="G278" s="1">
        <f>IFERROR(__xludf.DUMMYFUNCTION("""COMPUTED_VALUE"""),149.0)</f>
        <v>149</v>
      </c>
      <c r="H278" s="6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IFERROR(__xludf.DUMMYFUNCTION("""COMPUTED_VALUE"""),2.0)</f>
        <v>2</v>
      </c>
      <c r="E279" s="6">
        <f>IFERROR(__xludf.DUMMYFUNCTION("""COMPUTED_VALUE"""),5631.13)</f>
        <v>5631.13</v>
      </c>
      <c r="F279" s="6">
        <f>IFERROR(__xludf.DUMMYFUNCTION("""COMPUTED_VALUE"""),5237.0)</f>
        <v>5237</v>
      </c>
      <c r="G279" s="1">
        <f>IFERROR(__xludf.DUMMYFUNCTION("""COMPUTED_VALUE"""),118.0)</f>
        <v>118</v>
      </c>
      <c r="H279" s="6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IFERROR(__xludf.DUMMYFUNCTION("""COMPUTED_VALUE"""),1.0)</f>
        <v>1</v>
      </c>
      <c r="E280" s="6">
        <f>IFERROR(__xludf.DUMMYFUNCTION("""COMPUTED_VALUE"""),5665.48)</f>
        <v>5665.48</v>
      </c>
      <c r="F280" s="6">
        <f>IFERROR(__xludf.DUMMYFUNCTION("""COMPUTED_VALUE"""),4213.52)</f>
        <v>4213.52</v>
      </c>
      <c r="G280" s="1">
        <f>IFERROR(__xludf.DUMMYFUNCTION("""COMPUTED_VALUE"""),96.0)</f>
        <v>96</v>
      </c>
      <c r="H280" s="6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IFERROR(__xludf.DUMMYFUNCTION("""COMPUTED_VALUE"""),2.0)</f>
        <v>2</v>
      </c>
      <c r="E281" s="6">
        <f>IFERROR(__xludf.DUMMYFUNCTION("""COMPUTED_VALUE"""),5908.69)</f>
        <v>5908.69</v>
      </c>
      <c r="F281" s="6">
        <f>IFERROR(__xludf.DUMMYFUNCTION("""COMPUTED_VALUE"""),4601.52)</f>
        <v>4601.52</v>
      </c>
      <c r="G281" s="1">
        <f>IFERROR(__xludf.DUMMYFUNCTION("""COMPUTED_VALUE"""),120.0)</f>
        <v>120</v>
      </c>
      <c r="H281" s="6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IFERROR(__xludf.DUMMYFUNCTION("""COMPUTED_VALUE"""),1.0)</f>
        <v>1</v>
      </c>
      <c r="E282" s="6">
        <f>IFERROR(__xludf.DUMMYFUNCTION("""COMPUTED_VALUE"""),6008.44)</f>
        <v>6008.44</v>
      </c>
      <c r="F282" s="6">
        <f>IFERROR(__xludf.DUMMYFUNCTION("""COMPUTED_VALUE"""),7111.4)</f>
        <v>7111.4</v>
      </c>
      <c r="G282" s="1">
        <f>IFERROR(__xludf.DUMMYFUNCTION("""COMPUTED_VALUE"""),150.0)</f>
        <v>150</v>
      </c>
      <c r="H282" s="6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IFERROR(__xludf.DUMMYFUNCTION("""COMPUTED_VALUE"""),2.0)</f>
        <v>2</v>
      </c>
      <c r="E283" s="6">
        <f>IFERROR(__xludf.DUMMYFUNCTION("""COMPUTED_VALUE"""),6276.66)</f>
        <v>6276.66</v>
      </c>
      <c r="F283" s="6">
        <f>IFERROR(__xludf.DUMMYFUNCTION("""COMPUTED_VALUE"""),5219.51)</f>
        <v>5219.51</v>
      </c>
      <c r="G283" s="1">
        <f>IFERROR(__xludf.DUMMYFUNCTION("""COMPUTED_VALUE"""),130.0)</f>
        <v>130</v>
      </c>
      <c r="H283" s="6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IFERROR(__xludf.DUMMYFUNCTION("""COMPUTED_VALUE"""),1.0)</f>
        <v>1</v>
      </c>
      <c r="E284" s="6">
        <f>IFERROR(__xludf.DUMMYFUNCTION("""COMPUTED_VALUE"""),6197.69)</f>
        <v>6197.69</v>
      </c>
      <c r="F284" s="6">
        <f>IFERROR(__xludf.DUMMYFUNCTION("""COMPUTED_VALUE"""),6399.5)</f>
        <v>6399.5</v>
      </c>
      <c r="G284" s="1">
        <f>IFERROR(__xludf.DUMMYFUNCTION("""COMPUTED_VALUE"""),127.0)</f>
        <v>127</v>
      </c>
      <c r="H284" s="6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IFERROR(__xludf.DUMMYFUNCTION("""COMPUTED_VALUE"""),2.0)</f>
        <v>2</v>
      </c>
      <c r="E285" s="6">
        <f>IFERROR(__xludf.DUMMYFUNCTION("""COMPUTED_VALUE"""),7130.16)</f>
        <v>7130.16</v>
      </c>
      <c r="F285" s="6">
        <f>IFERROR(__xludf.DUMMYFUNCTION("""COMPUTED_VALUE"""),7627.42)</f>
        <v>7627.42</v>
      </c>
      <c r="G285" s="1">
        <f>IFERROR(__xludf.DUMMYFUNCTION("""COMPUTED_VALUE"""),146.0)</f>
        <v>146</v>
      </c>
      <c r="H285" s="6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IFERROR(__xludf.DUMMYFUNCTION("""COMPUTED_VALUE"""),1.0)</f>
        <v>1</v>
      </c>
      <c r="E286" s="6">
        <f>IFERROR(__xludf.DUMMYFUNCTION("""COMPUTED_VALUE"""),5631.13)</f>
        <v>5631.13</v>
      </c>
      <c r="F286" s="6">
        <f>IFERROR(__xludf.DUMMYFUNCTION("""COMPUTED_VALUE"""),5103.0)</f>
        <v>5103</v>
      </c>
      <c r="G286" s="1">
        <f>IFERROR(__xludf.DUMMYFUNCTION("""COMPUTED_VALUE"""),114.0)</f>
        <v>114</v>
      </c>
      <c r="H286" s="6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IFERROR(__xludf.DUMMYFUNCTION("""COMPUTED_VALUE"""),2.0)</f>
        <v>2</v>
      </c>
      <c r="E287" s="6">
        <f>IFERROR(__xludf.DUMMYFUNCTION("""COMPUTED_VALUE"""),5665.48)</f>
        <v>5665.48</v>
      </c>
      <c r="F287" s="6">
        <f>IFERROR(__xludf.DUMMYFUNCTION("""COMPUTED_VALUE"""),4556.0)</f>
        <v>4556</v>
      </c>
      <c r="G287" s="1">
        <f>IFERROR(__xludf.DUMMYFUNCTION("""COMPUTED_VALUE"""),106.0)</f>
        <v>106</v>
      </c>
      <c r="H287" s="6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IFERROR(__xludf.DUMMYFUNCTION("""COMPUTED_VALUE"""),1.0)</f>
        <v>1</v>
      </c>
      <c r="E288" s="6">
        <f>IFERROR(__xludf.DUMMYFUNCTION("""COMPUTED_VALUE"""),5908.69)</f>
        <v>5908.69</v>
      </c>
      <c r="F288" s="6">
        <f>IFERROR(__xludf.DUMMYFUNCTION("""COMPUTED_VALUE"""),4709.01)</f>
        <v>4709.01</v>
      </c>
      <c r="G288" s="1">
        <f>IFERROR(__xludf.DUMMYFUNCTION("""COMPUTED_VALUE"""),114.0)</f>
        <v>114</v>
      </c>
      <c r="H288" s="6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IFERROR(__xludf.DUMMYFUNCTION("""COMPUTED_VALUE"""),2.0)</f>
        <v>2</v>
      </c>
      <c r="E289" s="6">
        <f>IFERROR(__xludf.DUMMYFUNCTION("""COMPUTED_VALUE"""),6008.44)</f>
        <v>6008.44</v>
      </c>
      <c r="F289" s="6">
        <f>IFERROR(__xludf.DUMMYFUNCTION("""COMPUTED_VALUE"""),5113.51)</f>
        <v>5113.51</v>
      </c>
      <c r="G289" s="1">
        <f>IFERROR(__xludf.DUMMYFUNCTION("""COMPUTED_VALUE"""),119.0)</f>
        <v>119</v>
      </c>
      <c r="H289" s="6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IFERROR(__xludf.DUMMYFUNCTION("""COMPUTED_VALUE"""),1.0)</f>
        <v>1</v>
      </c>
      <c r="E290" s="6">
        <f>IFERROR(__xludf.DUMMYFUNCTION("""COMPUTED_VALUE"""),6276.66)</f>
        <v>6276.66</v>
      </c>
      <c r="F290" s="6">
        <f>IFERROR(__xludf.DUMMYFUNCTION("""COMPUTED_VALUE"""),5200.3)</f>
        <v>5200.3</v>
      </c>
      <c r="G290" s="1">
        <f>IFERROR(__xludf.DUMMYFUNCTION("""COMPUTED_VALUE"""),113.0)</f>
        <v>113</v>
      </c>
      <c r="H290" s="6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IFERROR(__xludf.DUMMYFUNCTION("""COMPUTED_VALUE"""),2.0)</f>
        <v>2</v>
      </c>
      <c r="E291" s="6">
        <f>IFERROR(__xludf.DUMMYFUNCTION("""COMPUTED_VALUE"""),6197.69)</f>
        <v>6197.69</v>
      </c>
      <c r="F291" s="6">
        <f>IFERROR(__xludf.DUMMYFUNCTION("""COMPUTED_VALUE"""),4504.0)</f>
        <v>4504</v>
      </c>
      <c r="G291" s="1">
        <f>IFERROR(__xludf.DUMMYFUNCTION("""COMPUTED_VALUE"""),108.0)</f>
        <v>108</v>
      </c>
      <c r="H291" s="6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IFERROR(__xludf.DUMMYFUNCTION("""COMPUTED_VALUE"""),1.0)</f>
        <v>1</v>
      </c>
      <c r="E292" s="6">
        <f>IFERROR(__xludf.DUMMYFUNCTION("""COMPUTED_VALUE"""),7130.16)</f>
        <v>7130.16</v>
      </c>
      <c r="F292" s="6">
        <f>IFERROR(__xludf.DUMMYFUNCTION("""COMPUTED_VALUE"""),5957.6)</f>
        <v>5957.6</v>
      </c>
      <c r="G292" s="1">
        <f>IFERROR(__xludf.DUMMYFUNCTION("""COMPUTED_VALUE"""),131.0)</f>
        <v>131</v>
      </c>
      <c r="H292" s="6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IFERROR(__xludf.DUMMYFUNCTION("""COMPUTED_VALUE"""),2.0)</f>
        <v>2</v>
      </c>
      <c r="E293" s="6">
        <f>IFERROR(__xludf.DUMMYFUNCTION("""COMPUTED_VALUE"""),5631.13)</f>
        <v>5631.13</v>
      </c>
      <c r="F293" s="6">
        <f>IFERROR(__xludf.DUMMYFUNCTION("""COMPUTED_VALUE"""),5049.01)</f>
        <v>5049.01</v>
      </c>
      <c r="G293" s="1">
        <f>IFERROR(__xludf.DUMMYFUNCTION("""COMPUTED_VALUE"""),103.0)</f>
        <v>103</v>
      </c>
      <c r="H293" s="6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IFERROR(__xludf.DUMMYFUNCTION("""COMPUTED_VALUE"""),1.0)</f>
        <v>1</v>
      </c>
      <c r="E294" s="6">
        <f>IFERROR(__xludf.DUMMYFUNCTION("""COMPUTED_VALUE"""),5665.48)</f>
        <v>5665.48</v>
      </c>
      <c r="F294" s="6">
        <f>IFERROR(__xludf.DUMMYFUNCTION("""COMPUTED_VALUE"""),5340.0)</f>
        <v>5340</v>
      </c>
      <c r="G294" s="1">
        <f>IFERROR(__xludf.DUMMYFUNCTION("""COMPUTED_VALUE"""),125.0)</f>
        <v>125</v>
      </c>
      <c r="H294" s="6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IFERROR(__xludf.DUMMYFUNCTION("""COMPUTED_VALUE"""),2.0)</f>
        <v>2</v>
      </c>
      <c r="E295" s="6">
        <f>IFERROR(__xludf.DUMMYFUNCTION("""COMPUTED_VALUE"""),5908.69)</f>
        <v>5908.69</v>
      </c>
      <c r="F295" s="6">
        <f>IFERROR(__xludf.DUMMYFUNCTION("""COMPUTED_VALUE"""),5475.51)</f>
        <v>5475.51</v>
      </c>
      <c r="G295" s="1">
        <f>IFERROR(__xludf.DUMMYFUNCTION("""COMPUTED_VALUE"""),119.0)</f>
        <v>119</v>
      </c>
      <c r="H295" s="6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IFERROR(__xludf.DUMMYFUNCTION("""COMPUTED_VALUE"""),1.0)</f>
        <v>1</v>
      </c>
      <c r="E296" s="6">
        <f>IFERROR(__xludf.DUMMYFUNCTION("""COMPUTED_VALUE"""),6008.44)</f>
        <v>6008.44</v>
      </c>
      <c r="F296" s="6">
        <f>IFERROR(__xludf.DUMMYFUNCTION("""COMPUTED_VALUE"""),5958.5)</f>
        <v>5958.5</v>
      </c>
      <c r="G296" s="1">
        <f>IFERROR(__xludf.DUMMYFUNCTION("""COMPUTED_VALUE"""),137.0)</f>
        <v>137</v>
      </c>
      <c r="H296" s="6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IFERROR(__xludf.DUMMYFUNCTION("""COMPUTED_VALUE"""),2.0)</f>
        <v>2</v>
      </c>
      <c r="E297" s="6">
        <f>IFERROR(__xludf.DUMMYFUNCTION("""COMPUTED_VALUE"""),6276.66)</f>
        <v>6276.66</v>
      </c>
      <c r="F297" s="6">
        <f>IFERROR(__xludf.DUMMYFUNCTION("""COMPUTED_VALUE"""),4889.02)</f>
        <v>4889.02</v>
      </c>
      <c r="G297" s="1">
        <f>IFERROR(__xludf.DUMMYFUNCTION("""COMPUTED_VALUE"""),119.0)</f>
        <v>119</v>
      </c>
      <c r="H297" s="6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IFERROR(__xludf.DUMMYFUNCTION("""COMPUTED_VALUE"""),1.0)</f>
        <v>1</v>
      </c>
      <c r="E298" s="6">
        <f>IFERROR(__xludf.DUMMYFUNCTION("""COMPUTED_VALUE"""),6197.69)</f>
        <v>6197.69</v>
      </c>
      <c r="F298" s="6">
        <f>IFERROR(__xludf.DUMMYFUNCTION("""COMPUTED_VALUE"""),4418.0)</f>
        <v>4418</v>
      </c>
      <c r="G298" s="1">
        <f>IFERROR(__xludf.DUMMYFUNCTION("""COMPUTED_VALUE"""),108.0)</f>
        <v>108</v>
      </c>
      <c r="H298" s="6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IFERROR(__xludf.DUMMYFUNCTION("""COMPUTED_VALUE"""),2.0)</f>
        <v>2</v>
      </c>
      <c r="E299" s="6">
        <f>IFERROR(__xludf.DUMMYFUNCTION("""COMPUTED_VALUE"""),7130.16)</f>
        <v>7130.16</v>
      </c>
      <c r="F299" s="6">
        <f>IFERROR(__xludf.DUMMYFUNCTION("""COMPUTED_VALUE"""),5749.0)</f>
        <v>5749</v>
      </c>
      <c r="G299" s="1">
        <f>IFERROR(__xludf.DUMMYFUNCTION("""COMPUTED_VALUE"""),126.0)</f>
        <v>126</v>
      </c>
      <c r="H299" s="6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IFERROR(__xludf.DUMMYFUNCTION("""COMPUTED_VALUE"""),1.0)</f>
        <v>1</v>
      </c>
      <c r="E300" s="6">
        <f>IFERROR(__xludf.DUMMYFUNCTION("""COMPUTED_VALUE"""),5631.13)</f>
        <v>5631.13</v>
      </c>
      <c r="F300" s="6">
        <f>IFERROR(__xludf.DUMMYFUNCTION("""COMPUTED_VALUE"""),4679.3)</f>
        <v>4679.3</v>
      </c>
      <c r="G300" s="1">
        <f>IFERROR(__xludf.DUMMYFUNCTION("""COMPUTED_VALUE"""),103.0)</f>
        <v>103</v>
      </c>
      <c r="H300" s="6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IFERROR(__xludf.DUMMYFUNCTION("""COMPUTED_VALUE"""),2.0)</f>
        <v>2</v>
      </c>
      <c r="E301" s="6">
        <f>IFERROR(__xludf.DUMMYFUNCTION("""COMPUTED_VALUE"""),5665.48)</f>
        <v>5665.48</v>
      </c>
      <c r="F301" s="6">
        <f>IFERROR(__xludf.DUMMYFUNCTION("""COMPUTED_VALUE"""),5160.5)</f>
        <v>5160.5</v>
      </c>
      <c r="G301" s="1">
        <f>IFERROR(__xludf.DUMMYFUNCTION("""COMPUTED_VALUE"""),118.0)</f>
        <v>118</v>
      </c>
      <c r="H301" s="6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IFERROR(__xludf.DUMMYFUNCTION("""COMPUTED_VALUE"""),1.0)</f>
        <v>1</v>
      </c>
      <c r="E302" s="6">
        <f>IFERROR(__xludf.DUMMYFUNCTION("""COMPUTED_VALUE"""),5908.69)</f>
        <v>5908.69</v>
      </c>
      <c r="F302" s="6">
        <f>IFERROR(__xludf.DUMMYFUNCTION("""COMPUTED_VALUE"""),3178.0)</f>
        <v>3178</v>
      </c>
      <c r="G302" s="1">
        <f>IFERROR(__xludf.DUMMYFUNCTION("""COMPUTED_VALUE"""),75.0)</f>
        <v>75</v>
      </c>
      <c r="H302" s="6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IFERROR(__xludf.DUMMYFUNCTION("""COMPUTED_VALUE"""),2.0)</f>
        <v>2</v>
      </c>
      <c r="E303" s="6">
        <f>IFERROR(__xludf.DUMMYFUNCTION("""COMPUTED_VALUE"""),6008.44)</f>
        <v>6008.44</v>
      </c>
      <c r="F303" s="6">
        <f>IFERROR(__xludf.DUMMYFUNCTION("""COMPUTED_VALUE"""),3543.0)</f>
        <v>3543</v>
      </c>
      <c r="G303" s="1">
        <f>IFERROR(__xludf.DUMMYFUNCTION("""COMPUTED_VALUE"""),96.0)</f>
        <v>96</v>
      </c>
      <c r="H303" s="6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IFERROR(__xludf.DUMMYFUNCTION("""COMPUTED_VALUE"""),1.0)</f>
        <v>1</v>
      </c>
      <c r="E304" s="6">
        <f>IFERROR(__xludf.DUMMYFUNCTION("""COMPUTED_VALUE"""),6276.66)</f>
        <v>6276.66</v>
      </c>
      <c r="F304" s="6">
        <f>IFERROR(__xludf.DUMMYFUNCTION("""COMPUTED_VALUE"""),4602.0)</f>
        <v>4602</v>
      </c>
      <c r="G304" s="1">
        <f>IFERROR(__xludf.DUMMYFUNCTION("""COMPUTED_VALUE"""),121.0)</f>
        <v>121</v>
      </c>
      <c r="H304" s="6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IFERROR(__xludf.DUMMYFUNCTION("""COMPUTED_VALUE"""),2.0)</f>
        <v>2</v>
      </c>
      <c r="E305" s="6">
        <f>IFERROR(__xludf.DUMMYFUNCTION("""COMPUTED_VALUE"""),6197.69)</f>
        <v>6197.69</v>
      </c>
      <c r="F305" s="6">
        <f>IFERROR(__xludf.DUMMYFUNCTION("""COMPUTED_VALUE"""),4840.52)</f>
        <v>4840.52</v>
      </c>
      <c r="G305" s="1">
        <f>IFERROR(__xludf.DUMMYFUNCTION("""COMPUTED_VALUE"""),114.0)</f>
        <v>114</v>
      </c>
      <c r="H305" s="6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IFERROR(__xludf.DUMMYFUNCTION("""COMPUTED_VALUE"""),1.0)</f>
        <v>1</v>
      </c>
      <c r="E306" s="6">
        <f>IFERROR(__xludf.DUMMYFUNCTION("""COMPUTED_VALUE"""),7130.16)</f>
        <v>7130.16</v>
      </c>
      <c r="F306" s="6">
        <f>IFERROR(__xludf.DUMMYFUNCTION("""COMPUTED_VALUE"""),6765.01)</f>
        <v>6765.01</v>
      </c>
      <c r="G306" s="1">
        <f>IFERROR(__xludf.DUMMYFUNCTION("""COMPUTED_VALUE"""),156.0)</f>
        <v>156</v>
      </c>
      <c r="H306" s="6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IFERROR(__xludf.DUMMYFUNCTION("""COMPUTED_VALUE"""),2.0)</f>
        <v>2</v>
      </c>
      <c r="E307" s="6">
        <f>IFERROR(__xludf.DUMMYFUNCTION("""COMPUTED_VALUE"""),5631.13)</f>
        <v>5631.13</v>
      </c>
      <c r="F307" s="6">
        <f>IFERROR(__xludf.DUMMYFUNCTION("""COMPUTED_VALUE"""),5460.52)</f>
        <v>5460.52</v>
      </c>
      <c r="G307" s="1">
        <f>IFERROR(__xludf.DUMMYFUNCTION("""COMPUTED_VALUE"""),116.0)</f>
        <v>116</v>
      </c>
      <c r="H307" s="6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IFERROR(__xludf.DUMMYFUNCTION("""COMPUTED_VALUE"""),1.0)</f>
        <v>1</v>
      </c>
      <c r="E308" s="6">
        <f>IFERROR(__xludf.DUMMYFUNCTION("""COMPUTED_VALUE"""),5665.48)</f>
        <v>5665.48</v>
      </c>
      <c r="F308" s="6">
        <f>IFERROR(__xludf.DUMMYFUNCTION("""COMPUTED_VALUE"""),5400.0)</f>
        <v>5400</v>
      </c>
      <c r="G308" s="1">
        <f>IFERROR(__xludf.DUMMYFUNCTION("""COMPUTED_VALUE"""),135.0)</f>
        <v>135</v>
      </c>
      <c r="H308" s="6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IFERROR(__xludf.DUMMYFUNCTION("""COMPUTED_VALUE"""),2.0)</f>
        <v>2</v>
      </c>
      <c r="E309" s="6">
        <f>IFERROR(__xludf.DUMMYFUNCTION("""COMPUTED_VALUE"""),5908.69)</f>
        <v>5908.69</v>
      </c>
      <c r="F309" s="6">
        <f>IFERROR(__xludf.DUMMYFUNCTION("""COMPUTED_VALUE"""),4976.5)</f>
        <v>4976.5</v>
      </c>
      <c r="G309" s="1">
        <f>IFERROR(__xludf.DUMMYFUNCTION("""COMPUTED_VALUE"""),108.0)</f>
        <v>108</v>
      </c>
      <c r="H309" s="6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IFERROR(__xludf.DUMMYFUNCTION("""COMPUTED_VALUE"""),1.0)</f>
        <v>1</v>
      </c>
      <c r="E310" s="6">
        <f>IFERROR(__xludf.DUMMYFUNCTION("""COMPUTED_VALUE"""),6008.44)</f>
        <v>6008.44</v>
      </c>
      <c r="F310" s="6">
        <f>IFERROR(__xludf.DUMMYFUNCTION("""COMPUTED_VALUE"""),4684.5)</f>
        <v>4684.5</v>
      </c>
      <c r="G310" s="1">
        <f>IFERROR(__xludf.DUMMYFUNCTION("""COMPUTED_VALUE"""),107.0)</f>
        <v>107</v>
      </c>
      <c r="H310" s="6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IFERROR(__xludf.DUMMYFUNCTION("""COMPUTED_VALUE"""),2.0)</f>
        <v>2</v>
      </c>
      <c r="E311" s="6">
        <f>IFERROR(__xludf.DUMMYFUNCTION("""COMPUTED_VALUE"""),6276.66)</f>
        <v>6276.66</v>
      </c>
      <c r="F311" s="6">
        <f>IFERROR(__xludf.DUMMYFUNCTION("""COMPUTED_VALUE"""),5454.5)</f>
        <v>5454.5</v>
      </c>
      <c r="G311" s="1">
        <f>IFERROR(__xludf.DUMMYFUNCTION("""COMPUTED_VALUE"""),141.0)</f>
        <v>141</v>
      </c>
      <c r="H311" s="6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IFERROR(__xludf.DUMMYFUNCTION("""COMPUTED_VALUE"""),1.0)</f>
        <v>1</v>
      </c>
      <c r="E312" s="6">
        <f>IFERROR(__xludf.DUMMYFUNCTION("""COMPUTED_VALUE"""),6197.69)</f>
        <v>6197.69</v>
      </c>
      <c r="F312" s="6">
        <f>IFERROR(__xludf.DUMMYFUNCTION("""COMPUTED_VALUE"""),5368.0)</f>
        <v>5368</v>
      </c>
      <c r="G312" s="1">
        <f>IFERROR(__xludf.DUMMYFUNCTION("""COMPUTED_VALUE"""),126.0)</f>
        <v>126</v>
      </c>
      <c r="H312" s="6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IFERROR(__xludf.DUMMYFUNCTION("""COMPUTED_VALUE"""),2.0)</f>
        <v>2</v>
      </c>
      <c r="E313" s="6">
        <f>IFERROR(__xludf.DUMMYFUNCTION("""COMPUTED_VALUE"""),7130.16)</f>
        <v>7130.16</v>
      </c>
      <c r="F313" s="6">
        <f>IFERROR(__xludf.DUMMYFUNCTION("""COMPUTED_VALUE"""),5056.51)</f>
        <v>5056.51</v>
      </c>
      <c r="G313" s="1">
        <f>IFERROR(__xludf.DUMMYFUNCTION("""COMPUTED_VALUE"""),126.0)</f>
        <v>126</v>
      </c>
      <c r="H313" s="6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IFERROR(__xludf.DUMMYFUNCTION("""COMPUTED_VALUE"""),1.0)</f>
        <v>1</v>
      </c>
      <c r="E314" s="6">
        <f>IFERROR(__xludf.DUMMYFUNCTION("""COMPUTED_VALUE"""),5631.13)</f>
        <v>5631.13</v>
      </c>
      <c r="F314" s="6">
        <f>IFERROR(__xludf.DUMMYFUNCTION("""COMPUTED_VALUE"""),5868.0)</f>
        <v>5868</v>
      </c>
      <c r="G314" s="1">
        <f>IFERROR(__xludf.DUMMYFUNCTION("""COMPUTED_VALUE"""),129.0)</f>
        <v>129</v>
      </c>
      <c r="H314" s="6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IFERROR(__xludf.DUMMYFUNCTION("""COMPUTED_VALUE"""),2.0)</f>
        <v>2</v>
      </c>
      <c r="E315" s="6">
        <f>IFERROR(__xludf.DUMMYFUNCTION("""COMPUTED_VALUE"""),5665.48)</f>
        <v>5665.48</v>
      </c>
      <c r="F315" s="6">
        <f>IFERROR(__xludf.DUMMYFUNCTION("""COMPUTED_VALUE"""),4791.42)</f>
        <v>4791.42</v>
      </c>
      <c r="G315" s="1">
        <f>IFERROR(__xludf.DUMMYFUNCTION("""COMPUTED_VALUE"""),113.0)</f>
        <v>113</v>
      </c>
      <c r="H315" s="6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IFERROR(__xludf.DUMMYFUNCTION("""COMPUTED_VALUE"""),1.0)</f>
        <v>1</v>
      </c>
      <c r="E316" s="6">
        <f>IFERROR(__xludf.DUMMYFUNCTION("""COMPUTED_VALUE"""),5908.69)</f>
        <v>5908.69</v>
      </c>
      <c r="F316" s="6">
        <f>IFERROR(__xludf.DUMMYFUNCTION("""COMPUTED_VALUE"""),5495.5)</f>
        <v>5495.5</v>
      </c>
      <c r="G316" s="1">
        <f>IFERROR(__xludf.DUMMYFUNCTION("""COMPUTED_VALUE"""),125.0)</f>
        <v>125</v>
      </c>
      <c r="H316" s="6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IFERROR(__xludf.DUMMYFUNCTION("""COMPUTED_VALUE"""),2.0)</f>
        <v>2</v>
      </c>
      <c r="E317" s="6">
        <f>IFERROR(__xludf.DUMMYFUNCTION("""COMPUTED_VALUE"""),6008.44)</f>
        <v>6008.44</v>
      </c>
      <c r="F317" s="6">
        <f>IFERROR(__xludf.DUMMYFUNCTION("""COMPUTED_VALUE"""),4446.0)</f>
        <v>4446</v>
      </c>
      <c r="G317" s="1">
        <f>IFERROR(__xludf.DUMMYFUNCTION("""COMPUTED_VALUE"""),112.0)</f>
        <v>112</v>
      </c>
      <c r="H317" s="6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IFERROR(__xludf.DUMMYFUNCTION("""COMPUTED_VALUE"""),1.0)</f>
        <v>1</v>
      </c>
      <c r="E318" s="6">
        <f>IFERROR(__xludf.DUMMYFUNCTION("""COMPUTED_VALUE"""),6276.66)</f>
        <v>6276.66</v>
      </c>
      <c r="F318" s="6">
        <f>IFERROR(__xludf.DUMMYFUNCTION("""COMPUTED_VALUE"""),4990.5)</f>
        <v>4990.5</v>
      </c>
      <c r="G318" s="1">
        <f>IFERROR(__xludf.DUMMYFUNCTION("""COMPUTED_VALUE"""),122.0)</f>
        <v>122</v>
      </c>
      <c r="H318" s="6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IFERROR(__xludf.DUMMYFUNCTION("""COMPUTED_VALUE"""),2.0)</f>
        <v>2</v>
      </c>
      <c r="E319" s="6">
        <f>IFERROR(__xludf.DUMMYFUNCTION("""COMPUTED_VALUE"""),6197.69)</f>
        <v>6197.69</v>
      </c>
      <c r="F319" s="6">
        <f>IFERROR(__xludf.DUMMYFUNCTION("""COMPUTED_VALUE"""),5137.5)</f>
        <v>5137.5</v>
      </c>
      <c r="G319" s="1">
        <f>IFERROR(__xludf.DUMMYFUNCTION("""COMPUTED_VALUE"""),110.0)</f>
        <v>110</v>
      </c>
      <c r="H319" s="6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IFERROR(__xludf.DUMMYFUNCTION("""COMPUTED_VALUE"""),1.0)</f>
        <v>1</v>
      </c>
      <c r="E320" s="6">
        <f>IFERROR(__xludf.DUMMYFUNCTION("""COMPUTED_VALUE"""),7130.16)</f>
        <v>7130.16</v>
      </c>
      <c r="F320" s="6">
        <f>IFERROR(__xludf.DUMMYFUNCTION("""COMPUTED_VALUE"""),7079.0)</f>
        <v>7079</v>
      </c>
      <c r="G320" s="1">
        <f>IFERROR(__xludf.DUMMYFUNCTION("""COMPUTED_VALUE"""),140.0)</f>
        <v>140</v>
      </c>
      <c r="H320" s="6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IFERROR(__xludf.DUMMYFUNCTION("""COMPUTED_VALUE"""),2.0)</f>
        <v>2</v>
      </c>
      <c r="E321" s="6">
        <f>IFERROR(__xludf.DUMMYFUNCTION("""COMPUTED_VALUE"""),5631.13)</f>
        <v>5631.13</v>
      </c>
      <c r="F321" s="6">
        <f>IFERROR(__xludf.DUMMYFUNCTION("""COMPUTED_VALUE"""),4804.0)</f>
        <v>4804</v>
      </c>
      <c r="G321" s="1">
        <f>IFERROR(__xludf.DUMMYFUNCTION("""COMPUTED_VALUE"""),112.0)</f>
        <v>112</v>
      </c>
      <c r="H321" s="6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IFERROR(__xludf.DUMMYFUNCTION("""COMPUTED_VALUE"""),1.0)</f>
        <v>1</v>
      </c>
      <c r="E322" s="6">
        <f>IFERROR(__xludf.DUMMYFUNCTION("""COMPUTED_VALUE"""),5665.48)</f>
        <v>5665.48</v>
      </c>
      <c r="F322" s="6">
        <f>IFERROR(__xludf.DUMMYFUNCTION("""COMPUTED_VALUE"""),5439.0)</f>
        <v>5439</v>
      </c>
      <c r="G322" s="1">
        <f>IFERROR(__xludf.DUMMYFUNCTION("""COMPUTED_VALUE"""),119.0)</f>
        <v>119</v>
      </c>
      <c r="H322" s="6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IFERROR(__xludf.DUMMYFUNCTION("""COMPUTED_VALUE"""),2.0)</f>
        <v>2</v>
      </c>
      <c r="E323" s="6">
        <f>IFERROR(__xludf.DUMMYFUNCTION("""COMPUTED_VALUE"""),5908.69)</f>
        <v>5908.69</v>
      </c>
      <c r="F323" s="6">
        <f>IFERROR(__xludf.DUMMYFUNCTION("""COMPUTED_VALUE"""),5496.5)</f>
        <v>5496.5</v>
      </c>
      <c r="G323" s="1">
        <f>IFERROR(__xludf.DUMMYFUNCTION("""COMPUTED_VALUE"""),126.0)</f>
        <v>126</v>
      </c>
      <c r="H323" s="6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IFERROR(__xludf.DUMMYFUNCTION("""COMPUTED_VALUE"""),1.0)</f>
        <v>1</v>
      </c>
      <c r="E324" s="6">
        <f>IFERROR(__xludf.DUMMYFUNCTION("""COMPUTED_VALUE"""),6008.44)</f>
        <v>6008.44</v>
      </c>
      <c r="F324" s="6">
        <f>IFERROR(__xludf.DUMMYFUNCTION("""COMPUTED_VALUE"""),5454.0)</f>
        <v>5454</v>
      </c>
      <c r="G324" s="1">
        <f>IFERROR(__xludf.DUMMYFUNCTION("""COMPUTED_VALUE"""),132.0)</f>
        <v>132</v>
      </c>
      <c r="H324" s="6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IFERROR(__xludf.DUMMYFUNCTION("""COMPUTED_VALUE"""),2.0)</f>
        <v>2</v>
      </c>
      <c r="E325" s="6">
        <f>IFERROR(__xludf.DUMMYFUNCTION("""COMPUTED_VALUE"""),6276.66)</f>
        <v>6276.66</v>
      </c>
      <c r="F325" s="6">
        <f>IFERROR(__xludf.DUMMYFUNCTION("""COMPUTED_VALUE"""),6170.9)</f>
        <v>6170.9</v>
      </c>
      <c r="G325" s="1">
        <f>IFERROR(__xludf.DUMMYFUNCTION("""COMPUTED_VALUE"""),128.0)</f>
        <v>128</v>
      </c>
      <c r="H325" s="6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IFERROR(__xludf.DUMMYFUNCTION("""COMPUTED_VALUE"""),1.0)</f>
        <v>1</v>
      </c>
      <c r="E326" s="6">
        <f>IFERROR(__xludf.DUMMYFUNCTION("""COMPUTED_VALUE"""),6197.69)</f>
        <v>6197.69</v>
      </c>
      <c r="F326" s="6">
        <f>IFERROR(__xludf.DUMMYFUNCTION("""COMPUTED_VALUE"""),5688.5)</f>
        <v>5688.5</v>
      </c>
      <c r="G326" s="1">
        <f>IFERROR(__xludf.DUMMYFUNCTION("""COMPUTED_VALUE"""),140.0)</f>
        <v>140</v>
      </c>
      <c r="H326" s="6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IFERROR(__xludf.DUMMYFUNCTION("""COMPUTED_VALUE"""),2.0)</f>
        <v>2</v>
      </c>
      <c r="E327" s="6">
        <f>IFERROR(__xludf.DUMMYFUNCTION("""COMPUTED_VALUE"""),7130.16)</f>
        <v>7130.16</v>
      </c>
      <c r="F327" s="6">
        <f>IFERROR(__xludf.DUMMYFUNCTION("""COMPUTED_VALUE"""),5717.5)</f>
        <v>5717.5</v>
      </c>
      <c r="G327" s="1">
        <f>IFERROR(__xludf.DUMMYFUNCTION("""COMPUTED_VALUE"""),122.0)</f>
        <v>122</v>
      </c>
      <c r="H327" s="6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IFERROR(__xludf.DUMMYFUNCTION("""COMPUTED_VALUE"""),1.0)</f>
        <v>1</v>
      </c>
      <c r="E328" s="6">
        <f>IFERROR(__xludf.DUMMYFUNCTION("""COMPUTED_VALUE"""),5631.13)</f>
        <v>5631.13</v>
      </c>
      <c r="F328" s="6">
        <f>IFERROR(__xludf.DUMMYFUNCTION("""COMPUTED_VALUE"""),4359.0)</f>
        <v>4359</v>
      </c>
      <c r="G328" s="1">
        <f>IFERROR(__xludf.DUMMYFUNCTION("""COMPUTED_VALUE"""),93.0)</f>
        <v>93</v>
      </c>
      <c r="H328" s="6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IFERROR(__xludf.DUMMYFUNCTION("""COMPUTED_VALUE"""),2.0)</f>
        <v>2</v>
      </c>
      <c r="E329" s="6">
        <f>IFERROR(__xludf.DUMMYFUNCTION("""COMPUTED_VALUE"""),5665.48)</f>
        <v>5665.48</v>
      </c>
      <c r="F329" s="6">
        <f>IFERROR(__xludf.DUMMYFUNCTION("""COMPUTED_VALUE"""),4022.5)</f>
        <v>4022.5</v>
      </c>
      <c r="G329" s="1">
        <f>IFERROR(__xludf.DUMMYFUNCTION("""COMPUTED_VALUE"""),101.0)</f>
        <v>101</v>
      </c>
      <c r="H329" s="6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IFERROR(__xludf.DUMMYFUNCTION("""COMPUTED_VALUE"""),1.0)</f>
        <v>1</v>
      </c>
      <c r="E330" s="6">
        <f>IFERROR(__xludf.DUMMYFUNCTION("""COMPUTED_VALUE"""),5908.69)</f>
        <v>5908.69</v>
      </c>
      <c r="F330" s="6">
        <f>IFERROR(__xludf.DUMMYFUNCTION("""COMPUTED_VALUE"""),5477.41)</f>
        <v>5477.41</v>
      </c>
      <c r="G330" s="1">
        <f>IFERROR(__xludf.DUMMYFUNCTION("""COMPUTED_VALUE"""),118.0)</f>
        <v>118</v>
      </c>
      <c r="H330" s="6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IFERROR(__xludf.DUMMYFUNCTION("""COMPUTED_VALUE"""),2.0)</f>
        <v>2</v>
      </c>
      <c r="E331" s="6">
        <f>IFERROR(__xludf.DUMMYFUNCTION("""COMPUTED_VALUE"""),6008.44)</f>
        <v>6008.44</v>
      </c>
      <c r="F331" s="6">
        <f>IFERROR(__xludf.DUMMYFUNCTION("""COMPUTED_VALUE"""),5713.01)</f>
        <v>5713.01</v>
      </c>
      <c r="G331" s="1">
        <f>IFERROR(__xludf.DUMMYFUNCTION("""COMPUTED_VALUE"""),125.0)</f>
        <v>125</v>
      </c>
      <c r="H331" s="6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IFERROR(__xludf.DUMMYFUNCTION("""COMPUTED_VALUE"""),1.0)</f>
        <v>1</v>
      </c>
      <c r="E332" s="6">
        <f>IFERROR(__xludf.DUMMYFUNCTION("""COMPUTED_VALUE"""),6276.66)</f>
        <v>6276.66</v>
      </c>
      <c r="F332" s="6">
        <f>IFERROR(__xludf.DUMMYFUNCTION("""COMPUTED_VALUE"""),5788.01)</f>
        <v>5788.01</v>
      </c>
      <c r="G332" s="1">
        <f>IFERROR(__xludf.DUMMYFUNCTION("""COMPUTED_VALUE"""),148.0)</f>
        <v>148</v>
      </c>
      <c r="H332" s="6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IFERROR(__xludf.DUMMYFUNCTION("""COMPUTED_VALUE"""),2.0)</f>
        <v>2</v>
      </c>
      <c r="E333" s="6">
        <f>IFERROR(__xludf.DUMMYFUNCTION("""COMPUTED_VALUE"""),6197.69)</f>
        <v>6197.69</v>
      </c>
      <c r="F333" s="6">
        <f>IFERROR(__xludf.DUMMYFUNCTION("""COMPUTED_VALUE"""),6456.01)</f>
        <v>6456.01</v>
      </c>
      <c r="G333" s="1">
        <f>IFERROR(__xludf.DUMMYFUNCTION("""COMPUTED_VALUE"""),152.0)</f>
        <v>152</v>
      </c>
      <c r="H333" s="6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IFERROR(__xludf.DUMMYFUNCTION("""COMPUTED_VALUE"""),1.0)</f>
        <v>1</v>
      </c>
      <c r="E334" s="6">
        <f>IFERROR(__xludf.DUMMYFUNCTION("""COMPUTED_VALUE"""),7130.16)</f>
        <v>7130.16</v>
      </c>
      <c r="F334" s="6">
        <f>IFERROR(__xludf.DUMMYFUNCTION("""COMPUTED_VALUE"""),5615.5)</f>
        <v>5615.5</v>
      </c>
      <c r="G334" s="1">
        <f>IFERROR(__xludf.DUMMYFUNCTION("""COMPUTED_VALUE"""),138.0)</f>
        <v>138</v>
      </c>
      <c r="H334" s="6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IFERROR(__xludf.DUMMYFUNCTION("""COMPUTED_VALUE"""),2.0)</f>
        <v>2</v>
      </c>
      <c r="E335" s="6">
        <f>IFERROR(__xludf.DUMMYFUNCTION("""COMPUTED_VALUE"""),5631.13)</f>
        <v>5631.13</v>
      </c>
      <c r="F335" s="6">
        <f>IFERROR(__xludf.DUMMYFUNCTION("""COMPUTED_VALUE"""),9008.0)</f>
        <v>9008</v>
      </c>
      <c r="G335" s="1">
        <f>IFERROR(__xludf.DUMMYFUNCTION("""COMPUTED_VALUE"""),175.0)</f>
        <v>175</v>
      </c>
      <c r="H335" s="6">
        <f>IFERROR(__xludf.DUMMYFUNCTION("""COMPUTED_VALUE"""),51.47428571428571)</f>
        <v>51.47428571</v>
      </c>
    </row>
    <row r="336">
      <c r="A336" s="1"/>
      <c r="B336" s="1"/>
      <c r="C336" s="2" t="str">
        <f>IFERROR(__xludf.DUMMYFUNCTION("""COMPUTED_VALUE"""),"")</f>
        <v/>
      </c>
      <c r="D336" s="1"/>
      <c r="E336" s="1"/>
      <c r="F336" s="6" t="str">
        <f>IFERROR(__xludf.DUMMYFUNCTION("""COMPUTED_VALUE"""),"  ")</f>
        <v/>
      </c>
      <c r="G336" s="1" t="str">
        <f>IFERROR(__xludf.DUMMYFUNCTION("""COMPUTED_VALUE"""),"")</f>
        <v/>
      </c>
      <c r="H336" s="6" t="str">
        <f>IFERROR(__xludf.DUMMYFUNCTION("""COMPUTED_VALUE"""),"  ")</f>
        <v/>
      </c>
    </row>
    <row r="337">
      <c r="A337" s="1"/>
      <c r="B337" s="1"/>
      <c r="C337" s="2" t="str">
        <f>IFERROR(__xludf.DUMMYFUNCTION("""COMPUTED_VALUE"""),"")</f>
        <v/>
      </c>
      <c r="D337" s="1"/>
      <c r="E337" s="1"/>
      <c r="F337" s="6" t="str">
        <f>IFERROR(__xludf.DUMMYFUNCTION("""COMPUTED_VALUE"""),"  ")</f>
        <v/>
      </c>
      <c r="G337" s="1" t="str">
        <f>IFERROR(__xludf.DUMMYFUNCTION("""COMPUTED_VALUE"""),"")</f>
        <v/>
      </c>
      <c r="H337" s="6" t="str">
        <f>IFERROR(__xludf.DUMMYFUNCTION("""COMPUTED_VALUE"""),"  ")</f>
        <v/>
      </c>
    </row>
    <row r="338">
      <c r="A338" s="1"/>
      <c r="B338" s="1"/>
      <c r="C338" s="2" t="str">
        <f>IFERROR(__xludf.DUMMYFUNCTION("""COMPUTED_VALUE"""),"")</f>
        <v/>
      </c>
      <c r="D338" s="1"/>
      <c r="E338" s="1"/>
      <c r="F338" s="6" t="str">
        <f>IFERROR(__xludf.DUMMYFUNCTION("""COMPUTED_VALUE"""),"  ")</f>
        <v/>
      </c>
      <c r="G338" s="1" t="str">
        <f>IFERROR(__xludf.DUMMYFUNCTION("""COMPUTED_VALUE"""),"")</f>
        <v/>
      </c>
      <c r="H338" s="6" t="str">
        <f>IFERROR(__xludf.DUMMYFUNCTION("""COMPUTED_VALUE"""),"  ")</f>
        <v/>
      </c>
    </row>
    <row r="339">
      <c r="A339" s="1"/>
      <c r="B339" s="1"/>
      <c r="C339" s="2" t="str">
        <f>IFERROR(__xludf.DUMMYFUNCTION("""COMPUTED_VALUE"""),"")</f>
        <v/>
      </c>
      <c r="D339" s="1"/>
      <c r="E339" s="1"/>
      <c r="F339" s="6" t="str">
        <f>IFERROR(__xludf.DUMMYFUNCTION("""COMPUTED_VALUE"""),"  ")</f>
        <v/>
      </c>
      <c r="G339" s="1" t="str">
        <f>IFERROR(__xludf.DUMMYFUNCTION("""COMPUTED_VALUE"""),"")</f>
        <v/>
      </c>
      <c r="H339" s="6" t="str">
        <f>IFERROR(__xludf.DUMMYFUNCTION("""COMPUTED_VALUE"""),"  ")</f>
        <v/>
      </c>
    </row>
    <row r="340">
      <c r="A340" s="1"/>
      <c r="B340" s="1"/>
      <c r="C340" s="2" t="str">
        <f>IFERROR(__xludf.DUMMYFUNCTION("""COMPUTED_VALUE"""),"")</f>
        <v/>
      </c>
      <c r="D340" s="1"/>
      <c r="E340" s="1"/>
      <c r="F340" s="6" t="str">
        <f>IFERROR(__xludf.DUMMYFUNCTION("""COMPUTED_VALUE"""),"  ")</f>
        <v/>
      </c>
      <c r="G340" s="1" t="str">
        <f>IFERROR(__xludf.DUMMYFUNCTION("""COMPUTED_VALUE"""),"")</f>
        <v/>
      </c>
      <c r="H340" s="6" t="str">
        <f>IFERROR(__xludf.DUMMYFUNCTION("""COMPUTED_VALUE"""),"  ")</f>
        <v/>
      </c>
    </row>
    <row r="341">
      <c r="A341" s="1"/>
      <c r="B341" s="1"/>
      <c r="C341" s="2" t="str">
        <f>IFERROR(__xludf.DUMMYFUNCTION("""COMPUTED_VALUE"""),"")</f>
        <v/>
      </c>
      <c r="D341" s="1"/>
      <c r="E341" s="1"/>
      <c r="F341" s="6" t="str">
        <f>IFERROR(__xludf.DUMMYFUNCTION("""COMPUTED_VALUE"""),"  ")</f>
        <v/>
      </c>
      <c r="G341" s="1" t="str">
        <f>IFERROR(__xludf.DUMMYFUNCTION("""COMPUTED_VALUE"""),"")</f>
        <v/>
      </c>
      <c r="H341" s="6" t="str">
        <f>IFERROR(__xludf.DUMMYFUNCTION("""COMPUTED_VALUE"""),"  ")</f>
        <v/>
      </c>
    </row>
    <row r="342">
      <c r="A342" s="1"/>
      <c r="B342" s="1"/>
      <c r="C342" s="2" t="str">
        <f>IFERROR(__xludf.DUMMYFUNCTION("""COMPUTED_VALUE"""),"")</f>
        <v/>
      </c>
      <c r="D342" s="1"/>
      <c r="E342" s="1"/>
      <c r="F342" s="6" t="str">
        <f>IFERROR(__xludf.DUMMYFUNCTION("""COMPUTED_VALUE"""),"  ")</f>
        <v/>
      </c>
      <c r="G342" s="1" t="str">
        <f>IFERROR(__xludf.DUMMYFUNCTION("""COMPUTED_VALUE"""),"")</f>
        <v/>
      </c>
      <c r="H342" s="6" t="str">
        <f>IFERROR(__xludf.DUMMYFUNCTION("""COMPUTED_VALUE"""),"  ")</f>
        <v/>
      </c>
    </row>
    <row r="343">
      <c r="A343" s="1"/>
      <c r="B343" s="1"/>
      <c r="C343" s="2" t="str">
        <f>IFERROR(__xludf.DUMMYFUNCTION("""COMPUTED_VALUE"""),"")</f>
        <v/>
      </c>
      <c r="D343" s="1"/>
      <c r="E343" s="1"/>
      <c r="F343" s="6" t="str">
        <f>IFERROR(__xludf.DUMMYFUNCTION("""COMPUTED_VALUE"""),"  ")</f>
        <v/>
      </c>
      <c r="G343" s="1" t="str">
        <f>IFERROR(__xludf.DUMMYFUNCTION("""COMPUTED_VALUE"""),"")</f>
        <v/>
      </c>
      <c r="H343" s="6" t="str">
        <f>IFERROR(__xludf.DUMMYFUNCTION("""COMPUTED_VALUE"""),"  ")</f>
        <v/>
      </c>
    </row>
    <row r="344">
      <c r="A344" s="1"/>
      <c r="B344" s="1"/>
      <c r="C344" s="2" t="str">
        <f>IFERROR(__xludf.DUMMYFUNCTION("""COMPUTED_VALUE"""),"")</f>
        <v/>
      </c>
      <c r="D344" s="1"/>
      <c r="E344" s="1"/>
      <c r="F344" s="6" t="str">
        <f>IFERROR(__xludf.DUMMYFUNCTION("""COMPUTED_VALUE"""),"  ")</f>
        <v/>
      </c>
      <c r="G344" s="1" t="str">
        <f>IFERROR(__xludf.DUMMYFUNCTION("""COMPUTED_VALUE"""),"")</f>
        <v/>
      </c>
      <c r="H344" s="6" t="str">
        <f>IFERROR(__xludf.DUMMYFUNCTION("""COMPUTED_VALUE"""),"  ")</f>
        <v/>
      </c>
    </row>
    <row r="345">
      <c r="A345" s="1"/>
      <c r="B345" s="1"/>
      <c r="C345" s="2" t="str">
        <f>IFERROR(__xludf.DUMMYFUNCTION("""COMPUTED_VALUE"""),"")</f>
        <v/>
      </c>
      <c r="D345" s="1"/>
      <c r="E345" s="1"/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1"/>
      <c r="B346" s="1"/>
      <c r="C346" s="2" t="str">
        <f>IFERROR(__xludf.DUMMYFUNCTION("""COMPUTED_VALUE"""),"")</f>
        <v/>
      </c>
      <c r="D346" s="1"/>
      <c r="E346" s="1"/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1"/>
      <c r="B347" s="1"/>
      <c r="C347" s="2" t="str">
        <f>IFERROR(__xludf.DUMMYFUNCTION("""COMPUTED_VALUE"""),"")</f>
        <v/>
      </c>
      <c r="D347" s="1"/>
      <c r="E347" s="1"/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1"/>
      <c r="B348" s="1"/>
      <c r="C348" s="2" t="str">
        <f>IFERROR(__xludf.DUMMYFUNCTION("""COMPUTED_VALUE"""),"")</f>
        <v/>
      </c>
      <c r="D348" s="1"/>
      <c r="E348" s="1"/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1"/>
      <c r="B349" s="1"/>
      <c r="C349" s="2" t="str">
        <f>IFERROR(__xludf.DUMMYFUNCTION("""COMPUTED_VALUE"""),"")</f>
        <v/>
      </c>
      <c r="D349" s="1"/>
      <c r="E349" s="1"/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1"/>
      <c r="B350" s="1"/>
      <c r="C350" s="2" t="str">
        <f>IFERROR(__xludf.DUMMYFUNCTION("""COMPUTED_VALUE"""),"")</f>
        <v/>
      </c>
      <c r="D350" s="1"/>
      <c r="E350" s="1"/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1"/>
      <c r="B351" s="1"/>
      <c r="C351" s="2" t="str">
        <f>IFERROR(__xludf.DUMMYFUNCTION("""COMPUTED_VALUE"""),"")</f>
        <v/>
      </c>
      <c r="D351" s="1"/>
      <c r="E351" s="1"/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1"/>
      <c r="B352" s="1"/>
      <c r="C352" s="2" t="str">
        <f>IFERROR(__xludf.DUMMYFUNCTION("""COMPUTED_VALUE"""),"")</f>
        <v/>
      </c>
      <c r="D352" s="1"/>
      <c r="E352" s="1"/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1"/>
      <c r="B353" s="1"/>
      <c r="C353" s="2" t="str">
        <f>IFERROR(__xludf.DUMMYFUNCTION("""COMPUTED_VALUE"""),"")</f>
        <v/>
      </c>
      <c r="D353" s="1"/>
      <c r="E353" s="1"/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1"/>
      <c r="B354" s="1"/>
      <c r="C354" s="2" t="str">
        <f>IFERROR(__xludf.DUMMYFUNCTION("""COMPUTED_VALUE"""),"")</f>
        <v/>
      </c>
      <c r="D354" s="1"/>
      <c r="E354" s="1"/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1"/>
      <c r="B355" s="1"/>
      <c r="C355" s="2" t="str">
        <f>IFERROR(__xludf.DUMMYFUNCTION("""COMPUTED_VALUE"""),"")</f>
        <v/>
      </c>
      <c r="D355" s="1"/>
      <c r="E355" s="1"/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1"/>
      <c r="B356" s="1"/>
      <c r="C356" s="2" t="str">
        <f>IFERROR(__xludf.DUMMYFUNCTION("""COMPUTED_VALUE"""),"")</f>
        <v/>
      </c>
      <c r="D356" s="1"/>
      <c r="E356" s="1"/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1"/>
      <c r="B357" s="1"/>
      <c r="C357" s="2" t="str">
        <f>IFERROR(__xludf.DUMMYFUNCTION("""COMPUTED_VALUE"""),"")</f>
        <v/>
      </c>
      <c r="D357" s="1"/>
      <c r="E357" s="1"/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1"/>
      <c r="B358" s="1"/>
      <c r="C358" s="2" t="str">
        <f>IFERROR(__xludf.DUMMYFUNCTION("""COMPUTED_VALUE"""),"")</f>
        <v/>
      </c>
      <c r="D358" s="1"/>
      <c r="E358" s="1"/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1"/>
      <c r="B359" s="1"/>
      <c r="C359" s="2" t="str">
        <f>IFERROR(__xludf.DUMMYFUNCTION("""COMPUTED_VALUE"""),"")</f>
        <v/>
      </c>
      <c r="D359" s="1"/>
      <c r="E359" s="1"/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1"/>
      <c r="B360" s="1"/>
      <c r="C360" s="2" t="str">
        <f>IFERROR(__xludf.DUMMYFUNCTION("""COMPUTED_VALUE"""),"")</f>
        <v/>
      </c>
      <c r="D360" s="1"/>
      <c r="E360" s="1"/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1"/>
      <c r="B361" s="1"/>
      <c r="C361" s="2" t="str">
        <f>IFERROR(__xludf.DUMMYFUNCTION("""COMPUTED_VALUE"""),"")</f>
        <v/>
      </c>
      <c r="D361" s="1"/>
      <c r="E361" s="1"/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1"/>
      <c r="B362" s="1"/>
      <c r="C362" s="2" t="str">
        <f>IFERROR(__xludf.DUMMYFUNCTION("""COMPUTED_VALUE"""),"")</f>
        <v/>
      </c>
      <c r="D362" s="1"/>
      <c r="E362" s="1"/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1"/>
      <c r="B363" s="1"/>
      <c r="C363" s="2" t="str">
        <f>IFERROR(__xludf.DUMMYFUNCTION("""COMPUTED_VALUE"""),"")</f>
        <v/>
      </c>
      <c r="D363" s="1"/>
      <c r="E363" s="1"/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1"/>
      <c r="B364" s="1"/>
      <c r="C364" s="2" t="str">
        <f>IFERROR(__xludf.DUMMYFUNCTION("""COMPUTED_VALUE"""),"")</f>
        <v/>
      </c>
      <c r="D364" s="1"/>
      <c r="E364" s="1"/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1"/>
      <c r="B365" s="1"/>
      <c r="C365" s="2" t="str">
        <f>IFERROR(__xludf.DUMMYFUNCTION("""COMPUTED_VALUE"""),"")</f>
        <v/>
      </c>
      <c r="D365" s="1"/>
      <c r="E365" s="1"/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1"/>
      <c r="B366" s="1"/>
      <c r="C366" s="2" t="str">
        <f>IFERROR(__xludf.DUMMYFUNCTION("""COMPUTED_VALUE"""),"")</f>
        <v/>
      </c>
      <c r="D366" s="1"/>
      <c r="E366" s="1"/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