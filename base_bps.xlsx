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IFERROR(__xludf.DUMMYFUNCTION("IMPORTRANGE(""https://docs.google.com/spreadsheets/d/1SKAIkcrJ0XgdJ5IRdisjuAhmiu2M80F3qcMAiweg9Vs/edit?gid=591370090#gid=591370090"",""Por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IFERROR(__xludf.DUMMYFUNCTION("""COMPUTED_VALUE"""),2.0)</f>
        <v>2</v>
      </c>
      <c r="E3" s="7">
        <f>IFERROR(__xludf.DUMMYFUNCTION("""COMPUTED_VALUE"""),6007.9)</f>
        <v>6007.9</v>
      </c>
      <c r="F3" s="7">
        <f>IFERROR(__xludf.DUMMYFUNCTION("""COMPUTED_VALUE"""),6096.75)</f>
        <v>6096.75</v>
      </c>
      <c r="G3" s="6">
        <f>IFERROR(__xludf.DUMMYFUNCTION("""COMPUTED_VALUE"""),143.0)</f>
        <v>143</v>
      </c>
      <c r="H3" s="7">
        <f>IFERROR(__xludf.DUMMYFUNCTION("""COMPUTED_VALUE"""),42.63461538461539)</f>
        <v>42.63461538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IFERROR(__xludf.DUMMYFUNCTION("""COMPUTED_VALUE"""),1.0)</f>
        <v>1</v>
      </c>
      <c r="E4" s="7">
        <f>IFERROR(__xludf.DUMMYFUNCTION("""COMPUTED_VALUE"""),6033.58)</f>
        <v>6033.58</v>
      </c>
      <c r="F4" s="7">
        <f>IFERROR(__xludf.DUMMYFUNCTION("""COMPUTED_VALUE"""),5850.0)</f>
        <v>5850</v>
      </c>
      <c r="G4" s="6">
        <f>IFERROR(__xludf.DUMMYFUNCTION("""COMPUTED_VALUE"""),158.0)</f>
        <v>158</v>
      </c>
      <c r="H4" s="7">
        <f>IFERROR(__xludf.DUMMYFUNCTION("""COMPUTED_VALUE"""),37.0253164556962)</f>
        <v>37.02531646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IFERROR(__xludf.DUMMYFUNCTION("""COMPUTED_VALUE"""),2.0)</f>
        <v>2</v>
      </c>
      <c r="E5" s="7">
        <f>IFERROR(__xludf.DUMMYFUNCTION("""COMPUTED_VALUE"""),7208.74)</f>
        <v>7208.74</v>
      </c>
      <c r="F5" s="7">
        <f>IFERROR(__xludf.DUMMYFUNCTION("""COMPUTED_VALUE"""),7527.45)</f>
        <v>7527.45</v>
      </c>
      <c r="G5" s="6">
        <f>IFERROR(__xludf.DUMMYFUNCTION("""COMPUTED_VALUE"""),169.0)</f>
        <v>169</v>
      </c>
      <c r="H5" s="7">
        <f>IFERROR(__xludf.DUMMYFUNCTION("""COMPUTED_VALUE"""),44.541124260355026)</f>
        <v>44.54112426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IFERROR(__xludf.DUMMYFUNCTION("""COMPUTED_VALUE"""),1.0)</f>
        <v>1</v>
      </c>
      <c r="E6" s="7">
        <f>IFERROR(__xludf.DUMMYFUNCTION("""COMPUTED_VALUE"""),5881.26)</f>
        <v>5881.26</v>
      </c>
      <c r="F6" s="7">
        <f>IFERROR(__xludf.DUMMYFUNCTION("""COMPUTED_VALUE"""),4886.0)</f>
        <v>4886</v>
      </c>
      <c r="G6" s="6">
        <f>IFERROR(__xludf.DUMMYFUNCTION("""COMPUTED_VALUE"""),125.0)</f>
        <v>125</v>
      </c>
      <c r="H6" s="7">
        <f>IFERROR(__xludf.DUMMYFUNCTION("""COMPUTED_VALUE"""),39.088)</f>
        <v>39.088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IFERROR(__xludf.DUMMYFUNCTION("""COMPUTED_VALUE"""),2.0)</f>
        <v>2</v>
      </c>
      <c r="E7" s="7">
        <f>IFERROR(__xludf.DUMMYFUNCTION("""COMPUTED_VALUE"""),5809.39)</f>
        <v>5809.39</v>
      </c>
      <c r="F7" s="7">
        <f>IFERROR(__xludf.DUMMYFUNCTION("""COMPUTED_VALUE"""),5933.06)</f>
        <v>5933.06</v>
      </c>
      <c r="G7" s="6">
        <f>IFERROR(__xludf.DUMMYFUNCTION("""COMPUTED_VALUE"""),139.0)</f>
        <v>139</v>
      </c>
      <c r="H7" s="7">
        <f>IFERROR(__xludf.DUMMYFUNCTION("""COMPUTED_VALUE"""),42.68388489208633)</f>
        <v>42.68388489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IFERROR(__xludf.DUMMYFUNCTION("""COMPUTED_VALUE"""),1.0)</f>
        <v>1</v>
      </c>
      <c r="E8" s="7">
        <f>IFERROR(__xludf.DUMMYFUNCTION("""COMPUTED_VALUE"""),5688.36)</f>
        <v>5688.36</v>
      </c>
      <c r="F8" s="7">
        <f>IFERROR(__xludf.DUMMYFUNCTION("""COMPUTED_VALUE"""),5132.5)</f>
        <v>5132.5</v>
      </c>
      <c r="G8" s="6">
        <f>IFERROR(__xludf.DUMMYFUNCTION("""COMPUTED_VALUE"""),131.0)</f>
        <v>131</v>
      </c>
      <c r="H8" s="7">
        <f>IFERROR(__xludf.DUMMYFUNCTION("""COMPUTED_VALUE"""),39.1793893129771)</f>
        <v>39.17938931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IFERROR(__xludf.DUMMYFUNCTION("""COMPUTED_VALUE"""),2.0)</f>
        <v>2</v>
      </c>
      <c r="E9" s="7">
        <f>IFERROR(__xludf.DUMMYFUNCTION("""COMPUTED_VALUE"""),5940.6)</f>
        <v>5940.6</v>
      </c>
      <c r="F9" s="7">
        <f>IFERROR(__xludf.DUMMYFUNCTION("""COMPUTED_VALUE"""),6015.0)</f>
        <v>6015</v>
      </c>
      <c r="G9" s="6">
        <f>IFERROR(__xludf.DUMMYFUNCTION("""COMPUTED_VALUE"""),145.0)</f>
        <v>145</v>
      </c>
      <c r="H9" s="7">
        <f>IFERROR(__xludf.DUMMYFUNCTION("""COMPUTED_VALUE"""),41.48275862068966)</f>
        <v>41.48275862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IFERROR(__xludf.DUMMYFUNCTION("""COMPUTED_VALUE"""),1.0)</f>
        <v>1</v>
      </c>
      <c r="E10" s="7">
        <f>IFERROR(__xludf.DUMMYFUNCTION("""COMPUTED_VALUE"""),6007.9)</f>
        <v>6007.9</v>
      </c>
      <c r="F10" s="7">
        <f>IFERROR(__xludf.DUMMYFUNCTION("""COMPUTED_VALUE"""),6265.0)</f>
        <v>6265</v>
      </c>
      <c r="G10" s="6">
        <f>IFERROR(__xludf.DUMMYFUNCTION("""COMPUTED_VALUE"""),159.0)</f>
        <v>159</v>
      </c>
      <c r="H10" s="7">
        <f>IFERROR(__xludf.DUMMYFUNCTION("""COMPUTED_VALUE"""),39.40251572327044)</f>
        <v>39.40251572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IFERROR(__xludf.DUMMYFUNCTION("""COMPUTED_VALUE"""),2.0)</f>
        <v>2</v>
      </c>
      <c r="E11" s="7">
        <f>IFERROR(__xludf.DUMMYFUNCTION("""COMPUTED_VALUE"""),6033.58)</f>
        <v>6033.58</v>
      </c>
      <c r="F11" s="7">
        <f>IFERROR(__xludf.DUMMYFUNCTION("""COMPUTED_VALUE"""),5753.0)</f>
        <v>5753</v>
      </c>
      <c r="G11" s="6">
        <f>IFERROR(__xludf.DUMMYFUNCTION("""COMPUTED_VALUE"""),135.0)</f>
        <v>135</v>
      </c>
      <c r="H11" s="7">
        <f>IFERROR(__xludf.DUMMYFUNCTION("""COMPUTED_VALUE"""),42.614814814814814)</f>
        <v>42.61481481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IFERROR(__xludf.DUMMYFUNCTION("""COMPUTED_VALUE"""),1.0)</f>
        <v>1</v>
      </c>
      <c r="E12" s="7">
        <f>IFERROR(__xludf.DUMMYFUNCTION("""COMPUTED_VALUE"""),7208.74)</f>
        <v>7208.74</v>
      </c>
      <c r="F12" s="7">
        <f>IFERROR(__xludf.DUMMYFUNCTION("""COMPUTED_VALUE"""),6762.0)</f>
        <v>6762</v>
      </c>
      <c r="G12" s="6">
        <f>IFERROR(__xludf.DUMMYFUNCTION("""COMPUTED_VALUE"""),146.0)</f>
        <v>146</v>
      </c>
      <c r="H12" s="7">
        <f>IFERROR(__xludf.DUMMYFUNCTION("""COMPUTED_VALUE"""),46.31506849315068)</f>
        <v>46.31506849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IFERROR(__xludf.DUMMYFUNCTION("""COMPUTED_VALUE"""),2.0)</f>
        <v>2</v>
      </c>
      <c r="E13" s="7">
        <f>IFERROR(__xludf.DUMMYFUNCTION("""COMPUTED_VALUE"""),5881.26)</f>
        <v>5881.26</v>
      </c>
      <c r="F13" s="7">
        <f>IFERROR(__xludf.DUMMYFUNCTION("""COMPUTED_VALUE"""),5729.35)</f>
        <v>5729.35</v>
      </c>
      <c r="G13" s="6">
        <f>IFERROR(__xludf.DUMMYFUNCTION("""COMPUTED_VALUE"""),121.0)</f>
        <v>121</v>
      </c>
      <c r="H13" s="7">
        <f>IFERROR(__xludf.DUMMYFUNCTION("""COMPUTED_VALUE"""),47.35)</f>
        <v>47.35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IFERROR(__xludf.DUMMYFUNCTION("""COMPUTED_VALUE"""),1.0)</f>
        <v>1</v>
      </c>
      <c r="E14" s="7">
        <f>IFERROR(__xludf.DUMMYFUNCTION("""COMPUTED_VALUE"""),5809.39)</f>
        <v>5809.39</v>
      </c>
      <c r="F14" s="7">
        <f>IFERROR(__xludf.DUMMYFUNCTION("""COMPUTED_VALUE"""),7313.02)</f>
        <v>7313.02</v>
      </c>
      <c r="G14" s="6">
        <f>IFERROR(__xludf.DUMMYFUNCTION("""COMPUTED_VALUE"""),166.0)</f>
        <v>166</v>
      </c>
      <c r="H14" s="7">
        <f>IFERROR(__xludf.DUMMYFUNCTION("""COMPUTED_VALUE"""),44.05433734939759)</f>
        <v>44.05433735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IFERROR(__xludf.DUMMYFUNCTION("""COMPUTED_VALUE"""),2.0)</f>
        <v>2</v>
      </c>
      <c r="E15" s="7">
        <f>IFERROR(__xludf.DUMMYFUNCTION("""COMPUTED_VALUE"""),5688.36)</f>
        <v>5688.36</v>
      </c>
      <c r="F15" s="7">
        <f>IFERROR(__xludf.DUMMYFUNCTION("""COMPUTED_VALUE"""),5872.75)</f>
        <v>5872.75</v>
      </c>
      <c r="G15" s="6">
        <f>IFERROR(__xludf.DUMMYFUNCTION("""COMPUTED_VALUE"""),132.0)</f>
        <v>132</v>
      </c>
      <c r="H15" s="7">
        <f>IFERROR(__xludf.DUMMYFUNCTION("""COMPUTED_VALUE"""),44.490530303030305)</f>
        <v>44.4905303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IFERROR(__xludf.DUMMYFUNCTION("""COMPUTED_VALUE"""),1.0)</f>
        <v>1</v>
      </c>
      <c r="E16" s="7">
        <f>IFERROR(__xludf.DUMMYFUNCTION("""COMPUTED_VALUE"""),5940.6)</f>
        <v>5940.6</v>
      </c>
      <c r="F16" s="7">
        <f>IFERROR(__xludf.DUMMYFUNCTION("""COMPUTED_VALUE"""),6019.0)</f>
        <v>6019</v>
      </c>
      <c r="G16" s="6">
        <f>IFERROR(__xludf.DUMMYFUNCTION("""COMPUTED_VALUE"""),149.0)</f>
        <v>149</v>
      </c>
      <c r="H16" s="7">
        <f>IFERROR(__xludf.DUMMYFUNCTION("""COMPUTED_VALUE"""),40.395973154362416)</f>
        <v>40.39597315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IFERROR(__xludf.DUMMYFUNCTION("""COMPUTED_VALUE"""),2.0)</f>
        <v>2</v>
      </c>
      <c r="E17" s="7">
        <f>IFERROR(__xludf.DUMMYFUNCTION("""COMPUTED_VALUE"""),6007.9)</f>
        <v>6007.9</v>
      </c>
      <c r="F17" s="7">
        <f>IFERROR(__xludf.DUMMYFUNCTION("""COMPUTED_VALUE"""),4998.0)</f>
        <v>4998</v>
      </c>
      <c r="G17" s="6">
        <f>IFERROR(__xludf.DUMMYFUNCTION("""COMPUTED_VALUE"""),133.0)</f>
        <v>133</v>
      </c>
      <c r="H17" s="7">
        <f>IFERROR(__xludf.DUMMYFUNCTION("""COMPUTED_VALUE"""),37.578947368421055)</f>
        <v>37.57894737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IFERROR(__xludf.DUMMYFUNCTION("""COMPUTED_VALUE"""),1.0)</f>
        <v>1</v>
      </c>
      <c r="E18" s="7">
        <f>IFERROR(__xludf.DUMMYFUNCTION("""COMPUTED_VALUE"""),6033.58)</f>
        <v>6033.58</v>
      </c>
      <c r="F18" s="7">
        <f>IFERROR(__xludf.DUMMYFUNCTION("""COMPUTED_VALUE"""),5442.5)</f>
        <v>5442.5</v>
      </c>
      <c r="G18" s="6">
        <f>IFERROR(__xludf.DUMMYFUNCTION("""COMPUTED_VALUE"""),135.0)</f>
        <v>135</v>
      </c>
      <c r="H18" s="7">
        <f>IFERROR(__xludf.DUMMYFUNCTION("""COMPUTED_VALUE"""),40.31481481481482)</f>
        <v>40.31481481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IFERROR(__xludf.DUMMYFUNCTION("""COMPUTED_VALUE"""),2.0)</f>
        <v>2</v>
      </c>
      <c r="E19" s="7">
        <f>IFERROR(__xludf.DUMMYFUNCTION("""COMPUTED_VALUE"""),7208.74)</f>
        <v>7208.74</v>
      </c>
      <c r="F19" s="7">
        <f>IFERROR(__xludf.DUMMYFUNCTION("""COMPUTED_VALUE"""),6147.75)</f>
        <v>6147.75</v>
      </c>
      <c r="G19" s="6">
        <f>IFERROR(__xludf.DUMMYFUNCTION("""COMPUTED_VALUE"""),141.0)</f>
        <v>141</v>
      </c>
      <c r="H19" s="7">
        <f>IFERROR(__xludf.DUMMYFUNCTION("""COMPUTED_VALUE"""),43.601063829787236)</f>
        <v>43.60106383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IFERROR(__xludf.DUMMYFUNCTION("""COMPUTED_VALUE"""),1.0)</f>
        <v>1</v>
      </c>
      <c r="E20" s="7">
        <f>IFERROR(__xludf.DUMMYFUNCTION("""COMPUTED_VALUE"""),5881.26)</f>
        <v>5881.26</v>
      </c>
      <c r="F20" s="7">
        <f>IFERROR(__xludf.DUMMYFUNCTION("""COMPUTED_VALUE"""),4915.5)</f>
        <v>4915.5</v>
      </c>
      <c r="G20" s="6">
        <f>IFERROR(__xludf.DUMMYFUNCTION("""COMPUTED_VALUE"""),123.0)</f>
        <v>123</v>
      </c>
      <c r="H20" s="7">
        <f>IFERROR(__xludf.DUMMYFUNCTION("""COMPUTED_VALUE"""),39.96341463414634)</f>
        <v>39.96341463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IFERROR(__xludf.DUMMYFUNCTION("""COMPUTED_VALUE"""),2.0)</f>
        <v>2</v>
      </c>
      <c r="E21" s="7">
        <f>IFERROR(__xludf.DUMMYFUNCTION("""COMPUTED_VALUE"""),5809.39)</f>
        <v>5809.39</v>
      </c>
      <c r="F21" s="7">
        <f>IFERROR(__xludf.DUMMYFUNCTION("""COMPUTED_VALUE"""),5376.85)</f>
        <v>5376.85</v>
      </c>
      <c r="G21" s="6">
        <f>IFERROR(__xludf.DUMMYFUNCTION("""COMPUTED_VALUE"""),121.0)</f>
        <v>121</v>
      </c>
      <c r="H21" s="7">
        <f>IFERROR(__xludf.DUMMYFUNCTION("""COMPUTED_VALUE"""),44.436776859504135)</f>
        <v>44.43677686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IFERROR(__xludf.DUMMYFUNCTION("""COMPUTED_VALUE"""),1.0)</f>
        <v>1</v>
      </c>
      <c r="E22" s="7">
        <f>IFERROR(__xludf.DUMMYFUNCTION("""COMPUTED_VALUE"""),5688.36)</f>
        <v>5688.36</v>
      </c>
      <c r="F22" s="7">
        <f>IFERROR(__xludf.DUMMYFUNCTION("""COMPUTED_VALUE"""),5403.5)</f>
        <v>5403.5</v>
      </c>
      <c r="G22" s="6">
        <f>IFERROR(__xludf.DUMMYFUNCTION("""COMPUTED_VALUE"""),128.0)</f>
        <v>128</v>
      </c>
      <c r="H22" s="7">
        <f>IFERROR(__xludf.DUMMYFUNCTION("""COMPUTED_VALUE"""),42.21484375)</f>
        <v>42.21484375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IFERROR(__xludf.DUMMYFUNCTION("""COMPUTED_VALUE"""),2.0)</f>
        <v>2</v>
      </c>
      <c r="E23" s="7">
        <f>IFERROR(__xludf.DUMMYFUNCTION("""COMPUTED_VALUE"""),5940.6)</f>
        <v>5940.6</v>
      </c>
      <c r="F23" s="7">
        <f>IFERROR(__xludf.DUMMYFUNCTION("""COMPUTED_VALUE"""),6161.0)</f>
        <v>6161</v>
      </c>
      <c r="G23" s="6">
        <f>IFERROR(__xludf.DUMMYFUNCTION("""COMPUTED_VALUE"""),136.0)</f>
        <v>136</v>
      </c>
      <c r="H23" s="7">
        <f>IFERROR(__xludf.DUMMYFUNCTION("""COMPUTED_VALUE"""),45.3014705882353)</f>
        <v>45.30147059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IFERROR(__xludf.DUMMYFUNCTION("""COMPUTED_VALUE"""),1.0)</f>
        <v>1</v>
      </c>
      <c r="E24" s="7">
        <f>IFERROR(__xludf.DUMMYFUNCTION("""COMPUTED_VALUE"""),6007.9)</f>
        <v>6007.9</v>
      </c>
      <c r="F24" s="7">
        <f>IFERROR(__xludf.DUMMYFUNCTION("""COMPUTED_VALUE"""),4825.75)</f>
        <v>4825.75</v>
      </c>
      <c r="G24" s="6">
        <f>IFERROR(__xludf.DUMMYFUNCTION("""COMPUTED_VALUE"""),123.0)</f>
        <v>123</v>
      </c>
      <c r="H24" s="7">
        <f>IFERROR(__xludf.DUMMYFUNCTION("""COMPUTED_VALUE"""),39.233739837398375)</f>
        <v>39.23373984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IFERROR(__xludf.DUMMYFUNCTION("""COMPUTED_VALUE"""),2.0)</f>
        <v>2</v>
      </c>
      <c r="E25" s="7">
        <f>IFERROR(__xludf.DUMMYFUNCTION("""COMPUTED_VALUE"""),6033.58)</f>
        <v>6033.58</v>
      </c>
      <c r="F25" s="7">
        <f>IFERROR(__xludf.DUMMYFUNCTION("""COMPUTED_VALUE"""),5240.3)</f>
        <v>5240.3</v>
      </c>
      <c r="G25" s="6">
        <f>IFERROR(__xludf.DUMMYFUNCTION("""COMPUTED_VALUE"""),132.0)</f>
        <v>132</v>
      </c>
      <c r="H25" s="7">
        <f>IFERROR(__xludf.DUMMYFUNCTION("""COMPUTED_VALUE"""),39.69924242424243)</f>
        <v>39.69924242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IFERROR(__xludf.DUMMYFUNCTION("""COMPUTED_VALUE"""),1.0)</f>
        <v>1</v>
      </c>
      <c r="E26" s="7">
        <f>IFERROR(__xludf.DUMMYFUNCTION("""COMPUTED_VALUE"""),7208.74)</f>
        <v>7208.74</v>
      </c>
      <c r="F26" s="7">
        <f>IFERROR(__xludf.DUMMYFUNCTION("""COMPUTED_VALUE"""),4792.0)</f>
        <v>4792</v>
      </c>
      <c r="G26" s="6">
        <f>IFERROR(__xludf.DUMMYFUNCTION("""COMPUTED_VALUE"""),120.0)</f>
        <v>120</v>
      </c>
      <c r="H26" s="7">
        <f>IFERROR(__xludf.DUMMYFUNCTION("""COMPUTED_VALUE"""),39.93333333333333)</f>
        <v>39.93333333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IFERROR(__xludf.DUMMYFUNCTION("""COMPUTED_VALUE"""),2.0)</f>
        <v>2</v>
      </c>
      <c r="E27" s="7">
        <f>IFERROR(__xludf.DUMMYFUNCTION("""COMPUTED_VALUE"""),5881.26)</f>
        <v>5881.26</v>
      </c>
      <c r="F27" s="7">
        <f>IFERROR(__xludf.DUMMYFUNCTION("""COMPUTED_VALUE"""),5417.0)</f>
        <v>5417</v>
      </c>
      <c r="G27" s="6">
        <f>IFERROR(__xludf.DUMMYFUNCTION("""COMPUTED_VALUE"""),126.0)</f>
        <v>126</v>
      </c>
      <c r="H27" s="7">
        <f>IFERROR(__xludf.DUMMYFUNCTION("""COMPUTED_VALUE"""),42.992063492063494)</f>
        <v>42.99206349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IFERROR(__xludf.DUMMYFUNCTION("""COMPUTED_VALUE"""),1.0)</f>
        <v>1</v>
      </c>
      <c r="E28" s="7">
        <f>IFERROR(__xludf.DUMMYFUNCTION("""COMPUTED_VALUE"""),5809.39)</f>
        <v>5809.39</v>
      </c>
      <c r="F28" s="7">
        <f>IFERROR(__xludf.DUMMYFUNCTION("""COMPUTED_VALUE"""),6677.25)</f>
        <v>6677.25</v>
      </c>
      <c r="G28" s="6">
        <f>IFERROR(__xludf.DUMMYFUNCTION("""COMPUTED_VALUE"""),149.0)</f>
        <v>149</v>
      </c>
      <c r="H28" s="7">
        <f>IFERROR(__xludf.DUMMYFUNCTION("""COMPUTED_VALUE"""),44.81375838926174)</f>
        <v>44.81375839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IFERROR(__xludf.DUMMYFUNCTION("""COMPUTED_VALUE"""),2.0)</f>
        <v>2</v>
      </c>
      <c r="E29" s="7">
        <f>IFERROR(__xludf.DUMMYFUNCTION("""COMPUTED_VALUE"""),5688.36)</f>
        <v>5688.36</v>
      </c>
      <c r="F29" s="7">
        <f>IFERROR(__xludf.DUMMYFUNCTION("""COMPUTED_VALUE"""),5961.5)</f>
        <v>5961.5</v>
      </c>
      <c r="G29" s="6">
        <f>IFERROR(__xludf.DUMMYFUNCTION("""COMPUTED_VALUE"""),146.0)</f>
        <v>146</v>
      </c>
      <c r="H29" s="7">
        <f>IFERROR(__xludf.DUMMYFUNCTION("""COMPUTED_VALUE"""),40.832191780821915)</f>
        <v>40.83219178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IFERROR(__xludf.DUMMYFUNCTION("""COMPUTED_VALUE"""),1.0)</f>
        <v>1</v>
      </c>
      <c r="E30" s="7">
        <f>IFERROR(__xludf.DUMMYFUNCTION("""COMPUTED_VALUE"""),5940.6)</f>
        <v>5940.6</v>
      </c>
      <c r="F30" s="7">
        <f>IFERROR(__xludf.DUMMYFUNCTION("""COMPUTED_VALUE"""),4936.25)</f>
        <v>4936.25</v>
      </c>
      <c r="G30" s="6">
        <f>IFERROR(__xludf.DUMMYFUNCTION("""COMPUTED_VALUE"""),130.0)</f>
        <v>130</v>
      </c>
      <c r="H30" s="7">
        <f>IFERROR(__xludf.DUMMYFUNCTION("""COMPUTED_VALUE"""),37.97115384615385)</f>
        <v>37.97115385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IFERROR(__xludf.DUMMYFUNCTION("""COMPUTED_VALUE"""),2.0)</f>
        <v>2</v>
      </c>
      <c r="E31" s="7">
        <f>IFERROR(__xludf.DUMMYFUNCTION("""COMPUTED_VALUE"""),6007.9)</f>
        <v>6007.9</v>
      </c>
      <c r="F31" s="7">
        <f>IFERROR(__xludf.DUMMYFUNCTION("""COMPUTED_VALUE"""),5933.75)</f>
        <v>5933.75</v>
      </c>
      <c r="G31" s="6">
        <f>IFERROR(__xludf.DUMMYFUNCTION("""COMPUTED_VALUE"""),129.0)</f>
        <v>129</v>
      </c>
      <c r="H31" s="7">
        <f>IFERROR(__xludf.DUMMYFUNCTION("""COMPUTED_VALUE"""),45.998062015503876)</f>
        <v>45.99806202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IFERROR(__xludf.DUMMYFUNCTION("""COMPUTED_VALUE"""),1.0)</f>
        <v>1</v>
      </c>
      <c r="E32" s="7">
        <f>IFERROR(__xludf.DUMMYFUNCTION("""COMPUTED_VALUE"""),6033.58)</f>
        <v>6033.58</v>
      </c>
      <c r="F32" s="7">
        <f>IFERROR(__xludf.DUMMYFUNCTION("""COMPUTED_VALUE"""),5244.5)</f>
        <v>5244.5</v>
      </c>
      <c r="G32" s="6">
        <f>IFERROR(__xludf.DUMMYFUNCTION("""COMPUTED_VALUE"""),127.0)</f>
        <v>127</v>
      </c>
      <c r="H32" s="7">
        <f>IFERROR(__xludf.DUMMYFUNCTION("""COMPUTED_VALUE"""),41.29527559055118)</f>
        <v>41.29527559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IFERROR(__xludf.DUMMYFUNCTION("""COMPUTED_VALUE"""),2.0)</f>
        <v>2</v>
      </c>
      <c r="E33" s="7">
        <f>IFERROR(__xludf.DUMMYFUNCTION("""COMPUTED_VALUE"""),7208.74)</f>
        <v>7208.74</v>
      </c>
      <c r="F33" s="7">
        <f>IFERROR(__xludf.DUMMYFUNCTION("""COMPUTED_VALUE"""),5934.6)</f>
        <v>5934.6</v>
      </c>
      <c r="G33" s="6">
        <f>IFERROR(__xludf.DUMMYFUNCTION("""COMPUTED_VALUE"""),132.0)</f>
        <v>132</v>
      </c>
      <c r="H33" s="7">
        <f>IFERROR(__xludf.DUMMYFUNCTION("""COMPUTED_VALUE"""),44.95909090909091)</f>
        <v>44.95909091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IFERROR(__xludf.DUMMYFUNCTION("""COMPUTED_VALUE"""),1.0)</f>
        <v>1</v>
      </c>
      <c r="E34" s="7">
        <f>IFERROR(__xludf.DUMMYFUNCTION("""COMPUTED_VALUE"""),5881.26)</f>
        <v>5881.26</v>
      </c>
      <c r="F34" s="7">
        <f>IFERROR(__xludf.DUMMYFUNCTION("""COMPUTED_VALUE"""),4759.75)</f>
        <v>4759.75</v>
      </c>
      <c r="G34" s="6">
        <f>IFERROR(__xludf.DUMMYFUNCTION("""COMPUTED_VALUE"""),105.0)</f>
        <v>105</v>
      </c>
      <c r="H34" s="7">
        <f>IFERROR(__xludf.DUMMYFUNCTION("""COMPUTED_VALUE"""),45.33095238095238)</f>
        <v>45.33095238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IFERROR(__xludf.DUMMYFUNCTION("""COMPUTED_VALUE"""),2.0)</f>
        <v>2</v>
      </c>
      <c r="E35" s="7">
        <f>IFERROR(__xludf.DUMMYFUNCTION("""COMPUTED_VALUE"""),5809.39)</f>
        <v>5809.39</v>
      </c>
      <c r="F35" s="7">
        <f>IFERROR(__xludf.DUMMYFUNCTION("""COMPUTED_VALUE"""),5627.31)</f>
        <v>5627.31</v>
      </c>
      <c r="G35" s="6">
        <f>IFERROR(__xludf.DUMMYFUNCTION("""COMPUTED_VALUE"""),120.0)</f>
        <v>120</v>
      </c>
      <c r="H35" s="7">
        <f>IFERROR(__xludf.DUMMYFUNCTION("""COMPUTED_VALUE"""),46.89425000000001)</f>
        <v>46.89425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IFERROR(__xludf.DUMMYFUNCTION("""COMPUTED_VALUE"""),1.0)</f>
        <v>1</v>
      </c>
      <c r="E36" s="7">
        <f>IFERROR(__xludf.DUMMYFUNCTION("""COMPUTED_VALUE"""),5688.36)</f>
        <v>5688.36</v>
      </c>
      <c r="F36" s="7">
        <f>IFERROR(__xludf.DUMMYFUNCTION("""COMPUTED_VALUE"""),4812.5)</f>
        <v>4812.5</v>
      </c>
      <c r="G36" s="6">
        <f>IFERROR(__xludf.DUMMYFUNCTION("""COMPUTED_VALUE"""),127.0)</f>
        <v>127</v>
      </c>
      <c r="H36" s="7">
        <f>IFERROR(__xludf.DUMMYFUNCTION("""COMPUTED_VALUE"""),37.89370078740158)</f>
        <v>37.89370079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IFERROR(__xludf.DUMMYFUNCTION("""COMPUTED_VALUE"""),2.0)</f>
        <v>2</v>
      </c>
      <c r="E37" s="7">
        <f>IFERROR(__xludf.DUMMYFUNCTION("""COMPUTED_VALUE"""),5940.6)</f>
        <v>5940.6</v>
      </c>
      <c r="F37" s="7">
        <f>IFERROR(__xludf.DUMMYFUNCTION("""COMPUTED_VALUE"""),6249.75)</f>
        <v>6249.75</v>
      </c>
      <c r="G37" s="6">
        <f>IFERROR(__xludf.DUMMYFUNCTION("""COMPUTED_VALUE"""),137.0)</f>
        <v>137</v>
      </c>
      <c r="H37" s="7">
        <f>IFERROR(__xludf.DUMMYFUNCTION("""COMPUTED_VALUE"""),45.61861313868613)</f>
        <v>45.61861314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IFERROR(__xludf.DUMMYFUNCTION("""COMPUTED_VALUE"""),1.0)</f>
        <v>1</v>
      </c>
      <c r="E38" s="7">
        <f>IFERROR(__xludf.DUMMYFUNCTION("""COMPUTED_VALUE"""),6007.9)</f>
        <v>6007.9</v>
      </c>
      <c r="F38" s="7">
        <f>IFERROR(__xludf.DUMMYFUNCTION("""COMPUTED_VALUE"""),5792.75)</f>
        <v>5792.75</v>
      </c>
      <c r="G38" s="6">
        <f>IFERROR(__xludf.DUMMYFUNCTION("""COMPUTED_VALUE"""),151.0)</f>
        <v>151</v>
      </c>
      <c r="H38" s="7">
        <f>IFERROR(__xludf.DUMMYFUNCTION("""COMPUTED_VALUE"""),38.36258278145695)</f>
        <v>38.36258278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IFERROR(__xludf.DUMMYFUNCTION("""COMPUTED_VALUE"""),2.0)</f>
        <v>2</v>
      </c>
      <c r="E39" s="7">
        <f>IFERROR(__xludf.DUMMYFUNCTION("""COMPUTED_VALUE"""),6033.58)</f>
        <v>6033.58</v>
      </c>
      <c r="F39" s="7">
        <f>IFERROR(__xludf.DUMMYFUNCTION("""COMPUTED_VALUE"""),4981.75)</f>
        <v>4981.75</v>
      </c>
      <c r="G39" s="6">
        <f>IFERROR(__xludf.DUMMYFUNCTION("""COMPUTED_VALUE"""),125.0)</f>
        <v>125</v>
      </c>
      <c r="H39" s="7">
        <f>IFERROR(__xludf.DUMMYFUNCTION("""COMPUTED_VALUE"""),39.854)</f>
        <v>39.854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IFERROR(__xludf.DUMMYFUNCTION("""COMPUTED_VALUE"""),1.0)</f>
        <v>1</v>
      </c>
      <c r="E40" s="7">
        <f>IFERROR(__xludf.DUMMYFUNCTION("""COMPUTED_VALUE"""),7208.74)</f>
        <v>7208.74</v>
      </c>
      <c r="F40" s="7">
        <f>IFERROR(__xludf.DUMMYFUNCTION("""COMPUTED_VALUE"""),5266.0)</f>
        <v>5266</v>
      </c>
      <c r="G40" s="6">
        <f>IFERROR(__xludf.DUMMYFUNCTION("""COMPUTED_VALUE"""),123.0)</f>
        <v>123</v>
      </c>
      <c r="H40" s="7">
        <f>IFERROR(__xludf.DUMMYFUNCTION("""COMPUTED_VALUE"""),42.8130081300813)</f>
        <v>42.81300813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IFERROR(__xludf.DUMMYFUNCTION("""COMPUTED_VALUE"""),2.0)</f>
        <v>2</v>
      </c>
      <c r="E41" s="7">
        <f>IFERROR(__xludf.DUMMYFUNCTION("""COMPUTED_VALUE"""),5881.26)</f>
        <v>5881.26</v>
      </c>
      <c r="F41" s="7">
        <f>IFERROR(__xludf.DUMMYFUNCTION("""COMPUTED_VALUE"""),5131.5)</f>
        <v>5131.5</v>
      </c>
      <c r="G41" s="6">
        <f>IFERROR(__xludf.DUMMYFUNCTION("""COMPUTED_VALUE"""),118.0)</f>
        <v>118</v>
      </c>
      <c r="H41" s="7">
        <f>IFERROR(__xludf.DUMMYFUNCTION("""COMPUTED_VALUE"""),43.48728813559322)</f>
        <v>43.48728814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IFERROR(__xludf.DUMMYFUNCTION("""COMPUTED_VALUE"""),1.0)</f>
        <v>1</v>
      </c>
      <c r="E42" s="7">
        <f>IFERROR(__xludf.DUMMYFUNCTION("""COMPUTED_VALUE"""),5809.39)</f>
        <v>5809.39</v>
      </c>
      <c r="F42" s="7">
        <f>IFERROR(__xludf.DUMMYFUNCTION("""COMPUTED_VALUE"""),4961.0)</f>
        <v>4961</v>
      </c>
      <c r="G42" s="6">
        <f>IFERROR(__xludf.DUMMYFUNCTION("""COMPUTED_VALUE"""),122.0)</f>
        <v>122</v>
      </c>
      <c r="H42" s="7">
        <f>IFERROR(__xludf.DUMMYFUNCTION("""COMPUTED_VALUE"""),40.66393442622951)</f>
        <v>40.66393443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IFERROR(__xludf.DUMMYFUNCTION("""COMPUTED_VALUE"""),2.0)</f>
        <v>2</v>
      </c>
      <c r="E43" s="7">
        <f>IFERROR(__xludf.DUMMYFUNCTION("""COMPUTED_VALUE"""),5688.36)</f>
        <v>5688.36</v>
      </c>
      <c r="F43" s="7">
        <f>IFERROR(__xludf.DUMMYFUNCTION("""COMPUTED_VALUE"""),5545.0)</f>
        <v>5545</v>
      </c>
      <c r="G43" s="6">
        <f>IFERROR(__xludf.DUMMYFUNCTION("""COMPUTED_VALUE"""),134.0)</f>
        <v>134</v>
      </c>
      <c r="H43" s="7">
        <f>IFERROR(__xludf.DUMMYFUNCTION("""COMPUTED_VALUE"""),41.38059701492537)</f>
        <v>41.38059701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IFERROR(__xludf.DUMMYFUNCTION("""COMPUTED_VALUE"""),1.0)</f>
        <v>1</v>
      </c>
      <c r="E44" s="7">
        <f>IFERROR(__xludf.DUMMYFUNCTION("""COMPUTED_VALUE"""),5940.6)</f>
        <v>5940.6</v>
      </c>
      <c r="F44" s="7">
        <f>IFERROR(__xludf.DUMMYFUNCTION("""COMPUTED_VALUE"""),6112.75)</f>
        <v>6112.75</v>
      </c>
      <c r="G44" s="6">
        <f>IFERROR(__xludf.DUMMYFUNCTION("""COMPUTED_VALUE"""),146.0)</f>
        <v>146</v>
      </c>
      <c r="H44" s="7">
        <f>IFERROR(__xludf.DUMMYFUNCTION("""COMPUTED_VALUE"""),41.86815068493151)</f>
        <v>41.86815068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IFERROR(__xludf.DUMMYFUNCTION("""COMPUTED_VALUE"""),2.0)</f>
        <v>2</v>
      </c>
      <c r="E45" s="7">
        <f>IFERROR(__xludf.DUMMYFUNCTION("""COMPUTED_VALUE"""),6007.9)</f>
        <v>6007.9</v>
      </c>
      <c r="F45" s="7">
        <f>IFERROR(__xludf.DUMMYFUNCTION("""COMPUTED_VALUE"""),5778.5)</f>
        <v>5778.5</v>
      </c>
      <c r="G45" s="6">
        <f>IFERROR(__xludf.DUMMYFUNCTION("""COMPUTED_VALUE"""),150.0)</f>
        <v>150</v>
      </c>
      <c r="H45" s="7">
        <f>IFERROR(__xludf.DUMMYFUNCTION("""COMPUTED_VALUE"""),38.52333333333333)</f>
        <v>38.52333333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IFERROR(__xludf.DUMMYFUNCTION("""COMPUTED_VALUE"""),1.0)</f>
        <v>1</v>
      </c>
      <c r="E46" s="7">
        <f>IFERROR(__xludf.DUMMYFUNCTION("""COMPUTED_VALUE"""),6033.58)</f>
        <v>6033.58</v>
      </c>
      <c r="F46" s="7">
        <f>IFERROR(__xludf.DUMMYFUNCTION("""COMPUTED_VALUE"""),5233.5)</f>
        <v>5233.5</v>
      </c>
      <c r="G46" s="6">
        <f>IFERROR(__xludf.DUMMYFUNCTION("""COMPUTED_VALUE"""),129.0)</f>
        <v>129</v>
      </c>
      <c r="H46" s="7">
        <f>IFERROR(__xludf.DUMMYFUNCTION("""COMPUTED_VALUE"""),40.56976744186046)</f>
        <v>40.56976744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IFERROR(__xludf.DUMMYFUNCTION("""COMPUTED_VALUE"""),2.0)</f>
        <v>2</v>
      </c>
      <c r="E47" s="7">
        <f>IFERROR(__xludf.DUMMYFUNCTION("""COMPUTED_VALUE"""),7208.74)</f>
        <v>7208.74</v>
      </c>
      <c r="F47" s="7">
        <f>IFERROR(__xludf.DUMMYFUNCTION("""COMPUTED_VALUE"""),6482.0)</f>
        <v>6482</v>
      </c>
      <c r="G47" s="6">
        <f>IFERROR(__xludf.DUMMYFUNCTION("""COMPUTED_VALUE"""),164.0)</f>
        <v>164</v>
      </c>
      <c r="H47" s="7">
        <f>IFERROR(__xludf.DUMMYFUNCTION("""COMPUTED_VALUE"""),39.52439024390244)</f>
        <v>39.52439024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IFERROR(__xludf.DUMMYFUNCTION("""COMPUTED_VALUE"""),1.0)</f>
        <v>1</v>
      </c>
      <c r="E48" s="7">
        <f>IFERROR(__xludf.DUMMYFUNCTION("""COMPUTED_VALUE"""),5881.26)</f>
        <v>5881.26</v>
      </c>
      <c r="F48" s="7">
        <f>IFERROR(__xludf.DUMMYFUNCTION("""COMPUTED_VALUE"""),4930.75)</f>
        <v>4930.75</v>
      </c>
      <c r="G48" s="6">
        <f>IFERROR(__xludf.DUMMYFUNCTION("""COMPUTED_VALUE"""),129.0)</f>
        <v>129</v>
      </c>
      <c r="H48" s="7">
        <f>IFERROR(__xludf.DUMMYFUNCTION("""COMPUTED_VALUE"""),38.22286821705426)</f>
        <v>38.22286822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IFERROR(__xludf.DUMMYFUNCTION("""COMPUTED_VALUE"""),2.0)</f>
        <v>2</v>
      </c>
      <c r="E49" s="7">
        <f>IFERROR(__xludf.DUMMYFUNCTION("""COMPUTED_VALUE"""),5809.39)</f>
        <v>5809.39</v>
      </c>
      <c r="F49" s="7">
        <f>IFERROR(__xludf.DUMMYFUNCTION("""COMPUTED_VALUE"""),6460.75)</f>
        <v>6460.75</v>
      </c>
      <c r="G49" s="6">
        <f>IFERROR(__xludf.DUMMYFUNCTION("""COMPUTED_VALUE"""),148.0)</f>
        <v>148</v>
      </c>
      <c r="H49" s="7">
        <f>IFERROR(__xludf.DUMMYFUNCTION("""COMPUTED_VALUE"""),43.65371621621622)</f>
        <v>43.65371622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IFERROR(__xludf.DUMMYFUNCTION("""COMPUTED_VALUE"""),1.0)</f>
        <v>1</v>
      </c>
      <c r="E50" s="7">
        <f>IFERROR(__xludf.DUMMYFUNCTION("""COMPUTED_VALUE"""),5688.36)</f>
        <v>5688.36</v>
      </c>
      <c r="F50" s="7">
        <f>IFERROR(__xludf.DUMMYFUNCTION("""COMPUTED_VALUE"""),6018.5)</f>
        <v>6018.5</v>
      </c>
      <c r="G50" s="6">
        <f>IFERROR(__xludf.DUMMYFUNCTION("""COMPUTED_VALUE"""),137.0)</f>
        <v>137</v>
      </c>
      <c r="H50" s="7">
        <f>IFERROR(__xludf.DUMMYFUNCTION("""COMPUTED_VALUE"""),43.93065693430657)</f>
        <v>43.93065693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IFERROR(__xludf.DUMMYFUNCTION("""COMPUTED_VALUE"""),2.0)</f>
        <v>2</v>
      </c>
      <c r="E51" s="7">
        <f>IFERROR(__xludf.DUMMYFUNCTION("""COMPUTED_VALUE"""),5940.6)</f>
        <v>5940.6</v>
      </c>
      <c r="F51" s="7">
        <f>IFERROR(__xludf.DUMMYFUNCTION("""COMPUTED_VALUE"""),6381.85)</f>
        <v>6381.85</v>
      </c>
      <c r="G51" s="6">
        <f>IFERROR(__xludf.DUMMYFUNCTION("""COMPUTED_VALUE"""),141.0)</f>
        <v>141</v>
      </c>
      <c r="H51" s="7">
        <f>IFERROR(__xludf.DUMMYFUNCTION("""COMPUTED_VALUE"""),45.2613475177305)</f>
        <v>45.26134752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IFERROR(__xludf.DUMMYFUNCTION("""COMPUTED_VALUE"""),1.0)</f>
        <v>1</v>
      </c>
      <c r="E52" s="7">
        <f>IFERROR(__xludf.DUMMYFUNCTION("""COMPUTED_VALUE"""),6007.9)</f>
        <v>6007.9</v>
      </c>
      <c r="F52" s="7">
        <f>IFERROR(__xludf.DUMMYFUNCTION("""COMPUTED_VALUE"""),6391.1)</f>
        <v>6391.1</v>
      </c>
      <c r="G52" s="6">
        <f>IFERROR(__xludf.DUMMYFUNCTION("""COMPUTED_VALUE"""),155.0)</f>
        <v>155</v>
      </c>
      <c r="H52" s="7">
        <f>IFERROR(__xludf.DUMMYFUNCTION("""COMPUTED_VALUE"""),41.23290322580645)</f>
        <v>41.23290323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IFERROR(__xludf.DUMMYFUNCTION("""COMPUTED_VALUE"""),2.0)</f>
        <v>2</v>
      </c>
      <c r="E53" s="7">
        <f>IFERROR(__xludf.DUMMYFUNCTION("""COMPUTED_VALUE"""),6033.58)</f>
        <v>6033.58</v>
      </c>
      <c r="F53" s="7">
        <f>IFERROR(__xludf.DUMMYFUNCTION("""COMPUTED_VALUE"""),6728.75)</f>
        <v>6728.75</v>
      </c>
      <c r="G53" s="6">
        <f>IFERROR(__xludf.DUMMYFUNCTION("""COMPUTED_VALUE"""),163.0)</f>
        <v>163</v>
      </c>
      <c r="H53" s="7">
        <f>IFERROR(__xludf.DUMMYFUNCTION("""COMPUTED_VALUE"""),41.280674846625764)</f>
        <v>41.28067485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IFERROR(__xludf.DUMMYFUNCTION("""COMPUTED_VALUE"""),1.0)</f>
        <v>1</v>
      </c>
      <c r="E54" s="7">
        <f>IFERROR(__xludf.DUMMYFUNCTION("""COMPUTED_VALUE"""),7208.74)</f>
        <v>7208.74</v>
      </c>
      <c r="F54" s="7">
        <f>IFERROR(__xludf.DUMMYFUNCTION("""COMPUTED_VALUE"""),5581.0)</f>
        <v>5581</v>
      </c>
      <c r="G54" s="6">
        <f>IFERROR(__xludf.DUMMYFUNCTION("""COMPUTED_VALUE"""),132.0)</f>
        <v>132</v>
      </c>
      <c r="H54" s="7">
        <f>IFERROR(__xludf.DUMMYFUNCTION("""COMPUTED_VALUE"""),42.28030303030303)</f>
        <v>42.28030303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IFERROR(__xludf.DUMMYFUNCTION("""COMPUTED_VALUE"""),2.0)</f>
        <v>2</v>
      </c>
      <c r="E55" s="7">
        <f>IFERROR(__xludf.DUMMYFUNCTION("""COMPUTED_VALUE"""),5881.26)</f>
        <v>5881.26</v>
      </c>
      <c r="F55" s="7">
        <f>IFERROR(__xludf.DUMMYFUNCTION("""COMPUTED_VALUE"""),5143.85)</f>
        <v>5143.85</v>
      </c>
      <c r="G55" s="6">
        <f>IFERROR(__xludf.DUMMYFUNCTION("""COMPUTED_VALUE"""),129.0)</f>
        <v>129</v>
      </c>
      <c r="H55" s="7">
        <f>IFERROR(__xludf.DUMMYFUNCTION("""COMPUTED_VALUE"""),39.87480620155039)</f>
        <v>39.8748062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IFERROR(__xludf.DUMMYFUNCTION("""COMPUTED_VALUE"""),1.0)</f>
        <v>1</v>
      </c>
      <c r="E56" s="7">
        <f>IFERROR(__xludf.DUMMYFUNCTION("""COMPUTED_VALUE"""),5809.39)</f>
        <v>5809.39</v>
      </c>
      <c r="F56" s="7">
        <f>IFERROR(__xludf.DUMMYFUNCTION("""COMPUTED_VALUE"""),5039.75)</f>
        <v>5039.75</v>
      </c>
      <c r="G56" s="6">
        <f>IFERROR(__xludf.DUMMYFUNCTION("""COMPUTED_VALUE"""),124.0)</f>
        <v>124</v>
      </c>
      <c r="H56" s="7">
        <f>IFERROR(__xludf.DUMMYFUNCTION("""COMPUTED_VALUE"""),40.64314516129032)</f>
        <v>40.64314516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IFERROR(__xludf.DUMMYFUNCTION("""COMPUTED_VALUE"""),2.0)</f>
        <v>2</v>
      </c>
      <c r="E57" s="7">
        <f>IFERROR(__xludf.DUMMYFUNCTION("""COMPUTED_VALUE"""),5688.36)</f>
        <v>5688.36</v>
      </c>
      <c r="F57" s="7">
        <f>IFERROR(__xludf.DUMMYFUNCTION("""COMPUTED_VALUE"""),5053.75)</f>
        <v>5053.75</v>
      </c>
      <c r="G57" s="6">
        <f>IFERROR(__xludf.DUMMYFUNCTION("""COMPUTED_VALUE"""),124.0)</f>
        <v>124</v>
      </c>
      <c r="H57" s="7">
        <f>IFERROR(__xludf.DUMMYFUNCTION("""COMPUTED_VALUE"""),40.756048387096776)</f>
        <v>40.75604839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IFERROR(__xludf.DUMMYFUNCTION("""COMPUTED_VALUE"""),1.0)</f>
        <v>1</v>
      </c>
      <c r="E58" s="7">
        <f>IFERROR(__xludf.DUMMYFUNCTION("""COMPUTED_VALUE"""),5940.6)</f>
        <v>5940.6</v>
      </c>
      <c r="F58" s="7">
        <f>IFERROR(__xludf.DUMMYFUNCTION("""COMPUTED_VALUE"""),4878.82)</f>
        <v>4878.82</v>
      </c>
      <c r="G58" s="6">
        <f>IFERROR(__xludf.DUMMYFUNCTION("""COMPUTED_VALUE"""),134.0)</f>
        <v>134</v>
      </c>
      <c r="H58" s="7">
        <f>IFERROR(__xludf.DUMMYFUNCTION("""COMPUTED_VALUE"""),36.40910447761194)</f>
        <v>36.40910448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IFERROR(__xludf.DUMMYFUNCTION("""COMPUTED_VALUE"""),2.0)</f>
        <v>2</v>
      </c>
      <c r="E59" s="7">
        <f>IFERROR(__xludf.DUMMYFUNCTION("""COMPUTED_VALUE"""),6007.9)</f>
        <v>6007.9</v>
      </c>
      <c r="F59" s="7">
        <f>IFERROR(__xludf.DUMMYFUNCTION("""COMPUTED_VALUE"""),6439.0)</f>
        <v>6439</v>
      </c>
      <c r="G59" s="6">
        <f>IFERROR(__xludf.DUMMYFUNCTION("""COMPUTED_VALUE"""),147.0)</f>
        <v>147</v>
      </c>
      <c r="H59" s="7">
        <f>IFERROR(__xludf.DUMMYFUNCTION("""COMPUTED_VALUE"""),43.802721088435376)</f>
        <v>43.80272109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IFERROR(__xludf.DUMMYFUNCTION("""COMPUTED_VALUE"""),1.0)</f>
        <v>1</v>
      </c>
      <c r="E60" s="7">
        <f>IFERROR(__xludf.DUMMYFUNCTION("""COMPUTED_VALUE"""),6033.58)</f>
        <v>6033.58</v>
      </c>
      <c r="F60" s="7">
        <f>IFERROR(__xludf.DUMMYFUNCTION("""COMPUTED_VALUE"""),6248.5)</f>
        <v>6248.5</v>
      </c>
      <c r="G60" s="6">
        <f>IFERROR(__xludf.DUMMYFUNCTION("""COMPUTED_VALUE"""),136.0)</f>
        <v>136</v>
      </c>
      <c r="H60" s="7">
        <f>IFERROR(__xludf.DUMMYFUNCTION("""COMPUTED_VALUE"""),45.94485294117647)</f>
        <v>45.94485294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IFERROR(__xludf.DUMMYFUNCTION("""COMPUTED_VALUE"""),2.0)</f>
        <v>2</v>
      </c>
      <c r="E61" s="7">
        <f>IFERROR(__xludf.DUMMYFUNCTION("""COMPUTED_VALUE"""),7015.25)</f>
        <v>7015.25</v>
      </c>
      <c r="F61" s="7">
        <f>IFERROR(__xludf.DUMMYFUNCTION("""COMPUTED_VALUE"""),5420.25)</f>
        <v>5420.25</v>
      </c>
      <c r="G61" s="6">
        <f>IFERROR(__xludf.DUMMYFUNCTION("""COMPUTED_VALUE"""),145.0)</f>
        <v>145</v>
      </c>
      <c r="H61" s="7">
        <f>IFERROR(__xludf.DUMMYFUNCTION("""COMPUTED_VALUE"""),37.38103448275862)</f>
        <v>37.38103448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IFERROR(__xludf.DUMMYFUNCTION("""COMPUTED_VALUE"""),1.0)</f>
        <v>1</v>
      </c>
      <c r="E62" s="7">
        <f>IFERROR(__xludf.DUMMYFUNCTION("""COMPUTED_VALUE"""),5885.41)</f>
        <v>5885.41</v>
      </c>
      <c r="F62" s="7">
        <f>IFERROR(__xludf.DUMMYFUNCTION("""COMPUTED_VALUE"""),4606.5)</f>
        <v>4606.5</v>
      </c>
      <c r="G62" s="6">
        <f>IFERROR(__xludf.DUMMYFUNCTION("""COMPUTED_VALUE"""),120.0)</f>
        <v>120</v>
      </c>
      <c r="H62" s="7">
        <f>IFERROR(__xludf.DUMMYFUNCTION("""COMPUTED_VALUE"""),38.3875)</f>
        <v>38.3875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 t="str">
        <f>IFERROR(__xludf.DUMMYFUNCTION("""COMPUTED_VALUE"""),"Feriado")</f>
        <v>Feriado</v>
      </c>
      <c r="E63" s="7">
        <f>IFERROR(__xludf.DUMMYFUNCTION("""COMPUTED_VALUE"""),0.0)</f>
        <v>0</v>
      </c>
      <c r="F63" s="7">
        <f>IFERROR(__xludf.DUMMYFUNCTION("""COMPUTED_VALUE"""),0.0)</f>
        <v>0</v>
      </c>
      <c r="G63" s="6">
        <f>IFERROR(__xludf.DUMMYFUNCTION("""COMPUTED_VALUE"""),0.0)</f>
        <v>0</v>
      </c>
      <c r="H63" s="7" t="str">
        <f>IFERROR(__xludf.DUMMYFUNCTION("""COMPUTED_VALUE"""),"  ")</f>
        <v/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 t="str">
        <f>IFERROR(__xludf.DUMMYFUNCTION("""COMPUTED_VALUE"""),"Feriado")</f>
        <v>Feriado</v>
      </c>
      <c r="E64" s="7">
        <f>IFERROR(__xludf.DUMMYFUNCTION("""COMPUTED_VALUE"""),0.0)</f>
        <v>0</v>
      </c>
      <c r="F64" s="7">
        <f>IFERROR(__xludf.DUMMYFUNCTION("""COMPUTED_VALUE"""),0.0)</f>
        <v>0</v>
      </c>
      <c r="G64" s="6">
        <f>IFERROR(__xludf.DUMMYFUNCTION("""COMPUTED_VALUE"""),0.0)</f>
        <v>0</v>
      </c>
      <c r="H64" s="7" t="str">
        <f>IFERROR(__xludf.DUMMYFUNCTION("""COMPUTED_VALUE"""),"  ")</f>
        <v/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IFERROR(__xludf.DUMMYFUNCTION("""COMPUTED_VALUE"""),2.0)</f>
        <v>2</v>
      </c>
      <c r="E65" s="7">
        <f>IFERROR(__xludf.DUMMYFUNCTION("""COMPUTED_VALUE"""),5968.72)</f>
        <v>5968.72</v>
      </c>
      <c r="F65" s="7">
        <f>IFERROR(__xludf.DUMMYFUNCTION("""COMPUTED_VALUE"""),4959.25)</f>
        <v>4959.25</v>
      </c>
      <c r="G65" s="6">
        <f>IFERROR(__xludf.DUMMYFUNCTION("""COMPUTED_VALUE"""),129.0)</f>
        <v>129</v>
      </c>
      <c r="H65" s="7">
        <f>IFERROR(__xludf.DUMMYFUNCTION("""COMPUTED_VALUE"""),38.4437984496124)</f>
        <v>38.44379845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IFERROR(__xludf.DUMMYFUNCTION("""COMPUTED_VALUE"""),1.0)</f>
        <v>1</v>
      </c>
      <c r="E66" s="7">
        <f>IFERROR(__xludf.DUMMYFUNCTION("""COMPUTED_VALUE"""),5978.3)</f>
        <v>5978.3</v>
      </c>
      <c r="F66" s="7">
        <f>IFERROR(__xludf.DUMMYFUNCTION("""COMPUTED_VALUE"""),6805.75)</f>
        <v>6805.75</v>
      </c>
      <c r="G66" s="6">
        <f>IFERROR(__xludf.DUMMYFUNCTION("""COMPUTED_VALUE"""),169.0)</f>
        <v>169</v>
      </c>
      <c r="H66" s="7">
        <f>IFERROR(__xludf.DUMMYFUNCTION("""COMPUTED_VALUE"""),40.2707100591716)</f>
        <v>40.27071006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IFERROR(__xludf.DUMMYFUNCTION("""COMPUTED_VALUE"""),2.0)</f>
        <v>2</v>
      </c>
      <c r="E67" s="7">
        <f>IFERROR(__xludf.DUMMYFUNCTION("""COMPUTED_VALUE"""),6083.4)</f>
        <v>6083.4</v>
      </c>
      <c r="F67" s="7">
        <f>IFERROR(__xludf.DUMMYFUNCTION("""COMPUTED_VALUE"""),6431.0)</f>
        <v>6431</v>
      </c>
      <c r="G67" s="6">
        <f>IFERROR(__xludf.DUMMYFUNCTION("""COMPUTED_VALUE"""),157.0)</f>
        <v>157</v>
      </c>
      <c r="H67" s="7">
        <f>IFERROR(__xludf.DUMMYFUNCTION("""COMPUTED_VALUE"""),40.961783439490446)</f>
        <v>40.96178344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IFERROR(__xludf.DUMMYFUNCTION("""COMPUTED_VALUE"""),1.0)</f>
        <v>1</v>
      </c>
      <c r="E68" s="7">
        <f>IFERROR(__xludf.DUMMYFUNCTION("""COMPUTED_VALUE"""),7015.25)</f>
        <v>7015.25</v>
      </c>
      <c r="F68" s="7">
        <f>IFERROR(__xludf.DUMMYFUNCTION("""COMPUTED_VALUE"""),6833.0)</f>
        <v>6833</v>
      </c>
      <c r="G68" s="6">
        <f>IFERROR(__xludf.DUMMYFUNCTION("""COMPUTED_VALUE"""),140.0)</f>
        <v>140</v>
      </c>
      <c r="H68" s="7">
        <f>IFERROR(__xludf.DUMMYFUNCTION("""COMPUTED_VALUE"""),48.80714285714286)</f>
        <v>48.80714286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IFERROR(__xludf.DUMMYFUNCTION("""COMPUTED_VALUE"""),2.0)</f>
        <v>2</v>
      </c>
      <c r="E69" s="7">
        <f>IFERROR(__xludf.DUMMYFUNCTION("""COMPUTED_VALUE"""),5885.41)</f>
        <v>5885.41</v>
      </c>
      <c r="F69" s="7">
        <f>IFERROR(__xludf.DUMMYFUNCTION("""COMPUTED_VALUE"""),6569.5)</f>
        <v>6569.5</v>
      </c>
      <c r="G69" s="6">
        <f>IFERROR(__xludf.DUMMYFUNCTION("""COMPUTED_VALUE"""),141.0)</f>
        <v>141</v>
      </c>
      <c r="H69" s="7">
        <f>IFERROR(__xludf.DUMMYFUNCTION("""COMPUTED_VALUE"""),46.59219858156028)</f>
        <v>46.59219858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IFERROR(__xludf.DUMMYFUNCTION("""COMPUTED_VALUE"""),1.0)</f>
        <v>1</v>
      </c>
      <c r="E70" s="7">
        <f>IFERROR(__xludf.DUMMYFUNCTION("""COMPUTED_VALUE"""),5991.48)</f>
        <v>5991.48</v>
      </c>
      <c r="F70" s="7">
        <f>IFERROR(__xludf.DUMMYFUNCTION("""COMPUTED_VALUE"""),6001.0)</f>
        <v>6001</v>
      </c>
      <c r="G70" s="6">
        <f>IFERROR(__xludf.DUMMYFUNCTION("""COMPUTED_VALUE"""),158.0)</f>
        <v>158</v>
      </c>
      <c r="H70" s="7">
        <f>IFERROR(__xludf.DUMMYFUNCTION("""COMPUTED_VALUE"""),37.98101265822785)</f>
        <v>37.98101266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IFERROR(__xludf.DUMMYFUNCTION("""COMPUTED_VALUE"""),2.0)</f>
        <v>2</v>
      </c>
      <c r="E71" s="7">
        <f>IFERROR(__xludf.DUMMYFUNCTION("""COMPUTED_VALUE"""),5509.88)</f>
        <v>5509.88</v>
      </c>
      <c r="F71" s="7">
        <f>IFERROR(__xludf.DUMMYFUNCTION("""COMPUTED_VALUE"""),6289.25)</f>
        <v>6289.25</v>
      </c>
      <c r="G71" s="6">
        <f>IFERROR(__xludf.DUMMYFUNCTION("""COMPUTED_VALUE"""),162.0)</f>
        <v>162</v>
      </c>
      <c r="H71" s="7">
        <f>IFERROR(__xludf.DUMMYFUNCTION("""COMPUTED_VALUE"""),38.82253086419753)</f>
        <v>38.82253086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IFERROR(__xludf.DUMMYFUNCTION("""COMPUTED_VALUE"""),1.0)</f>
        <v>1</v>
      </c>
      <c r="E72" s="7">
        <f>IFERROR(__xludf.DUMMYFUNCTION("""COMPUTED_VALUE"""),5968.72)</f>
        <v>5968.72</v>
      </c>
      <c r="F72" s="7">
        <f>IFERROR(__xludf.DUMMYFUNCTION("""COMPUTED_VALUE"""),5637.75)</f>
        <v>5637.75</v>
      </c>
      <c r="G72" s="6">
        <f>IFERROR(__xludf.DUMMYFUNCTION("""COMPUTED_VALUE"""),145.0)</f>
        <v>145</v>
      </c>
      <c r="H72" s="7">
        <f>IFERROR(__xludf.DUMMYFUNCTION("""COMPUTED_VALUE"""),38.88103448275862)</f>
        <v>38.88103448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IFERROR(__xludf.DUMMYFUNCTION("""COMPUTED_VALUE"""),2.0)</f>
        <v>2</v>
      </c>
      <c r="E73" s="7">
        <f>IFERROR(__xludf.DUMMYFUNCTION("""COMPUTED_VALUE"""),5978.3)</f>
        <v>5978.3</v>
      </c>
      <c r="F73" s="7">
        <f>IFERROR(__xludf.DUMMYFUNCTION("""COMPUTED_VALUE"""),5884.35)</f>
        <v>5884.35</v>
      </c>
      <c r="G73" s="6">
        <f>IFERROR(__xludf.DUMMYFUNCTION("""COMPUTED_VALUE"""),143.0)</f>
        <v>143</v>
      </c>
      <c r="H73" s="7">
        <f>IFERROR(__xludf.DUMMYFUNCTION("""COMPUTED_VALUE"""),41.1493006993007)</f>
        <v>41.1493007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IFERROR(__xludf.DUMMYFUNCTION("""COMPUTED_VALUE"""),1.0)</f>
        <v>1</v>
      </c>
      <c r="E74" s="7">
        <f>IFERROR(__xludf.DUMMYFUNCTION("""COMPUTED_VALUE"""),6083.4)</f>
        <v>6083.4</v>
      </c>
      <c r="F74" s="7">
        <f>IFERROR(__xludf.DUMMYFUNCTION("""COMPUTED_VALUE"""),5552.31)</f>
        <v>5552.31</v>
      </c>
      <c r="G74" s="6">
        <f>IFERROR(__xludf.DUMMYFUNCTION("""COMPUTED_VALUE"""),138.0)</f>
        <v>138</v>
      </c>
      <c r="H74" s="7">
        <f>IFERROR(__xludf.DUMMYFUNCTION("""COMPUTED_VALUE"""),40.234130434782614)</f>
        <v>40.23413043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IFERROR(__xludf.DUMMYFUNCTION("""COMPUTED_VALUE"""),2.0)</f>
        <v>2</v>
      </c>
      <c r="E75" s="7">
        <f>IFERROR(__xludf.DUMMYFUNCTION("""COMPUTED_VALUE"""),7015.25)</f>
        <v>7015.25</v>
      </c>
      <c r="F75" s="7">
        <f>IFERROR(__xludf.DUMMYFUNCTION("""COMPUTED_VALUE"""),6728.0)</f>
        <v>6728</v>
      </c>
      <c r="G75" s="6">
        <f>IFERROR(__xludf.DUMMYFUNCTION("""COMPUTED_VALUE"""),161.0)</f>
        <v>161</v>
      </c>
      <c r="H75" s="7">
        <f>IFERROR(__xludf.DUMMYFUNCTION("""COMPUTED_VALUE"""),41.7888198757764)</f>
        <v>41.78881988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IFERROR(__xludf.DUMMYFUNCTION("""COMPUTED_VALUE"""),1.0)</f>
        <v>1</v>
      </c>
      <c r="E76" s="7">
        <f>IFERROR(__xludf.DUMMYFUNCTION("""COMPUTED_VALUE"""),5885.41)</f>
        <v>5885.41</v>
      </c>
      <c r="F76" s="7">
        <f>IFERROR(__xludf.DUMMYFUNCTION("""COMPUTED_VALUE"""),5873.75)</f>
        <v>5873.75</v>
      </c>
      <c r="G76" s="6">
        <f>IFERROR(__xludf.DUMMYFUNCTION("""COMPUTED_VALUE"""),143.0)</f>
        <v>143</v>
      </c>
      <c r="H76" s="7">
        <f>IFERROR(__xludf.DUMMYFUNCTION("""COMPUTED_VALUE"""),41.07517482517483)</f>
        <v>41.07517483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IFERROR(__xludf.DUMMYFUNCTION("""COMPUTED_VALUE"""),2.0)</f>
        <v>2</v>
      </c>
      <c r="E77" s="7">
        <f>IFERROR(__xludf.DUMMYFUNCTION("""COMPUTED_VALUE"""),5991.48)</f>
        <v>5991.48</v>
      </c>
      <c r="F77" s="7">
        <f>IFERROR(__xludf.DUMMYFUNCTION("""COMPUTED_VALUE"""),5904.5)</f>
        <v>5904.5</v>
      </c>
      <c r="G77" s="6">
        <f>IFERROR(__xludf.DUMMYFUNCTION("""COMPUTED_VALUE"""),145.0)</f>
        <v>145</v>
      </c>
      <c r="H77" s="7">
        <f>IFERROR(__xludf.DUMMYFUNCTION("""COMPUTED_VALUE"""),40.720689655172414)</f>
        <v>40.72068966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IFERROR(__xludf.DUMMYFUNCTION("""COMPUTED_VALUE"""),1.0)</f>
        <v>1</v>
      </c>
      <c r="E78" s="7">
        <f>IFERROR(__xludf.DUMMYFUNCTION("""COMPUTED_VALUE"""),5509.88)</f>
        <v>5509.88</v>
      </c>
      <c r="F78" s="7">
        <f>IFERROR(__xludf.DUMMYFUNCTION("""COMPUTED_VALUE"""),5305.5)</f>
        <v>5305.5</v>
      </c>
      <c r="G78" s="6">
        <f>IFERROR(__xludf.DUMMYFUNCTION("""COMPUTED_VALUE"""),144.0)</f>
        <v>144</v>
      </c>
      <c r="H78" s="7">
        <f>IFERROR(__xludf.DUMMYFUNCTION("""COMPUTED_VALUE"""),36.84375)</f>
        <v>36.84375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IFERROR(__xludf.DUMMYFUNCTION("""COMPUTED_VALUE"""),2.0)</f>
        <v>2</v>
      </c>
      <c r="E79" s="7">
        <f>IFERROR(__xludf.DUMMYFUNCTION("""COMPUTED_VALUE"""),5968.72)</f>
        <v>5968.72</v>
      </c>
      <c r="F79" s="7">
        <f>IFERROR(__xludf.DUMMYFUNCTION("""COMPUTED_VALUE"""),5695.75)</f>
        <v>5695.75</v>
      </c>
      <c r="G79" s="6">
        <f>IFERROR(__xludf.DUMMYFUNCTION("""COMPUTED_VALUE"""),140.0)</f>
        <v>140</v>
      </c>
      <c r="H79" s="7">
        <f>IFERROR(__xludf.DUMMYFUNCTION("""COMPUTED_VALUE"""),40.683928571428574)</f>
        <v>40.68392857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IFERROR(__xludf.DUMMYFUNCTION("""COMPUTED_VALUE"""),1.0)</f>
        <v>1</v>
      </c>
      <c r="E80" s="7">
        <f>IFERROR(__xludf.DUMMYFUNCTION("""COMPUTED_VALUE"""),5978.3)</f>
        <v>5978.3</v>
      </c>
      <c r="F80" s="7">
        <f>IFERROR(__xludf.DUMMYFUNCTION("""COMPUTED_VALUE"""),5986.25)</f>
        <v>5986.25</v>
      </c>
      <c r="G80" s="6">
        <f>IFERROR(__xludf.DUMMYFUNCTION("""COMPUTED_VALUE"""),149.0)</f>
        <v>149</v>
      </c>
      <c r="H80" s="7">
        <f>IFERROR(__xludf.DUMMYFUNCTION("""COMPUTED_VALUE"""),40.17617449664429)</f>
        <v>40.1761745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IFERROR(__xludf.DUMMYFUNCTION("""COMPUTED_VALUE"""),2.0)</f>
        <v>2</v>
      </c>
      <c r="E81" s="7">
        <f>IFERROR(__xludf.DUMMYFUNCTION("""COMPUTED_VALUE"""),6083.4)</f>
        <v>6083.4</v>
      </c>
      <c r="F81" s="7">
        <f>IFERROR(__xludf.DUMMYFUNCTION("""COMPUTED_VALUE"""),5600.75)</f>
        <v>5600.75</v>
      </c>
      <c r="G81" s="6">
        <f>IFERROR(__xludf.DUMMYFUNCTION("""COMPUTED_VALUE"""),145.0)</f>
        <v>145</v>
      </c>
      <c r="H81" s="7">
        <f>IFERROR(__xludf.DUMMYFUNCTION("""COMPUTED_VALUE"""),38.62586206896552)</f>
        <v>38.62586207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IFERROR(__xludf.DUMMYFUNCTION("""COMPUTED_VALUE"""),1.0)</f>
        <v>1</v>
      </c>
      <c r="E82" s="7">
        <f>IFERROR(__xludf.DUMMYFUNCTION("""COMPUTED_VALUE"""),7015.25)</f>
        <v>7015.25</v>
      </c>
      <c r="F82" s="7">
        <f>IFERROR(__xludf.DUMMYFUNCTION("""COMPUTED_VALUE"""),6082.25)</f>
        <v>6082.25</v>
      </c>
      <c r="G82" s="6">
        <f>IFERROR(__xludf.DUMMYFUNCTION("""COMPUTED_VALUE"""),143.0)</f>
        <v>143</v>
      </c>
      <c r="H82" s="7">
        <f>IFERROR(__xludf.DUMMYFUNCTION("""COMPUTED_VALUE"""),42.53321678321678)</f>
        <v>42.53321678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IFERROR(__xludf.DUMMYFUNCTION("""COMPUTED_VALUE"""),2.0)</f>
        <v>2</v>
      </c>
      <c r="E83" s="7">
        <f>IFERROR(__xludf.DUMMYFUNCTION("""COMPUTED_VALUE"""),5885.41)</f>
        <v>5885.41</v>
      </c>
      <c r="F83" s="7">
        <f>IFERROR(__xludf.DUMMYFUNCTION("""COMPUTED_VALUE"""),5283.25)</f>
        <v>5283.25</v>
      </c>
      <c r="G83" s="6">
        <f>IFERROR(__xludf.DUMMYFUNCTION("""COMPUTED_VALUE"""),121.0)</f>
        <v>121</v>
      </c>
      <c r="H83" s="7">
        <f>IFERROR(__xludf.DUMMYFUNCTION("""COMPUTED_VALUE"""),43.663223140495866)</f>
        <v>43.66322314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IFERROR(__xludf.DUMMYFUNCTION("""COMPUTED_VALUE"""),1.0)</f>
        <v>1</v>
      </c>
      <c r="E84" s="7">
        <f>IFERROR(__xludf.DUMMYFUNCTION("""COMPUTED_VALUE"""),5991.48)</f>
        <v>5991.48</v>
      </c>
      <c r="F84" s="7">
        <f>IFERROR(__xludf.DUMMYFUNCTION("""COMPUTED_VALUE"""),3915.5)</f>
        <v>3915.5</v>
      </c>
      <c r="G84" s="6">
        <f>IFERROR(__xludf.DUMMYFUNCTION("""COMPUTED_VALUE"""),102.0)</f>
        <v>102</v>
      </c>
      <c r="H84" s="7">
        <f>IFERROR(__xludf.DUMMYFUNCTION("""COMPUTED_VALUE"""),38.38725490196079)</f>
        <v>38.3872549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IFERROR(__xludf.DUMMYFUNCTION("""COMPUTED_VALUE"""),2.0)</f>
        <v>2</v>
      </c>
      <c r="E85" s="7">
        <f>IFERROR(__xludf.DUMMYFUNCTION("""COMPUTED_VALUE"""),5509.88)</f>
        <v>5509.88</v>
      </c>
      <c r="F85" s="7">
        <f>IFERROR(__xludf.DUMMYFUNCTION("""COMPUTED_VALUE"""),5751.0)</f>
        <v>5751</v>
      </c>
      <c r="G85" s="6">
        <f>IFERROR(__xludf.DUMMYFUNCTION("""COMPUTED_VALUE"""),149.0)</f>
        <v>149</v>
      </c>
      <c r="H85" s="7">
        <f>IFERROR(__xludf.DUMMYFUNCTION("""COMPUTED_VALUE"""),38.59731543624161)</f>
        <v>38.59731544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IFERROR(__xludf.DUMMYFUNCTION("""COMPUTED_VALUE"""),1.0)</f>
        <v>1</v>
      </c>
      <c r="E86" s="7">
        <f>IFERROR(__xludf.DUMMYFUNCTION("""COMPUTED_VALUE"""),5968.72)</f>
        <v>5968.72</v>
      </c>
      <c r="F86" s="7">
        <f>IFERROR(__xludf.DUMMYFUNCTION("""COMPUTED_VALUE"""),5375.27)</f>
        <v>5375.27</v>
      </c>
      <c r="G86" s="6">
        <f>IFERROR(__xludf.DUMMYFUNCTION("""COMPUTED_VALUE"""),141.0)</f>
        <v>141</v>
      </c>
      <c r="H86" s="7">
        <f>IFERROR(__xludf.DUMMYFUNCTION("""COMPUTED_VALUE"""),38.12248226950355)</f>
        <v>38.12248227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IFERROR(__xludf.DUMMYFUNCTION("""COMPUTED_VALUE"""),2.0)</f>
        <v>2</v>
      </c>
      <c r="E87" s="7">
        <f>IFERROR(__xludf.DUMMYFUNCTION("""COMPUTED_VALUE"""),5978.3)</f>
        <v>5978.3</v>
      </c>
      <c r="F87" s="7">
        <f>IFERROR(__xludf.DUMMYFUNCTION("""COMPUTED_VALUE"""),6567.8)</f>
        <v>6567.8</v>
      </c>
      <c r="G87" s="6">
        <f>IFERROR(__xludf.DUMMYFUNCTION("""COMPUTED_VALUE"""),149.0)</f>
        <v>149</v>
      </c>
      <c r="H87" s="7">
        <f>IFERROR(__xludf.DUMMYFUNCTION("""COMPUTED_VALUE"""),44.079194630872486)</f>
        <v>44.07919463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IFERROR(__xludf.DUMMYFUNCTION("""COMPUTED_VALUE"""),1.0)</f>
        <v>1</v>
      </c>
      <c r="E88" s="7">
        <f>IFERROR(__xludf.DUMMYFUNCTION("""COMPUTED_VALUE"""),6083.4)</f>
        <v>6083.4</v>
      </c>
      <c r="F88" s="7">
        <f>IFERROR(__xludf.DUMMYFUNCTION("""COMPUTED_VALUE"""),4241.0)</f>
        <v>4241</v>
      </c>
      <c r="G88" s="6">
        <f>IFERROR(__xludf.DUMMYFUNCTION("""COMPUTED_VALUE"""),114.0)</f>
        <v>114</v>
      </c>
      <c r="H88" s="7">
        <f>IFERROR(__xludf.DUMMYFUNCTION("""COMPUTED_VALUE"""),37.20175438596491)</f>
        <v>37.20175439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IFERROR(__xludf.DUMMYFUNCTION("""COMPUTED_VALUE"""),2.0)</f>
        <v>2</v>
      </c>
      <c r="E89" s="7">
        <f>IFERROR(__xludf.DUMMYFUNCTION("""COMPUTED_VALUE"""),7015.25)</f>
        <v>7015.25</v>
      </c>
      <c r="F89" s="7">
        <f>IFERROR(__xludf.DUMMYFUNCTION("""COMPUTED_VALUE"""),6947.0)</f>
        <v>6947</v>
      </c>
      <c r="G89" s="6">
        <f>IFERROR(__xludf.DUMMYFUNCTION("""COMPUTED_VALUE"""),154.0)</f>
        <v>154</v>
      </c>
      <c r="H89" s="7">
        <f>IFERROR(__xludf.DUMMYFUNCTION("""COMPUTED_VALUE"""),45.11038961038961)</f>
        <v>45.11038961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IFERROR(__xludf.DUMMYFUNCTION("""COMPUTED_VALUE"""),1.0)</f>
        <v>1</v>
      </c>
      <c r="E90" s="7">
        <f>IFERROR(__xludf.DUMMYFUNCTION("""COMPUTED_VALUE"""),5885.41)</f>
        <v>5885.41</v>
      </c>
      <c r="F90" s="7">
        <f>IFERROR(__xludf.DUMMYFUNCTION("""COMPUTED_VALUE"""),5077.78)</f>
        <v>5077.78</v>
      </c>
      <c r="G90" s="6">
        <f>IFERROR(__xludf.DUMMYFUNCTION("""COMPUTED_VALUE"""),114.0)</f>
        <v>114</v>
      </c>
      <c r="H90" s="7">
        <f>IFERROR(__xludf.DUMMYFUNCTION("""COMPUTED_VALUE"""),44.5419298245614)</f>
        <v>44.54192982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IFERROR(__xludf.DUMMYFUNCTION("""COMPUTED_VALUE"""),2.0)</f>
        <v>2</v>
      </c>
      <c r="E91" s="7">
        <f>IFERROR(__xludf.DUMMYFUNCTION("""COMPUTED_VALUE"""),5991.48)</f>
        <v>5991.48</v>
      </c>
      <c r="F91" s="7">
        <f>IFERROR(__xludf.DUMMYFUNCTION("""COMPUTED_VALUE"""),4674.7)</f>
        <v>4674.7</v>
      </c>
      <c r="G91" s="6">
        <f>IFERROR(__xludf.DUMMYFUNCTION("""COMPUTED_VALUE"""),117.0)</f>
        <v>117</v>
      </c>
      <c r="H91" s="7">
        <f>IFERROR(__xludf.DUMMYFUNCTION("""COMPUTED_VALUE"""),39.95470085470085)</f>
        <v>39.95470085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IFERROR(__xludf.DUMMYFUNCTION("""COMPUTED_VALUE"""),1.0)</f>
        <v>1</v>
      </c>
      <c r="E92" s="7">
        <f>IFERROR(__xludf.DUMMYFUNCTION("""COMPUTED_VALUE"""),5613.56)</f>
        <v>5613.56</v>
      </c>
      <c r="F92" s="7">
        <f>IFERROR(__xludf.DUMMYFUNCTION("""COMPUTED_VALUE"""),4918.0)</f>
        <v>4918</v>
      </c>
      <c r="G92" s="6">
        <f>IFERROR(__xludf.DUMMYFUNCTION("""COMPUTED_VALUE"""),127.0)</f>
        <v>127</v>
      </c>
      <c r="H92" s="7">
        <f>IFERROR(__xludf.DUMMYFUNCTION("""COMPUTED_VALUE"""),38.724409448818896)</f>
        <v>38.72440945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IFERROR(__xludf.DUMMYFUNCTION("""COMPUTED_VALUE"""),2.0)</f>
        <v>2</v>
      </c>
      <c r="E93" s="7">
        <f>IFERROR(__xludf.DUMMYFUNCTION("""COMPUTED_VALUE"""),5975.08)</f>
        <v>5975.08</v>
      </c>
      <c r="F93" s="7">
        <f>IFERROR(__xludf.DUMMYFUNCTION("""COMPUTED_VALUE"""),5238.75)</f>
        <v>5238.75</v>
      </c>
      <c r="G93" s="6">
        <f>IFERROR(__xludf.DUMMYFUNCTION("""COMPUTED_VALUE"""),130.0)</f>
        <v>130</v>
      </c>
      <c r="H93" s="7">
        <f>IFERROR(__xludf.DUMMYFUNCTION("""COMPUTED_VALUE"""),40.29807692307692)</f>
        <v>40.29807692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IFERROR(__xludf.DUMMYFUNCTION("""COMPUTED_VALUE"""),1.0)</f>
        <v>1</v>
      </c>
      <c r="E94" s="7">
        <f>IFERROR(__xludf.DUMMYFUNCTION("""COMPUTED_VALUE"""),6020.09)</f>
        <v>6020.09</v>
      </c>
      <c r="F94" s="7">
        <f>IFERROR(__xludf.DUMMYFUNCTION("""COMPUTED_VALUE"""),5653.5)</f>
        <v>5653.5</v>
      </c>
      <c r="G94" s="6">
        <f>IFERROR(__xludf.DUMMYFUNCTION("""COMPUTED_VALUE"""),140.0)</f>
        <v>140</v>
      </c>
      <c r="H94" s="7">
        <f>IFERROR(__xludf.DUMMYFUNCTION("""COMPUTED_VALUE"""),40.38214285714286)</f>
        <v>40.38214286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IFERROR(__xludf.DUMMYFUNCTION("""COMPUTED_VALUE"""),2.0)</f>
        <v>2</v>
      </c>
      <c r="E95" s="7">
        <f>IFERROR(__xludf.DUMMYFUNCTION("""COMPUTED_VALUE"""),6043.81)</f>
        <v>6043.81</v>
      </c>
      <c r="F95" s="7">
        <f>IFERROR(__xludf.DUMMYFUNCTION("""COMPUTED_VALUE"""),5250.85)</f>
        <v>5250.85</v>
      </c>
      <c r="G95" s="6">
        <f>IFERROR(__xludf.DUMMYFUNCTION("""COMPUTED_VALUE"""),118.0)</f>
        <v>118</v>
      </c>
      <c r="H95" s="7">
        <f>IFERROR(__xludf.DUMMYFUNCTION("""COMPUTED_VALUE"""),44.498728813559325)</f>
        <v>44.49872881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IFERROR(__xludf.DUMMYFUNCTION("""COMPUTED_VALUE"""),1.0)</f>
        <v>1</v>
      </c>
      <c r="E96" s="7">
        <f>IFERROR(__xludf.DUMMYFUNCTION("""COMPUTED_VALUE"""),6924.42)</f>
        <v>6924.42</v>
      </c>
      <c r="F96" s="7">
        <f>IFERROR(__xludf.DUMMYFUNCTION("""COMPUTED_VALUE"""),6493.51)</f>
        <v>6493.51</v>
      </c>
      <c r="G96" s="6">
        <f>IFERROR(__xludf.DUMMYFUNCTION("""COMPUTED_VALUE"""),135.0)</f>
        <v>135</v>
      </c>
      <c r="H96" s="7">
        <f>IFERROR(__xludf.DUMMYFUNCTION("""COMPUTED_VALUE"""),48.10007407407407)</f>
        <v>48.10007407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IFERROR(__xludf.DUMMYFUNCTION("""COMPUTED_VALUE"""),2.0)</f>
        <v>2</v>
      </c>
      <c r="E97" s="7">
        <f>IFERROR(__xludf.DUMMYFUNCTION("""COMPUTED_VALUE"""),5943.51)</f>
        <v>5943.51</v>
      </c>
      <c r="F97" s="7">
        <f>IFERROR(__xludf.DUMMYFUNCTION("""COMPUTED_VALUE"""),5711.85)</f>
        <v>5711.85</v>
      </c>
      <c r="G97" s="6">
        <f>IFERROR(__xludf.DUMMYFUNCTION("""COMPUTED_VALUE"""),124.0)</f>
        <v>124</v>
      </c>
      <c r="H97" s="7">
        <f>IFERROR(__xludf.DUMMYFUNCTION("""COMPUTED_VALUE"""),46.06330645161291)</f>
        <v>46.06330645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IFERROR(__xludf.DUMMYFUNCTION("""COMPUTED_VALUE"""),1.0)</f>
        <v>1</v>
      </c>
      <c r="E98" s="7">
        <f>IFERROR(__xludf.DUMMYFUNCTION("""COMPUTED_VALUE"""),6091.33)</f>
        <v>6091.33</v>
      </c>
      <c r="F98" s="7">
        <f>IFERROR(__xludf.DUMMYFUNCTION("""COMPUTED_VALUE"""),4837.82)</f>
        <v>4837.82</v>
      </c>
      <c r="G98" s="6">
        <f>IFERROR(__xludf.DUMMYFUNCTION("""COMPUTED_VALUE"""),129.0)</f>
        <v>129</v>
      </c>
      <c r="H98" s="7">
        <f>IFERROR(__xludf.DUMMYFUNCTION("""COMPUTED_VALUE"""),37.50248062015503)</f>
        <v>37.50248062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IFERROR(__xludf.DUMMYFUNCTION("""COMPUTED_VALUE"""),2.0)</f>
        <v>2</v>
      </c>
      <c r="E99" s="7">
        <f>IFERROR(__xludf.DUMMYFUNCTION("""COMPUTED_VALUE"""),5613.56)</f>
        <v>5613.56</v>
      </c>
      <c r="F99" s="7">
        <f>IFERROR(__xludf.DUMMYFUNCTION("""COMPUTED_VALUE"""),4368.77)</f>
        <v>4368.77</v>
      </c>
      <c r="G99" s="6">
        <f>IFERROR(__xludf.DUMMYFUNCTION("""COMPUTED_VALUE"""),124.0)</f>
        <v>124</v>
      </c>
      <c r="H99" s="7">
        <f>IFERROR(__xludf.DUMMYFUNCTION("""COMPUTED_VALUE"""),35.23201612903226)</f>
        <v>35.23201613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IFERROR(__xludf.DUMMYFUNCTION("""COMPUTED_VALUE"""),1.0)</f>
        <v>1</v>
      </c>
      <c r="E100" s="7">
        <f>IFERROR(__xludf.DUMMYFUNCTION("""COMPUTED_VALUE"""),5975.08)</f>
        <v>5975.08</v>
      </c>
      <c r="F100" s="7">
        <f>IFERROR(__xludf.DUMMYFUNCTION("""COMPUTED_VALUE"""),5898.0)</f>
        <v>5898</v>
      </c>
      <c r="G100" s="6">
        <f>IFERROR(__xludf.DUMMYFUNCTION("""COMPUTED_VALUE"""),157.0)</f>
        <v>157</v>
      </c>
      <c r="H100" s="7">
        <f>IFERROR(__xludf.DUMMYFUNCTION("""COMPUTED_VALUE"""),37.56687898089172)</f>
        <v>37.56687898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IFERROR(__xludf.DUMMYFUNCTION("""COMPUTED_VALUE"""),2.0)</f>
        <v>2</v>
      </c>
      <c r="E101" s="7">
        <f>IFERROR(__xludf.DUMMYFUNCTION("""COMPUTED_VALUE"""),6020.09)</f>
        <v>6020.09</v>
      </c>
      <c r="F101" s="7">
        <f>IFERROR(__xludf.DUMMYFUNCTION("""COMPUTED_VALUE"""),4926.0)</f>
        <v>4926</v>
      </c>
      <c r="G101" s="6">
        <f>IFERROR(__xludf.DUMMYFUNCTION("""COMPUTED_VALUE"""),129.0)</f>
        <v>129</v>
      </c>
      <c r="H101" s="7">
        <f>IFERROR(__xludf.DUMMYFUNCTION("""COMPUTED_VALUE"""),38.18604651162791)</f>
        <v>38.18604651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IFERROR(__xludf.DUMMYFUNCTION("""COMPUTED_VALUE"""),1.0)</f>
        <v>1</v>
      </c>
      <c r="E102" s="7">
        <f>IFERROR(__xludf.DUMMYFUNCTION("""COMPUTED_VALUE"""),6043.81)</f>
        <v>6043.81</v>
      </c>
      <c r="F102" s="7">
        <f>IFERROR(__xludf.DUMMYFUNCTION("""COMPUTED_VALUE"""),5063.0)</f>
        <v>5063</v>
      </c>
      <c r="G102" s="6">
        <f>IFERROR(__xludf.DUMMYFUNCTION("""COMPUTED_VALUE"""),136.0)</f>
        <v>136</v>
      </c>
      <c r="H102" s="7">
        <f>IFERROR(__xludf.DUMMYFUNCTION("""COMPUTED_VALUE"""),37.22794117647059)</f>
        <v>37.22794118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IFERROR(__xludf.DUMMYFUNCTION("""COMPUTED_VALUE"""),2.0)</f>
        <v>2</v>
      </c>
      <c r="E103" s="7">
        <f>IFERROR(__xludf.DUMMYFUNCTION("""COMPUTED_VALUE"""),6924.42)</f>
        <v>6924.42</v>
      </c>
      <c r="F103" s="7">
        <f>IFERROR(__xludf.DUMMYFUNCTION("""COMPUTED_VALUE"""),5758.0)</f>
        <v>5758</v>
      </c>
      <c r="G103" s="6">
        <f>IFERROR(__xludf.DUMMYFUNCTION("""COMPUTED_VALUE"""),141.0)</f>
        <v>141</v>
      </c>
      <c r="H103" s="7">
        <f>IFERROR(__xludf.DUMMYFUNCTION("""COMPUTED_VALUE"""),40.836879432624116)</f>
        <v>40.83687943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IFERROR(__xludf.DUMMYFUNCTION("""COMPUTED_VALUE"""),1.0)</f>
        <v>1</v>
      </c>
      <c r="E104" s="7">
        <f>IFERROR(__xludf.DUMMYFUNCTION("""COMPUTED_VALUE"""),5943.51)</f>
        <v>5943.51</v>
      </c>
      <c r="F104" s="7">
        <f>IFERROR(__xludf.DUMMYFUNCTION("""COMPUTED_VALUE"""),5432.75)</f>
        <v>5432.75</v>
      </c>
      <c r="G104" s="6">
        <f>IFERROR(__xludf.DUMMYFUNCTION("""COMPUTED_VALUE"""),117.0)</f>
        <v>117</v>
      </c>
      <c r="H104" s="7">
        <f>IFERROR(__xludf.DUMMYFUNCTION("""COMPUTED_VALUE"""),46.43376068376068)</f>
        <v>46.43376068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IFERROR(__xludf.DUMMYFUNCTION("""COMPUTED_VALUE"""),2.0)</f>
        <v>2</v>
      </c>
      <c r="E105" s="7">
        <f>IFERROR(__xludf.DUMMYFUNCTION("""COMPUTED_VALUE"""),6091.33)</f>
        <v>6091.33</v>
      </c>
      <c r="F105" s="7">
        <f>IFERROR(__xludf.DUMMYFUNCTION("""COMPUTED_VALUE"""),5221.85)</f>
        <v>5221.85</v>
      </c>
      <c r="G105" s="6">
        <f>IFERROR(__xludf.DUMMYFUNCTION("""COMPUTED_VALUE"""),139.0)</f>
        <v>139</v>
      </c>
      <c r="H105" s="7">
        <f>IFERROR(__xludf.DUMMYFUNCTION("""COMPUTED_VALUE"""),37.567266187050365)</f>
        <v>37.56726619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IFERROR(__xludf.DUMMYFUNCTION("""COMPUTED_VALUE"""),1.0)</f>
        <v>1</v>
      </c>
      <c r="E106" s="7">
        <f>IFERROR(__xludf.DUMMYFUNCTION("""COMPUTED_VALUE"""),5613.56)</f>
        <v>5613.56</v>
      </c>
      <c r="F106" s="7">
        <f>IFERROR(__xludf.DUMMYFUNCTION("""COMPUTED_VALUE"""),5592.01)</f>
        <v>5592.01</v>
      </c>
      <c r="G106" s="6">
        <f>IFERROR(__xludf.DUMMYFUNCTION("""COMPUTED_VALUE"""),140.0)</f>
        <v>140</v>
      </c>
      <c r="H106" s="7">
        <f>IFERROR(__xludf.DUMMYFUNCTION("""COMPUTED_VALUE"""),39.942928571428574)</f>
        <v>39.94292857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IFERROR(__xludf.DUMMYFUNCTION("""COMPUTED_VALUE"""),2.0)</f>
        <v>2</v>
      </c>
      <c r="E107" s="7">
        <f>IFERROR(__xludf.DUMMYFUNCTION("""COMPUTED_VALUE"""),5975.08)</f>
        <v>5975.08</v>
      </c>
      <c r="F107" s="7">
        <f>IFERROR(__xludf.DUMMYFUNCTION("""COMPUTED_VALUE"""),5648.75)</f>
        <v>5648.75</v>
      </c>
      <c r="G107" s="6">
        <f>IFERROR(__xludf.DUMMYFUNCTION("""COMPUTED_VALUE"""),151.0)</f>
        <v>151</v>
      </c>
      <c r="H107" s="7">
        <f>IFERROR(__xludf.DUMMYFUNCTION("""COMPUTED_VALUE"""),37.408940397350996)</f>
        <v>37.4089404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IFERROR(__xludf.DUMMYFUNCTION("""COMPUTED_VALUE"""),1.0)</f>
        <v>1</v>
      </c>
      <c r="E108" s="7">
        <f>IFERROR(__xludf.DUMMYFUNCTION("""COMPUTED_VALUE"""),6020.09)</f>
        <v>6020.09</v>
      </c>
      <c r="F108" s="7">
        <f>IFERROR(__xludf.DUMMYFUNCTION("""COMPUTED_VALUE"""),5565.76)</f>
        <v>5565.76</v>
      </c>
      <c r="G108" s="6">
        <f>IFERROR(__xludf.DUMMYFUNCTION("""COMPUTED_VALUE"""),144.0)</f>
        <v>144</v>
      </c>
      <c r="H108" s="7">
        <f>IFERROR(__xludf.DUMMYFUNCTION("""COMPUTED_VALUE"""),38.65111111111111)</f>
        <v>38.65111111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IFERROR(__xludf.DUMMYFUNCTION("""COMPUTED_VALUE"""),2.0)</f>
        <v>2</v>
      </c>
      <c r="E109" s="7">
        <f>IFERROR(__xludf.DUMMYFUNCTION("""COMPUTED_VALUE"""),6043.81)</f>
        <v>6043.81</v>
      </c>
      <c r="F109" s="7">
        <f>IFERROR(__xludf.DUMMYFUNCTION("""COMPUTED_VALUE"""),4490.5)</f>
        <v>4490.5</v>
      </c>
      <c r="G109" s="6">
        <f>IFERROR(__xludf.DUMMYFUNCTION("""COMPUTED_VALUE"""),115.0)</f>
        <v>115</v>
      </c>
      <c r="H109" s="7">
        <f>IFERROR(__xludf.DUMMYFUNCTION("""COMPUTED_VALUE"""),39.04782608695652)</f>
        <v>39.04782609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IFERROR(__xludf.DUMMYFUNCTION("""COMPUTED_VALUE"""),1.0)</f>
        <v>1</v>
      </c>
      <c r="E110" s="7">
        <f>IFERROR(__xludf.DUMMYFUNCTION("""COMPUTED_VALUE"""),6924.42)</f>
        <v>6924.42</v>
      </c>
      <c r="F110" s="7">
        <f>IFERROR(__xludf.DUMMYFUNCTION("""COMPUTED_VALUE"""),4909.02)</f>
        <v>4909.02</v>
      </c>
      <c r="G110" s="6">
        <f>IFERROR(__xludf.DUMMYFUNCTION("""COMPUTED_VALUE"""),121.0)</f>
        <v>121</v>
      </c>
      <c r="H110" s="7">
        <f>IFERROR(__xludf.DUMMYFUNCTION("""COMPUTED_VALUE"""),40.5704132231405)</f>
        <v>40.57041322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IFERROR(__xludf.DUMMYFUNCTION("""COMPUTED_VALUE"""),2.0)</f>
        <v>2</v>
      </c>
      <c r="E111" s="7">
        <f>IFERROR(__xludf.DUMMYFUNCTION("""COMPUTED_VALUE"""),5943.51)</f>
        <v>5943.51</v>
      </c>
      <c r="F111" s="7">
        <f>IFERROR(__xludf.DUMMYFUNCTION("""COMPUTED_VALUE"""),3697.25)</f>
        <v>3697.25</v>
      </c>
      <c r="G111" s="6">
        <f>IFERROR(__xludf.DUMMYFUNCTION("""COMPUTED_VALUE"""),108.0)</f>
        <v>108</v>
      </c>
      <c r="H111" s="7">
        <f>IFERROR(__xludf.DUMMYFUNCTION("""COMPUTED_VALUE"""),34.2337962962963)</f>
        <v>34.2337963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IFERROR(__xludf.DUMMYFUNCTION("""COMPUTED_VALUE"""),1.0)</f>
        <v>1</v>
      </c>
      <c r="E112" s="7">
        <f>IFERROR(__xludf.DUMMYFUNCTION("""COMPUTED_VALUE"""),6091.33)</f>
        <v>6091.33</v>
      </c>
      <c r="F112" s="7">
        <f>IFERROR(__xludf.DUMMYFUNCTION("""COMPUTED_VALUE"""),5496.5)</f>
        <v>5496.5</v>
      </c>
      <c r="G112" s="6">
        <f>IFERROR(__xludf.DUMMYFUNCTION("""COMPUTED_VALUE"""),114.0)</f>
        <v>114</v>
      </c>
      <c r="H112" s="7">
        <f>IFERROR(__xludf.DUMMYFUNCTION("""COMPUTED_VALUE"""),48.21491228070175)</f>
        <v>48.21491228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IFERROR(__xludf.DUMMYFUNCTION("""COMPUTED_VALUE"""),2.0)</f>
        <v>2</v>
      </c>
      <c r="E113" s="7">
        <f>IFERROR(__xludf.DUMMYFUNCTION("""COMPUTED_VALUE"""),5613.56)</f>
        <v>5613.56</v>
      </c>
      <c r="F113" s="7">
        <f>IFERROR(__xludf.DUMMYFUNCTION("""COMPUTED_VALUE"""),5554.41)</f>
        <v>5554.41</v>
      </c>
      <c r="G113" s="6">
        <f>IFERROR(__xludf.DUMMYFUNCTION("""COMPUTED_VALUE"""),130.0)</f>
        <v>130</v>
      </c>
      <c r="H113" s="7">
        <f>IFERROR(__xludf.DUMMYFUNCTION("""COMPUTED_VALUE"""),42.72623076923077)</f>
        <v>42.72623077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IFERROR(__xludf.DUMMYFUNCTION("""COMPUTED_VALUE"""),1.0)</f>
        <v>1</v>
      </c>
      <c r="E114" s="7">
        <f>IFERROR(__xludf.DUMMYFUNCTION("""COMPUTED_VALUE"""),5975.08)</f>
        <v>5975.08</v>
      </c>
      <c r="F114" s="7">
        <f>IFERROR(__xludf.DUMMYFUNCTION("""COMPUTED_VALUE"""),4204.6)</f>
        <v>4204.6</v>
      </c>
      <c r="G114" s="6">
        <f>IFERROR(__xludf.DUMMYFUNCTION("""COMPUTED_VALUE"""),94.0)</f>
        <v>94</v>
      </c>
      <c r="H114" s="7">
        <f>IFERROR(__xludf.DUMMYFUNCTION("""COMPUTED_VALUE"""),44.729787234042554)</f>
        <v>44.72978723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IFERROR(__xludf.DUMMYFUNCTION("""COMPUTED_VALUE"""),2.0)</f>
        <v>2</v>
      </c>
      <c r="E115" s="7">
        <f>IFERROR(__xludf.DUMMYFUNCTION("""COMPUTED_VALUE"""),6020.09)</f>
        <v>6020.09</v>
      </c>
      <c r="F115" s="7">
        <f>IFERROR(__xludf.DUMMYFUNCTION("""COMPUTED_VALUE"""),5071.25)</f>
        <v>5071.25</v>
      </c>
      <c r="G115" s="6">
        <f>IFERROR(__xludf.DUMMYFUNCTION("""COMPUTED_VALUE"""),115.0)</f>
        <v>115</v>
      </c>
      <c r="H115" s="7">
        <f>IFERROR(__xludf.DUMMYFUNCTION("""COMPUTED_VALUE"""),44.09782608695652)</f>
        <v>44.09782609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IFERROR(__xludf.DUMMYFUNCTION("""COMPUTED_VALUE"""),1.0)</f>
        <v>1</v>
      </c>
      <c r="E116" s="7">
        <f>IFERROR(__xludf.DUMMYFUNCTION("""COMPUTED_VALUE"""),6043.81)</f>
        <v>6043.81</v>
      </c>
      <c r="F116" s="7">
        <f>IFERROR(__xludf.DUMMYFUNCTION("""COMPUTED_VALUE"""),5705.5)</f>
        <v>5705.5</v>
      </c>
      <c r="G116" s="6">
        <f>IFERROR(__xludf.DUMMYFUNCTION("""COMPUTED_VALUE"""),122.0)</f>
        <v>122</v>
      </c>
      <c r="H116" s="7">
        <f>IFERROR(__xludf.DUMMYFUNCTION("""COMPUTED_VALUE"""),46.76639344262295)</f>
        <v>46.76639344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IFERROR(__xludf.DUMMYFUNCTION("""COMPUTED_VALUE"""),2.0)</f>
        <v>2</v>
      </c>
      <c r="E117" s="7">
        <f>IFERROR(__xludf.DUMMYFUNCTION("""COMPUTED_VALUE"""),6924.42)</f>
        <v>6924.42</v>
      </c>
      <c r="F117" s="7">
        <f>IFERROR(__xludf.DUMMYFUNCTION("""COMPUTED_VALUE"""),5231.75)</f>
        <v>5231.75</v>
      </c>
      <c r="G117" s="6">
        <f>IFERROR(__xludf.DUMMYFUNCTION("""COMPUTED_VALUE"""),140.0)</f>
        <v>140</v>
      </c>
      <c r="H117" s="7">
        <f>IFERROR(__xludf.DUMMYFUNCTION("""COMPUTED_VALUE"""),37.36964285714286)</f>
        <v>37.36964286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IFERROR(__xludf.DUMMYFUNCTION("""COMPUTED_VALUE"""),1.0)</f>
        <v>1</v>
      </c>
      <c r="E118" s="7">
        <f>IFERROR(__xludf.DUMMYFUNCTION("""COMPUTED_VALUE"""),5943.51)</f>
        <v>5943.51</v>
      </c>
      <c r="F118" s="7">
        <f>IFERROR(__xludf.DUMMYFUNCTION("""COMPUTED_VALUE"""),3918.53)</f>
        <v>3918.53</v>
      </c>
      <c r="G118" s="6">
        <f>IFERROR(__xludf.DUMMYFUNCTION("""COMPUTED_VALUE"""),95.0)</f>
        <v>95</v>
      </c>
      <c r="H118" s="7">
        <f>IFERROR(__xludf.DUMMYFUNCTION("""COMPUTED_VALUE"""),41.247684210526316)</f>
        <v>41.24768421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IFERROR(__xludf.DUMMYFUNCTION("""COMPUTED_VALUE"""),2.0)</f>
        <v>2</v>
      </c>
      <c r="E119" s="7">
        <f>IFERROR(__xludf.DUMMYFUNCTION("""COMPUTED_VALUE"""),6091.33)</f>
        <v>6091.33</v>
      </c>
      <c r="F119" s="7">
        <f>IFERROR(__xludf.DUMMYFUNCTION("""COMPUTED_VALUE"""),5023.85)</f>
        <v>5023.85</v>
      </c>
      <c r="G119" s="6">
        <f>IFERROR(__xludf.DUMMYFUNCTION("""COMPUTED_VALUE"""),115.0)</f>
        <v>115</v>
      </c>
      <c r="H119" s="7">
        <f>IFERROR(__xludf.DUMMYFUNCTION("""COMPUTED_VALUE"""),43.68565217391305)</f>
        <v>43.68565217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IFERROR(__xludf.DUMMYFUNCTION("""COMPUTED_VALUE"""),1.0)</f>
        <v>1</v>
      </c>
      <c r="E120" s="7">
        <f>IFERROR(__xludf.DUMMYFUNCTION("""COMPUTED_VALUE"""),5613.56)</f>
        <v>5613.56</v>
      </c>
      <c r="F120" s="7">
        <f>IFERROR(__xludf.DUMMYFUNCTION("""COMPUTED_VALUE"""),4478.5)</f>
        <v>4478.5</v>
      </c>
      <c r="G120" s="6">
        <f>IFERROR(__xludf.DUMMYFUNCTION("""COMPUTED_VALUE"""),125.0)</f>
        <v>125</v>
      </c>
      <c r="H120" s="7">
        <f>IFERROR(__xludf.DUMMYFUNCTION("""COMPUTED_VALUE"""),35.828)</f>
        <v>35.828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IFERROR(__xludf.DUMMYFUNCTION("""COMPUTED_VALUE"""),2.0)</f>
        <v>2</v>
      </c>
      <c r="E121" s="7">
        <f>IFERROR(__xludf.DUMMYFUNCTION("""COMPUTED_VALUE"""),5975.08)</f>
        <v>5975.08</v>
      </c>
      <c r="F121" s="7">
        <f>IFERROR(__xludf.DUMMYFUNCTION("""COMPUTED_VALUE"""),5919.75)</f>
        <v>5919.75</v>
      </c>
      <c r="G121" s="6">
        <f>IFERROR(__xludf.DUMMYFUNCTION("""COMPUTED_VALUE"""),156.0)</f>
        <v>156</v>
      </c>
      <c r="H121" s="7">
        <f>IFERROR(__xludf.DUMMYFUNCTION("""COMPUTED_VALUE"""),37.94711538461539)</f>
        <v>37.94711538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IFERROR(__xludf.DUMMYFUNCTION("""COMPUTED_VALUE"""),1.0)</f>
        <v>1</v>
      </c>
      <c r="E122" s="7">
        <f>IFERROR(__xludf.DUMMYFUNCTION("""COMPUTED_VALUE"""),6020.09)</f>
        <v>6020.09</v>
      </c>
      <c r="F122" s="7">
        <f>IFERROR(__xludf.DUMMYFUNCTION("""COMPUTED_VALUE"""),6167.5)</f>
        <v>6167.5</v>
      </c>
      <c r="G122" s="6">
        <f>IFERROR(__xludf.DUMMYFUNCTION("""COMPUTED_VALUE"""),122.0)</f>
        <v>122</v>
      </c>
      <c r="H122" s="7">
        <f>IFERROR(__xludf.DUMMYFUNCTION("""COMPUTED_VALUE"""),50.55327868852459)</f>
        <v>50.55327869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IFERROR(__xludf.DUMMYFUNCTION("""COMPUTED_VALUE"""),2.0)</f>
        <v>2</v>
      </c>
      <c r="E123" s="7">
        <f>IFERROR(__xludf.DUMMYFUNCTION("""COMPUTED_VALUE"""),6043.81)</f>
        <v>6043.81</v>
      </c>
      <c r="F123" s="7">
        <f>IFERROR(__xludf.DUMMYFUNCTION("""COMPUTED_VALUE"""),6660.26)</f>
        <v>6660.26</v>
      </c>
      <c r="G123" s="6">
        <f>IFERROR(__xludf.DUMMYFUNCTION("""COMPUTED_VALUE"""),156.0)</f>
        <v>156</v>
      </c>
      <c r="H123" s="7">
        <f>IFERROR(__xludf.DUMMYFUNCTION("""COMPUTED_VALUE"""),42.69397435897436)</f>
        <v>42.69397436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IFERROR(__xludf.DUMMYFUNCTION("""COMPUTED_VALUE"""),1.0)</f>
        <v>1</v>
      </c>
      <c r="E124" s="7">
        <f>IFERROR(__xludf.DUMMYFUNCTION("""COMPUTED_VALUE"""),6924.42)</f>
        <v>6924.42</v>
      </c>
      <c r="F124" s="7">
        <f>IFERROR(__xludf.DUMMYFUNCTION("""COMPUTED_VALUE"""),7550.0)</f>
        <v>7550</v>
      </c>
      <c r="G124" s="6">
        <f>IFERROR(__xludf.DUMMYFUNCTION("""COMPUTED_VALUE"""),139.0)</f>
        <v>139</v>
      </c>
      <c r="H124" s="7">
        <f>IFERROR(__xludf.DUMMYFUNCTION("""COMPUTED_VALUE"""),54.31654676258993)</f>
        <v>54.31654676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IFERROR(__xludf.DUMMYFUNCTION("""COMPUTED_VALUE"""),2.0)</f>
        <v>2</v>
      </c>
      <c r="E125" s="7">
        <f>IFERROR(__xludf.DUMMYFUNCTION("""COMPUTED_VALUE"""),5943.51)</f>
        <v>5943.51</v>
      </c>
      <c r="F125" s="7">
        <f>IFERROR(__xludf.DUMMYFUNCTION("""COMPUTED_VALUE"""),6457.25)</f>
        <v>6457.25</v>
      </c>
      <c r="G125" s="6">
        <f>IFERROR(__xludf.DUMMYFUNCTION("""COMPUTED_VALUE"""),145.0)</f>
        <v>145</v>
      </c>
      <c r="H125" s="7">
        <f>IFERROR(__xludf.DUMMYFUNCTION("""COMPUTED_VALUE"""),44.532758620689656)</f>
        <v>44.53275862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IFERROR(__xludf.DUMMYFUNCTION("""COMPUTED_VALUE"""),1.0)</f>
        <v>1</v>
      </c>
      <c r="E126" s="7">
        <f>IFERROR(__xludf.DUMMYFUNCTION("""COMPUTED_VALUE"""),6091.33)</f>
        <v>6091.33</v>
      </c>
      <c r="F126" s="7">
        <f>IFERROR(__xludf.DUMMYFUNCTION("""COMPUTED_VALUE"""),5580.53)</f>
        <v>5580.53</v>
      </c>
      <c r="G126" s="6">
        <f>IFERROR(__xludf.DUMMYFUNCTION("""COMPUTED_VALUE"""),125.0)</f>
        <v>125</v>
      </c>
      <c r="H126" s="7">
        <f>IFERROR(__xludf.DUMMYFUNCTION("""COMPUTED_VALUE"""),44.644239999999996)</f>
        <v>44.64424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IFERROR(__xludf.DUMMYFUNCTION("""COMPUTED_VALUE"""),2.0)</f>
        <v>2</v>
      </c>
      <c r="E127" s="7">
        <f>IFERROR(__xludf.DUMMYFUNCTION("""COMPUTED_VALUE"""),5613.56)</f>
        <v>5613.56</v>
      </c>
      <c r="F127" s="7">
        <f>IFERROR(__xludf.DUMMYFUNCTION("""COMPUTED_VALUE"""),5591.5)</f>
        <v>5591.5</v>
      </c>
      <c r="G127" s="6">
        <f>IFERROR(__xludf.DUMMYFUNCTION("""COMPUTED_VALUE"""),140.0)</f>
        <v>140</v>
      </c>
      <c r="H127" s="7">
        <f>IFERROR(__xludf.DUMMYFUNCTION("""COMPUTED_VALUE"""),39.93928571428572)</f>
        <v>39.93928571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IFERROR(__xludf.DUMMYFUNCTION("""COMPUTED_VALUE"""),1.0)</f>
        <v>1</v>
      </c>
      <c r="E128" s="7">
        <f>IFERROR(__xludf.DUMMYFUNCTION("""COMPUTED_VALUE"""),5975.08)</f>
        <v>5975.08</v>
      </c>
      <c r="F128" s="7">
        <f>IFERROR(__xludf.DUMMYFUNCTION("""COMPUTED_VALUE"""),5442.5)</f>
        <v>5442.5</v>
      </c>
      <c r="G128" s="6">
        <f>IFERROR(__xludf.DUMMYFUNCTION("""COMPUTED_VALUE"""),144.0)</f>
        <v>144</v>
      </c>
      <c r="H128" s="7">
        <f>IFERROR(__xludf.DUMMYFUNCTION("""COMPUTED_VALUE"""),37.795138888888886)</f>
        <v>37.79513889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IFERROR(__xludf.DUMMYFUNCTION("""COMPUTED_VALUE"""),2.0)</f>
        <v>2</v>
      </c>
      <c r="E129" s="7">
        <f>IFERROR(__xludf.DUMMYFUNCTION("""COMPUTED_VALUE"""),6020.09)</f>
        <v>6020.09</v>
      </c>
      <c r="F129" s="7">
        <f>IFERROR(__xludf.DUMMYFUNCTION("""COMPUTED_VALUE"""),5927.51)</f>
        <v>5927.51</v>
      </c>
      <c r="G129" s="6">
        <f>IFERROR(__xludf.DUMMYFUNCTION("""COMPUTED_VALUE"""),142.0)</f>
        <v>142</v>
      </c>
      <c r="H129" s="7">
        <f>IFERROR(__xludf.DUMMYFUNCTION("""COMPUTED_VALUE"""),41.74302816901409)</f>
        <v>41.74302817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IFERROR(__xludf.DUMMYFUNCTION("""COMPUTED_VALUE"""),1.0)</f>
        <v>1</v>
      </c>
      <c r="E130" s="7">
        <f>IFERROR(__xludf.DUMMYFUNCTION("""COMPUTED_VALUE"""),6043.81)</f>
        <v>6043.81</v>
      </c>
      <c r="F130" s="7">
        <f>IFERROR(__xludf.DUMMYFUNCTION("""COMPUTED_VALUE"""),6524.52)</f>
        <v>6524.52</v>
      </c>
      <c r="G130" s="6">
        <f>IFERROR(__xludf.DUMMYFUNCTION("""COMPUTED_VALUE"""),162.0)</f>
        <v>162</v>
      </c>
      <c r="H130" s="7">
        <f>IFERROR(__xludf.DUMMYFUNCTION("""COMPUTED_VALUE"""),40.27481481481482)</f>
        <v>40.27481481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IFERROR(__xludf.DUMMYFUNCTION("""COMPUTED_VALUE"""),2.0)</f>
        <v>2</v>
      </c>
      <c r="E131" s="7">
        <f>IFERROR(__xludf.DUMMYFUNCTION("""COMPUTED_VALUE"""),6924.42)</f>
        <v>6924.42</v>
      </c>
      <c r="F131" s="7">
        <f>IFERROR(__xludf.DUMMYFUNCTION("""COMPUTED_VALUE"""),6612.76)</f>
        <v>6612.76</v>
      </c>
      <c r="G131" s="6">
        <f>IFERROR(__xludf.DUMMYFUNCTION("""COMPUTED_VALUE"""),160.0)</f>
        <v>160</v>
      </c>
      <c r="H131" s="7">
        <f>IFERROR(__xludf.DUMMYFUNCTION("""COMPUTED_VALUE"""),41.329750000000004)</f>
        <v>41.32975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IFERROR(__xludf.DUMMYFUNCTION("""COMPUTED_VALUE"""),1.0)</f>
        <v>1</v>
      </c>
      <c r="E132" s="7">
        <f>IFERROR(__xludf.DUMMYFUNCTION("""COMPUTED_VALUE"""),5943.51)</f>
        <v>5943.51</v>
      </c>
      <c r="F132" s="7">
        <f>IFERROR(__xludf.DUMMYFUNCTION("""COMPUTED_VALUE"""),5674.0)</f>
        <v>5674</v>
      </c>
      <c r="G132" s="6">
        <f>IFERROR(__xludf.DUMMYFUNCTION("""COMPUTED_VALUE"""),120.0)</f>
        <v>120</v>
      </c>
      <c r="H132" s="7">
        <f>IFERROR(__xludf.DUMMYFUNCTION("""COMPUTED_VALUE"""),47.28333333333333)</f>
        <v>47.28333333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IFERROR(__xludf.DUMMYFUNCTION("""COMPUTED_VALUE"""),2.0)</f>
        <v>2</v>
      </c>
      <c r="E133" s="7">
        <f>IFERROR(__xludf.DUMMYFUNCTION("""COMPUTED_VALUE"""),6091.33)</f>
        <v>6091.33</v>
      </c>
      <c r="F133" s="7">
        <f>IFERROR(__xludf.DUMMYFUNCTION("""COMPUTED_VALUE"""),4326.75)</f>
        <v>4326.75</v>
      </c>
      <c r="G133" s="6">
        <f>IFERROR(__xludf.DUMMYFUNCTION("""COMPUTED_VALUE"""),110.0)</f>
        <v>110</v>
      </c>
      <c r="H133" s="7">
        <f>IFERROR(__xludf.DUMMYFUNCTION("""COMPUTED_VALUE"""),39.33409090909091)</f>
        <v>39.33409091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IFERROR(__xludf.DUMMYFUNCTION("""COMPUTED_VALUE"""),1.0)</f>
        <v>1</v>
      </c>
      <c r="E134" s="7">
        <f>IFERROR(__xludf.DUMMYFUNCTION("""COMPUTED_VALUE"""),5613.56)</f>
        <v>5613.56</v>
      </c>
      <c r="F134" s="7">
        <f>IFERROR(__xludf.DUMMYFUNCTION("""COMPUTED_VALUE"""),5737.51)</f>
        <v>5737.51</v>
      </c>
      <c r="G134" s="6">
        <f>IFERROR(__xludf.DUMMYFUNCTION("""COMPUTED_VALUE"""),132.0)</f>
        <v>132</v>
      </c>
      <c r="H134" s="7">
        <f>IFERROR(__xludf.DUMMYFUNCTION("""COMPUTED_VALUE"""),43.46598484848485)</f>
        <v>43.46598485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IFERROR(__xludf.DUMMYFUNCTION("""COMPUTED_VALUE"""),2.0)</f>
        <v>2</v>
      </c>
      <c r="E135" s="7">
        <f>IFERROR(__xludf.DUMMYFUNCTION("""COMPUTED_VALUE"""),5975.08)</f>
        <v>5975.08</v>
      </c>
      <c r="F135" s="7">
        <f>IFERROR(__xludf.DUMMYFUNCTION("""COMPUTED_VALUE"""),4953.75)</f>
        <v>4953.75</v>
      </c>
      <c r="G135" s="6">
        <f>IFERROR(__xludf.DUMMYFUNCTION("""COMPUTED_VALUE"""),126.0)</f>
        <v>126</v>
      </c>
      <c r="H135" s="7">
        <f>IFERROR(__xludf.DUMMYFUNCTION("""COMPUTED_VALUE"""),39.31547619047619)</f>
        <v>39.31547619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IFERROR(__xludf.DUMMYFUNCTION("""COMPUTED_VALUE"""),1.0)</f>
        <v>1</v>
      </c>
      <c r="E136" s="7">
        <f>IFERROR(__xludf.DUMMYFUNCTION("""COMPUTED_VALUE"""),6020.09)</f>
        <v>6020.09</v>
      </c>
      <c r="F136" s="7">
        <f>IFERROR(__xludf.DUMMYFUNCTION("""COMPUTED_VALUE"""),5613.75)</f>
        <v>5613.75</v>
      </c>
      <c r="G136" s="6">
        <f>IFERROR(__xludf.DUMMYFUNCTION("""COMPUTED_VALUE"""),131.0)</f>
        <v>131</v>
      </c>
      <c r="H136" s="7">
        <f>IFERROR(__xludf.DUMMYFUNCTION("""COMPUTED_VALUE"""),42.853053435114504)</f>
        <v>42.85305344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IFERROR(__xludf.DUMMYFUNCTION("""COMPUTED_VALUE"""),2.0)</f>
        <v>2</v>
      </c>
      <c r="E137" s="7">
        <f>IFERROR(__xludf.DUMMYFUNCTION("""COMPUTED_VALUE"""),6043.81)</f>
        <v>6043.81</v>
      </c>
      <c r="F137" s="7">
        <f>IFERROR(__xludf.DUMMYFUNCTION("""COMPUTED_VALUE"""),4190.01)</f>
        <v>4190.01</v>
      </c>
      <c r="G137" s="6">
        <f>IFERROR(__xludf.DUMMYFUNCTION("""COMPUTED_VALUE"""),127.0)</f>
        <v>127</v>
      </c>
      <c r="H137" s="7">
        <f>IFERROR(__xludf.DUMMYFUNCTION("""COMPUTED_VALUE"""),32.99220472440945)</f>
        <v>32.99220472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IFERROR(__xludf.DUMMYFUNCTION("""COMPUTED_VALUE"""),1.0)</f>
        <v>1</v>
      </c>
      <c r="E138" s="7">
        <f>IFERROR(__xludf.DUMMYFUNCTION("""COMPUTED_VALUE"""),6924.42)</f>
        <v>6924.42</v>
      </c>
      <c r="F138" s="7">
        <f>IFERROR(__xludf.DUMMYFUNCTION("""COMPUTED_VALUE"""),6291.53)</f>
        <v>6291.53</v>
      </c>
      <c r="G138" s="6">
        <f>IFERROR(__xludf.DUMMYFUNCTION("""COMPUTED_VALUE"""),127.0)</f>
        <v>127</v>
      </c>
      <c r="H138" s="7">
        <f>IFERROR(__xludf.DUMMYFUNCTION("""COMPUTED_VALUE"""),49.53960629921259)</f>
        <v>49.5396063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IFERROR(__xludf.DUMMYFUNCTION("""COMPUTED_VALUE"""),2.0)</f>
        <v>2</v>
      </c>
      <c r="E139" s="7">
        <f>IFERROR(__xludf.DUMMYFUNCTION("""COMPUTED_VALUE"""),5943.51)</f>
        <v>5943.51</v>
      </c>
      <c r="F139" s="7">
        <f>IFERROR(__xludf.DUMMYFUNCTION("""COMPUTED_VALUE"""),5323.27)</f>
        <v>5323.27</v>
      </c>
      <c r="G139" s="6">
        <f>IFERROR(__xludf.DUMMYFUNCTION("""COMPUTED_VALUE"""),111.0)</f>
        <v>111</v>
      </c>
      <c r="H139" s="7">
        <f>IFERROR(__xludf.DUMMYFUNCTION("""COMPUTED_VALUE"""),47.95738738738739)</f>
        <v>47.95738739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IFERROR(__xludf.DUMMYFUNCTION("""COMPUTED_VALUE"""),1.0)</f>
        <v>1</v>
      </c>
      <c r="E140" s="7">
        <f>IFERROR(__xludf.DUMMYFUNCTION("""COMPUTED_VALUE"""),6091.33)</f>
        <v>6091.33</v>
      </c>
      <c r="F140" s="7">
        <f>IFERROR(__xludf.DUMMYFUNCTION("""COMPUTED_VALUE"""),5110.53)</f>
        <v>5110.53</v>
      </c>
      <c r="G140" s="6">
        <f>IFERROR(__xludf.DUMMYFUNCTION("""COMPUTED_VALUE"""),111.0)</f>
        <v>111</v>
      </c>
      <c r="H140" s="7">
        <f>IFERROR(__xludf.DUMMYFUNCTION("""COMPUTED_VALUE"""),46.04081081081081)</f>
        <v>46.04081081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IFERROR(__xludf.DUMMYFUNCTION("""COMPUTED_VALUE"""),2.0)</f>
        <v>2</v>
      </c>
      <c r="E141" s="7">
        <f>IFERROR(__xludf.DUMMYFUNCTION("""COMPUTED_VALUE"""),5613.56)</f>
        <v>5613.56</v>
      </c>
      <c r="F141" s="7">
        <f>IFERROR(__xludf.DUMMYFUNCTION("""COMPUTED_VALUE"""),5426.25)</f>
        <v>5426.25</v>
      </c>
      <c r="G141" s="6">
        <f>IFERROR(__xludf.DUMMYFUNCTION("""COMPUTED_VALUE"""),141.0)</f>
        <v>141</v>
      </c>
      <c r="H141" s="7">
        <f>IFERROR(__xludf.DUMMYFUNCTION("""COMPUTED_VALUE"""),38.484042553191486)</f>
        <v>38.48404255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IFERROR(__xludf.DUMMYFUNCTION("""COMPUTED_VALUE"""),1.0)</f>
        <v>1</v>
      </c>
      <c r="E142" s="7">
        <f>IFERROR(__xludf.DUMMYFUNCTION("""COMPUTED_VALUE"""),5975.08)</f>
        <v>5975.08</v>
      </c>
      <c r="F142" s="7">
        <f>IFERROR(__xludf.DUMMYFUNCTION("""COMPUTED_VALUE"""),5119.75)</f>
        <v>5119.75</v>
      </c>
      <c r="G142" s="6">
        <f>IFERROR(__xludf.DUMMYFUNCTION("""COMPUTED_VALUE"""),121.0)</f>
        <v>121</v>
      </c>
      <c r="H142" s="7">
        <f>IFERROR(__xludf.DUMMYFUNCTION("""COMPUTED_VALUE"""),42.31198347107438)</f>
        <v>42.31198347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IFERROR(__xludf.DUMMYFUNCTION("""COMPUTED_VALUE"""),2.0)</f>
        <v>2</v>
      </c>
      <c r="E143" s="7">
        <f>IFERROR(__xludf.DUMMYFUNCTION("""COMPUTED_VALUE"""),6020.09)</f>
        <v>6020.09</v>
      </c>
      <c r="F143" s="7">
        <f>IFERROR(__xludf.DUMMYFUNCTION("""COMPUTED_VALUE"""),5490.75)</f>
        <v>5490.75</v>
      </c>
      <c r="G143" s="6">
        <f>IFERROR(__xludf.DUMMYFUNCTION("""COMPUTED_VALUE"""),136.0)</f>
        <v>136</v>
      </c>
      <c r="H143" s="7">
        <f>IFERROR(__xludf.DUMMYFUNCTION("""COMPUTED_VALUE"""),40.373161764705884)</f>
        <v>40.37316176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IFERROR(__xludf.DUMMYFUNCTION("""COMPUTED_VALUE"""),1.0)</f>
        <v>1</v>
      </c>
      <c r="E144" s="7">
        <f>IFERROR(__xludf.DUMMYFUNCTION("""COMPUTED_VALUE"""),6043.81)</f>
        <v>6043.81</v>
      </c>
      <c r="F144" s="7">
        <f>IFERROR(__xludf.DUMMYFUNCTION("""COMPUTED_VALUE"""),6433.26)</f>
        <v>6433.26</v>
      </c>
      <c r="G144" s="6">
        <f>IFERROR(__xludf.DUMMYFUNCTION("""COMPUTED_VALUE"""),140.0)</f>
        <v>140</v>
      </c>
      <c r="H144" s="7">
        <f>IFERROR(__xludf.DUMMYFUNCTION("""COMPUTED_VALUE"""),45.95185714285714)</f>
        <v>45.95185714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IFERROR(__xludf.DUMMYFUNCTION("""COMPUTED_VALUE"""),2.0)</f>
        <v>2</v>
      </c>
      <c r="E145" s="7">
        <f>IFERROR(__xludf.DUMMYFUNCTION("""COMPUTED_VALUE"""),6924.42)</f>
        <v>6924.42</v>
      </c>
      <c r="F145" s="7">
        <f>IFERROR(__xludf.DUMMYFUNCTION("""COMPUTED_VALUE"""),6698.26)</f>
        <v>6698.26</v>
      </c>
      <c r="G145" s="6">
        <f>IFERROR(__xludf.DUMMYFUNCTION("""COMPUTED_VALUE"""),146.0)</f>
        <v>146</v>
      </c>
      <c r="H145" s="7">
        <f>IFERROR(__xludf.DUMMYFUNCTION("""COMPUTED_VALUE"""),45.87849315068493)</f>
        <v>45.87849315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IFERROR(__xludf.DUMMYFUNCTION("""COMPUTED_VALUE"""),1.0)</f>
        <v>1</v>
      </c>
      <c r="E146" s="7">
        <f>IFERROR(__xludf.DUMMYFUNCTION("""COMPUTED_VALUE"""),5943.51)</f>
        <v>5943.51</v>
      </c>
      <c r="F146" s="7">
        <f>IFERROR(__xludf.DUMMYFUNCTION("""COMPUTED_VALUE"""),5204.0)</f>
        <v>5204</v>
      </c>
      <c r="G146" s="6">
        <f>IFERROR(__xludf.DUMMYFUNCTION("""COMPUTED_VALUE"""),117.0)</f>
        <v>117</v>
      </c>
      <c r="H146" s="7">
        <f>IFERROR(__xludf.DUMMYFUNCTION("""COMPUTED_VALUE"""),44.47863247863248)</f>
        <v>44.47863248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IFERROR(__xludf.DUMMYFUNCTION("""COMPUTED_VALUE"""),2.0)</f>
        <v>2</v>
      </c>
      <c r="E147" s="7">
        <f>IFERROR(__xludf.DUMMYFUNCTION("""COMPUTED_VALUE"""),6091.33)</f>
        <v>6091.33</v>
      </c>
      <c r="F147" s="7">
        <f>IFERROR(__xludf.DUMMYFUNCTION("""COMPUTED_VALUE"""),4265.5)</f>
        <v>4265.5</v>
      </c>
      <c r="G147" s="6">
        <f>IFERROR(__xludf.DUMMYFUNCTION("""COMPUTED_VALUE"""),113.0)</f>
        <v>113</v>
      </c>
      <c r="H147" s="7">
        <f>IFERROR(__xludf.DUMMYFUNCTION("""COMPUTED_VALUE"""),37.74778761061947)</f>
        <v>37.74778761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IFERROR(__xludf.DUMMYFUNCTION("""COMPUTED_VALUE"""),1.0)</f>
        <v>1</v>
      </c>
      <c r="E148" s="7">
        <f>IFERROR(__xludf.DUMMYFUNCTION("""COMPUTED_VALUE"""),5613.56)</f>
        <v>5613.56</v>
      </c>
      <c r="F148" s="7">
        <f>IFERROR(__xludf.DUMMYFUNCTION("""COMPUTED_VALUE"""),5435.0)</f>
        <v>5435</v>
      </c>
      <c r="G148" s="6">
        <f>IFERROR(__xludf.DUMMYFUNCTION("""COMPUTED_VALUE"""),135.0)</f>
        <v>135</v>
      </c>
      <c r="H148" s="7">
        <f>IFERROR(__xludf.DUMMYFUNCTION("""COMPUTED_VALUE"""),40.25925925925926)</f>
        <v>40.25925926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IFERROR(__xludf.DUMMYFUNCTION("""COMPUTED_VALUE"""),2.0)</f>
        <v>2</v>
      </c>
      <c r="E149" s="7">
        <f>IFERROR(__xludf.DUMMYFUNCTION("""COMPUTED_VALUE"""),5975.08)</f>
        <v>5975.08</v>
      </c>
      <c r="F149" s="7">
        <f>IFERROR(__xludf.DUMMYFUNCTION("""COMPUTED_VALUE"""),5944.5)</f>
        <v>5944.5</v>
      </c>
      <c r="G149" s="6">
        <f>IFERROR(__xludf.DUMMYFUNCTION("""COMPUTED_VALUE"""),128.0)</f>
        <v>128</v>
      </c>
      <c r="H149" s="7">
        <f>IFERROR(__xludf.DUMMYFUNCTION("""COMPUTED_VALUE"""),46.44140625)</f>
        <v>46.44140625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IFERROR(__xludf.DUMMYFUNCTION("""COMPUTED_VALUE"""),1.0)</f>
        <v>1</v>
      </c>
      <c r="E150" s="7">
        <f>IFERROR(__xludf.DUMMYFUNCTION("""COMPUTED_VALUE"""),6020.09)</f>
        <v>6020.09</v>
      </c>
      <c r="F150" s="7">
        <f>IFERROR(__xludf.DUMMYFUNCTION("""COMPUTED_VALUE"""),5554.5)</f>
        <v>5554.5</v>
      </c>
      <c r="G150" s="6">
        <f>IFERROR(__xludf.DUMMYFUNCTION("""COMPUTED_VALUE"""),126.0)</f>
        <v>126</v>
      </c>
      <c r="H150" s="7">
        <f>IFERROR(__xludf.DUMMYFUNCTION("""COMPUTED_VALUE"""),44.083333333333336)</f>
        <v>44.08333333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IFERROR(__xludf.DUMMYFUNCTION("""COMPUTED_VALUE"""),2.0)</f>
        <v>2</v>
      </c>
      <c r="E151" s="7">
        <f>IFERROR(__xludf.DUMMYFUNCTION("""COMPUTED_VALUE"""),6043.81)</f>
        <v>6043.81</v>
      </c>
      <c r="F151" s="7">
        <f>IFERROR(__xludf.DUMMYFUNCTION("""COMPUTED_VALUE"""),5290.56)</f>
        <v>5290.56</v>
      </c>
      <c r="G151" s="6">
        <f>IFERROR(__xludf.DUMMYFUNCTION("""COMPUTED_VALUE"""),136.0)</f>
        <v>136</v>
      </c>
      <c r="H151" s="7">
        <f>IFERROR(__xludf.DUMMYFUNCTION("""COMPUTED_VALUE"""),38.90117647058824)</f>
        <v>38.90117647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IFERROR(__xludf.DUMMYFUNCTION("""COMPUTED_VALUE"""),1.0)</f>
        <v>1</v>
      </c>
      <c r="E152" s="7">
        <f>IFERROR(__xludf.DUMMYFUNCTION("""COMPUTED_VALUE"""),6924.42)</f>
        <v>6924.42</v>
      </c>
      <c r="F152" s="7">
        <f>IFERROR(__xludf.DUMMYFUNCTION("""COMPUTED_VALUE"""),6506.0)</f>
        <v>6506</v>
      </c>
      <c r="G152" s="6">
        <f>IFERROR(__xludf.DUMMYFUNCTION("""COMPUTED_VALUE"""),137.0)</f>
        <v>137</v>
      </c>
      <c r="H152" s="7">
        <f>IFERROR(__xludf.DUMMYFUNCTION("""COMPUTED_VALUE"""),47.48905109489051)</f>
        <v>47.48905109</v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IFERROR(__xludf.DUMMYFUNCTION("""COMPUTED_VALUE"""),2.0)</f>
        <v>2</v>
      </c>
      <c r="E153" s="7">
        <f>IFERROR(__xludf.DUMMYFUNCTION("""COMPUTED_VALUE"""),5837.73)</f>
        <v>5837.73</v>
      </c>
      <c r="F153" s="7">
        <f>IFERROR(__xludf.DUMMYFUNCTION("""COMPUTED_VALUE"""),5193.25)</f>
        <v>5193.25</v>
      </c>
      <c r="G153" s="6">
        <f>IFERROR(__xludf.DUMMYFUNCTION("""COMPUTED_VALUE"""),121.0)</f>
        <v>121</v>
      </c>
      <c r="H153" s="7">
        <f>IFERROR(__xludf.DUMMYFUNCTION("""COMPUTED_VALUE"""),42.91942148760331)</f>
        <v>42.91942149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IFERROR(__xludf.DUMMYFUNCTION("""COMPUTED_VALUE"""),1.0)</f>
        <v>1</v>
      </c>
      <c r="E154" s="7">
        <f>IFERROR(__xludf.DUMMYFUNCTION("""COMPUTED_VALUE"""),6072.95)</f>
        <v>6072.95</v>
      </c>
      <c r="F154" s="7">
        <f>IFERROR(__xludf.DUMMYFUNCTION("""COMPUTED_VALUE"""),5697.27)</f>
        <v>5697.27</v>
      </c>
      <c r="G154" s="6">
        <f>IFERROR(__xludf.DUMMYFUNCTION("""COMPUTED_VALUE"""),134.0)</f>
        <v>134</v>
      </c>
      <c r="H154" s="7">
        <f>IFERROR(__xludf.DUMMYFUNCTION("""COMPUTED_VALUE"""),42.516940298507464)</f>
        <v>42.5169403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IFERROR(__xludf.DUMMYFUNCTION("""COMPUTED_VALUE"""),2.0)</f>
        <v>2</v>
      </c>
      <c r="E155" s="7">
        <f>IFERROR(__xludf.DUMMYFUNCTION("""COMPUTED_VALUE"""),5780.23)</f>
        <v>5780.23</v>
      </c>
      <c r="F155" s="7">
        <f>IFERROR(__xludf.DUMMYFUNCTION("""COMPUTED_VALUE"""),4317.75)</f>
        <v>4317.75</v>
      </c>
      <c r="G155" s="6">
        <f>IFERROR(__xludf.DUMMYFUNCTION("""COMPUTED_VALUE"""),108.0)</f>
        <v>108</v>
      </c>
      <c r="H155" s="7">
        <f>IFERROR(__xludf.DUMMYFUNCTION("""COMPUTED_VALUE"""),39.979166666666664)</f>
        <v>39.97916667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IFERROR(__xludf.DUMMYFUNCTION("""COMPUTED_VALUE"""),1.0)</f>
        <v>1</v>
      </c>
      <c r="E156" s="7">
        <f>IFERROR(__xludf.DUMMYFUNCTION("""COMPUTED_VALUE"""),6107.68)</f>
        <v>6107.68</v>
      </c>
      <c r="F156" s="7">
        <f>IFERROR(__xludf.DUMMYFUNCTION("""COMPUTED_VALUE"""),5293.51)</f>
        <v>5293.51</v>
      </c>
      <c r="G156" s="6">
        <f>IFERROR(__xludf.DUMMYFUNCTION("""COMPUTED_VALUE"""),134.0)</f>
        <v>134</v>
      </c>
      <c r="H156" s="7">
        <f>IFERROR(__xludf.DUMMYFUNCTION("""COMPUTED_VALUE"""),39.50380597014926)</f>
        <v>39.50380597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IFERROR(__xludf.DUMMYFUNCTION("""COMPUTED_VALUE"""),2.0)</f>
        <v>2</v>
      </c>
      <c r="E157" s="7">
        <f>IFERROR(__xludf.DUMMYFUNCTION("""COMPUTED_VALUE"""),6237.38)</f>
        <v>6237.38</v>
      </c>
      <c r="F157" s="7">
        <f>IFERROR(__xludf.DUMMYFUNCTION("""COMPUTED_VALUE"""),5534.75)</f>
        <v>5534.75</v>
      </c>
      <c r="G157" s="6">
        <f>IFERROR(__xludf.DUMMYFUNCTION("""COMPUTED_VALUE"""),138.0)</f>
        <v>138</v>
      </c>
      <c r="H157" s="7">
        <f>IFERROR(__xludf.DUMMYFUNCTION("""COMPUTED_VALUE"""),40.106884057971016)</f>
        <v>40.10688406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IFERROR(__xludf.DUMMYFUNCTION("""COMPUTED_VALUE"""),1.0)</f>
        <v>1</v>
      </c>
      <c r="E158" s="7">
        <f>IFERROR(__xludf.DUMMYFUNCTION("""COMPUTED_VALUE"""),6131.47)</f>
        <v>6131.47</v>
      </c>
      <c r="F158" s="7">
        <f>IFERROR(__xludf.DUMMYFUNCTION("""COMPUTED_VALUE"""),4842.75)</f>
        <v>4842.75</v>
      </c>
      <c r="G158" s="6">
        <f>IFERROR(__xludf.DUMMYFUNCTION("""COMPUTED_VALUE"""),115.0)</f>
        <v>115</v>
      </c>
      <c r="H158" s="7">
        <f>IFERROR(__xludf.DUMMYFUNCTION("""COMPUTED_VALUE"""),42.11086956521739)</f>
        <v>42.11086957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IFERROR(__xludf.DUMMYFUNCTION("""COMPUTED_VALUE"""),2.0)</f>
        <v>2</v>
      </c>
      <c r="E159" s="7">
        <f>IFERROR(__xludf.DUMMYFUNCTION("""COMPUTED_VALUE"""),6746.39)</f>
        <v>6746.39</v>
      </c>
      <c r="F159" s="7">
        <f>IFERROR(__xludf.DUMMYFUNCTION("""COMPUTED_VALUE"""),6439.5)</f>
        <v>6439.5</v>
      </c>
      <c r="G159" s="6">
        <f>IFERROR(__xludf.DUMMYFUNCTION("""COMPUTED_VALUE"""),137.0)</f>
        <v>137</v>
      </c>
      <c r="H159" s="7">
        <f>IFERROR(__xludf.DUMMYFUNCTION("""COMPUTED_VALUE"""),47.003649635036496)</f>
        <v>47.00364964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IFERROR(__xludf.DUMMYFUNCTION("""COMPUTED_VALUE"""),1.0)</f>
        <v>1</v>
      </c>
      <c r="E160" s="7">
        <f>IFERROR(__xludf.DUMMYFUNCTION("""COMPUTED_VALUE"""),5837.73)</f>
        <v>5837.73</v>
      </c>
      <c r="F160" s="7">
        <f>IFERROR(__xludf.DUMMYFUNCTION("""COMPUTED_VALUE"""),4094.5)</f>
        <v>4094.5</v>
      </c>
      <c r="G160" s="6">
        <f>IFERROR(__xludf.DUMMYFUNCTION("""COMPUTED_VALUE"""),100.0)</f>
        <v>100</v>
      </c>
      <c r="H160" s="7">
        <f>IFERROR(__xludf.DUMMYFUNCTION("""COMPUTED_VALUE"""),40.945)</f>
        <v>40.945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IFERROR(__xludf.DUMMYFUNCTION("""COMPUTED_VALUE"""),2.0)</f>
        <v>2</v>
      </c>
      <c r="E161" s="7">
        <f>IFERROR(__xludf.DUMMYFUNCTION("""COMPUTED_VALUE"""),6072.95)</f>
        <v>6072.95</v>
      </c>
      <c r="F161" s="7">
        <f>IFERROR(__xludf.DUMMYFUNCTION("""COMPUTED_VALUE"""),4391.5)</f>
        <v>4391.5</v>
      </c>
      <c r="G161" s="6">
        <f>IFERROR(__xludf.DUMMYFUNCTION("""COMPUTED_VALUE"""),100.0)</f>
        <v>100</v>
      </c>
      <c r="H161" s="7">
        <f>IFERROR(__xludf.DUMMYFUNCTION("""COMPUTED_VALUE"""),43.915)</f>
        <v>43.915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IFERROR(__xludf.DUMMYFUNCTION("""COMPUTED_VALUE"""),1.0)</f>
        <v>1</v>
      </c>
      <c r="E162" s="7">
        <f>IFERROR(__xludf.DUMMYFUNCTION("""COMPUTED_VALUE"""),5780.23)</f>
        <v>5780.23</v>
      </c>
      <c r="F162" s="7">
        <f>IFERROR(__xludf.DUMMYFUNCTION("""COMPUTED_VALUE"""),4964.15)</f>
        <v>4964.15</v>
      </c>
      <c r="G162" s="6">
        <f>IFERROR(__xludf.DUMMYFUNCTION("""COMPUTED_VALUE"""),124.0)</f>
        <v>124</v>
      </c>
      <c r="H162" s="7">
        <f>IFERROR(__xludf.DUMMYFUNCTION("""COMPUTED_VALUE"""),40.03346774193548)</f>
        <v>40.03346774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IFERROR(__xludf.DUMMYFUNCTION("""COMPUTED_VALUE"""),2.0)</f>
        <v>2</v>
      </c>
      <c r="E163" s="7">
        <f>IFERROR(__xludf.DUMMYFUNCTION("""COMPUTED_VALUE"""),6107.68)</f>
        <v>6107.68</v>
      </c>
      <c r="F163" s="7">
        <f>IFERROR(__xludf.DUMMYFUNCTION("""COMPUTED_VALUE"""),5189.25)</f>
        <v>5189.25</v>
      </c>
      <c r="G163" s="6">
        <f>IFERROR(__xludf.DUMMYFUNCTION("""COMPUTED_VALUE"""),129.0)</f>
        <v>129</v>
      </c>
      <c r="H163" s="7">
        <f>IFERROR(__xludf.DUMMYFUNCTION("""COMPUTED_VALUE"""),40.22674418604651)</f>
        <v>40.22674419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IFERROR(__xludf.DUMMYFUNCTION("""COMPUTED_VALUE"""),1.0)</f>
        <v>1</v>
      </c>
      <c r="E164" s="7">
        <f>IFERROR(__xludf.DUMMYFUNCTION("""COMPUTED_VALUE"""),6237.38)</f>
        <v>6237.38</v>
      </c>
      <c r="F164" s="7">
        <f>IFERROR(__xludf.DUMMYFUNCTION("""COMPUTED_VALUE"""),6545.75)</f>
        <v>6545.75</v>
      </c>
      <c r="G164" s="6">
        <f>IFERROR(__xludf.DUMMYFUNCTION("""COMPUTED_VALUE"""),155.0)</f>
        <v>155</v>
      </c>
      <c r="H164" s="7">
        <f>IFERROR(__xludf.DUMMYFUNCTION("""COMPUTED_VALUE"""),42.230645161290326)</f>
        <v>42.23064516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IFERROR(__xludf.DUMMYFUNCTION("""COMPUTED_VALUE"""),2.0)</f>
        <v>2</v>
      </c>
      <c r="E165" s="7">
        <f>IFERROR(__xludf.DUMMYFUNCTION("""COMPUTED_VALUE"""),6131.47)</f>
        <v>6131.47</v>
      </c>
      <c r="F165" s="7">
        <f>IFERROR(__xludf.DUMMYFUNCTION("""COMPUTED_VALUE"""),5333.0)</f>
        <v>5333</v>
      </c>
      <c r="G165" s="6">
        <f>IFERROR(__xludf.DUMMYFUNCTION("""COMPUTED_VALUE"""),111.0)</f>
        <v>111</v>
      </c>
      <c r="H165" s="7">
        <f>IFERROR(__xludf.DUMMYFUNCTION("""COMPUTED_VALUE"""),48.04504504504504)</f>
        <v>48.04504505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IFERROR(__xludf.DUMMYFUNCTION("""COMPUTED_VALUE"""),1.0)</f>
        <v>1</v>
      </c>
      <c r="E166" s="7">
        <f>IFERROR(__xludf.DUMMYFUNCTION("""COMPUTED_VALUE"""),6746.39)</f>
        <v>6746.39</v>
      </c>
      <c r="F166" s="7">
        <f>IFERROR(__xludf.DUMMYFUNCTION("""COMPUTED_VALUE"""),7200.01)</f>
        <v>7200.01</v>
      </c>
      <c r="G166" s="6">
        <f>IFERROR(__xludf.DUMMYFUNCTION("""COMPUTED_VALUE"""),150.0)</f>
        <v>150</v>
      </c>
      <c r="H166" s="7">
        <f>IFERROR(__xludf.DUMMYFUNCTION("""COMPUTED_VALUE"""),48.00006666666667)</f>
        <v>48.00006667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IFERROR(__xludf.DUMMYFUNCTION("""COMPUTED_VALUE"""),2.0)</f>
        <v>2</v>
      </c>
      <c r="E167" s="7">
        <f>IFERROR(__xludf.DUMMYFUNCTION("""COMPUTED_VALUE"""),5837.73)</f>
        <v>5837.73</v>
      </c>
      <c r="F167" s="7">
        <f>IFERROR(__xludf.DUMMYFUNCTION("""COMPUTED_VALUE"""),5326.5)</f>
        <v>5326.5</v>
      </c>
      <c r="G167" s="6">
        <f>IFERROR(__xludf.DUMMYFUNCTION("""COMPUTED_VALUE"""),112.0)</f>
        <v>112</v>
      </c>
      <c r="H167" s="7">
        <f>IFERROR(__xludf.DUMMYFUNCTION("""COMPUTED_VALUE"""),47.558035714285715)</f>
        <v>47.55803571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IFERROR(__xludf.DUMMYFUNCTION("""COMPUTED_VALUE"""),1.0)</f>
        <v>1</v>
      </c>
      <c r="E168" s="7">
        <f>IFERROR(__xludf.DUMMYFUNCTION("""COMPUTED_VALUE"""),6072.95)</f>
        <v>6072.95</v>
      </c>
      <c r="F168" s="7">
        <f>IFERROR(__xludf.DUMMYFUNCTION("""COMPUTED_VALUE"""),5026.0)</f>
        <v>5026</v>
      </c>
      <c r="G168" s="6">
        <f>IFERROR(__xludf.DUMMYFUNCTION("""COMPUTED_VALUE"""),119.0)</f>
        <v>119</v>
      </c>
      <c r="H168" s="7">
        <f>IFERROR(__xludf.DUMMYFUNCTION("""COMPUTED_VALUE"""),42.23529411764706)</f>
        <v>42.23529412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IFERROR(__xludf.DUMMYFUNCTION("""COMPUTED_VALUE"""),2.0)</f>
        <v>2</v>
      </c>
      <c r="E169" s="7">
        <f>IFERROR(__xludf.DUMMYFUNCTION("""COMPUTED_VALUE"""),5780.23)</f>
        <v>5780.23</v>
      </c>
      <c r="F169" s="7">
        <f>IFERROR(__xludf.DUMMYFUNCTION("""COMPUTED_VALUE"""),5887.0)</f>
        <v>5887</v>
      </c>
      <c r="G169" s="6">
        <f>IFERROR(__xludf.DUMMYFUNCTION("""COMPUTED_VALUE"""),144.0)</f>
        <v>144</v>
      </c>
      <c r="H169" s="7">
        <f>IFERROR(__xludf.DUMMYFUNCTION("""COMPUTED_VALUE"""),40.88194444444444)</f>
        <v>40.88194444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IFERROR(__xludf.DUMMYFUNCTION("""COMPUTED_VALUE"""),1.0)</f>
        <v>1</v>
      </c>
      <c r="E170" s="7">
        <f>IFERROR(__xludf.DUMMYFUNCTION("""COMPUTED_VALUE"""),6107.68)</f>
        <v>6107.68</v>
      </c>
      <c r="F170" s="7">
        <f>IFERROR(__xludf.DUMMYFUNCTION("""COMPUTED_VALUE"""),4456.5)</f>
        <v>4456.5</v>
      </c>
      <c r="G170" s="6">
        <f>IFERROR(__xludf.DUMMYFUNCTION("""COMPUTED_VALUE"""),114.0)</f>
        <v>114</v>
      </c>
      <c r="H170" s="7">
        <f>IFERROR(__xludf.DUMMYFUNCTION("""COMPUTED_VALUE"""),39.0921052631579)</f>
        <v>39.09210526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IFERROR(__xludf.DUMMYFUNCTION("""COMPUTED_VALUE"""),2.0)</f>
        <v>2</v>
      </c>
      <c r="E171" s="7">
        <f>IFERROR(__xludf.DUMMYFUNCTION("""COMPUTED_VALUE"""),6237.38)</f>
        <v>6237.38</v>
      </c>
      <c r="F171" s="7">
        <f>IFERROR(__xludf.DUMMYFUNCTION("""COMPUTED_VALUE"""),5131.0)</f>
        <v>5131</v>
      </c>
      <c r="G171" s="6">
        <f>IFERROR(__xludf.DUMMYFUNCTION("""COMPUTED_VALUE"""),107.0)</f>
        <v>107</v>
      </c>
      <c r="H171" s="7">
        <f>IFERROR(__xludf.DUMMYFUNCTION("""COMPUTED_VALUE"""),47.953271028037385)</f>
        <v>47.95327103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IFERROR(__xludf.DUMMYFUNCTION("""COMPUTED_VALUE"""),1.0)</f>
        <v>1</v>
      </c>
      <c r="E172" s="7">
        <f>IFERROR(__xludf.DUMMYFUNCTION("""COMPUTED_VALUE"""),6131.47)</f>
        <v>6131.47</v>
      </c>
      <c r="F172" s="7">
        <f>IFERROR(__xludf.DUMMYFUNCTION("""COMPUTED_VALUE"""),5846.5)</f>
        <v>5846.5</v>
      </c>
      <c r="G172" s="6">
        <f>IFERROR(__xludf.DUMMYFUNCTION("""COMPUTED_VALUE"""),134.0)</f>
        <v>134</v>
      </c>
      <c r="H172" s="7">
        <f>IFERROR(__xludf.DUMMYFUNCTION("""COMPUTED_VALUE"""),43.63059701492537)</f>
        <v>43.63059701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IFERROR(__xludf.DUMMYFUNCTION("""COMPUTED_VALUE"""),2.0)</f>
        <v>2</v>
      </c>
      <c r="E173" s="7">
        <f>IFERROR(__xludf.DUMMYFUNCTION("""COMPUTED_VALUE"""),6746.39)</f>
        <v>6746.39</v>
      </c>
      <c r="F173" s="7">
        <f>IFERROR(__xludf.DUMMYFUNCTION("""COMPUTED_VALUE"""),6270.5)</f>
        <v>6270.5</v>
      </c>
      <c r="G173" s="6">
        <f>IFERROR(__xludf.DUMMYFUNCTION("""COMPUTED_VALUE"""),136.0)</f>
        <v>136</v>
      </c>
      <c r="H173" s="7">
        <f>IFERROR(__xludf.DUMMYFUNCTION("""COMPUTED_VALUE"""),46.106617647058826)</f>
        <v>46.10661765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IFERROR(__xludf.DUMMYFUNCTION("""COMPUTED_VALUE"""),1.0)</f>
        <v>1</v>
      </c>
      <c r="E174" s="7">
        <f>IFERROR(__xludf.DUMMYFUNCTION("""COMPUTED_VALUE"""),5837.73)</f>
        <v>5837.73</v>
      </c>
      <c r="F174" s="7">
        <f>IFERROR(__xludf.DUMMYFUNCTION("""COMPUTED_VALUE"""),4327.0)</f>
        <v>4327</v>
      </c>
      <c r="G174" s="6">
        <f>IFERROR(__xludf.DUMMYFUNCTION("""COMPUTED_VALUE"""),101.0)</f>
        <v>101</v>
      </c>
      <c r="H174" s="7">
        <f>IFERROR(__xludf.DUMMYFUNCTION("""COMPUTED_VALUE"""),42.84158415841584)</f>
        <v>42.84158416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IFERROR(__xludf.DUMMYFUNCTION("""COMPUTED_VALUE"""),2.0)</f>
        <v>2</v>
      </c>
      <c r="E175" s="7">
        <f>IFERROR(__xludf.DUMMYFUNCTION("""COMPUTED_VALUE"""),6072.95)</f>
        <v>6072.95</v>
      </c>
      <c r="F175" s="7">
        <f>IFERROR(__xludf.DUMMYFUNCTION("""COMPUTED_VALUE"""),4365.0)</f>
        <v>4365</v>
      </c>
      <c r="G175" s="6">
        <f>IFERROR(__xludf.DUMMYFUNCTION("""COMPUTED_VALUE"""),102.0)</f>
        <v>102</v>
      </c>
      <c r="H175" s="7">
        <f>IFERROR(__xludf.DUMMYFUNCTION("""COMPUTED_VALUE"""),42.794117647058826)</f>
        <v>42.79411765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IFERROR(__xludf.DUMMYFUNCTION("""COMPUTED_VALUE"""),1.0)</f>
        <v>1</v>
      </c>
      <c r="E176" s="7">
        <f>IFERROR(__xludf.DUMMYFUNCTION("""COMPUTED_VALUE"""),5780.23)</f>
        <v>5780.23</v>
      </c>
      <c r="F176" s="7">
        <f>IFERROR(__xludf.DUMMYFUNCTION("""COMPUTED_VALUE"""),5182.0)</f>
        <v>5182</v>
      </c>
      <c r="G176" s="6">
        <f>IFERROR(__xludf.DUMMYFUNCTION("""COMPUTED_VALUE"""),144.0)</f>
        <v>144</v>
      </c>
      <c r="H176" s="7">
        <f>IFERROR(__xludf.DUMMYFUNCTION("""COMPUTED_VALUE"""),35.986111111111114)</f>
        <v>35.98611111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IFERROR(__xludf.DUMMYFUNCTION("""COMPUTED_VALUE"""),2.0)</f>
        <v>2</v>
      </c>
      <c r="E177" s="7">
        <f>IFERROR(__xludf.DUMMYFUNCTION("""COMPUTED_VALUE"""),6107.68)</f>
        <v>6107.68</v>
      </c>
      <c r="F177" s="7">
        <f>IFERROR(__xludf.DUMMYFUNCTION("""COMPUTED_VALUE"""),5725.51)</f>
        <v>5725.51</v>
      </c>
      <c r="G177" s="6">
        <f>IFERROR(__xludf.DUMMYFUNCTION("""COMPUTED_VALUE"""),139.0)</f>
        <v>139</v>
      </c>
      <c r="H177" s="7">
        <f>IFERROR(__xludf.DUMMYFUNCTION("""COMPUTED_VALUE"""),41.19071942446043)</f>
        <v>41.19071942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IFERROR(__xludf.DUMMYFUNCTION("""COMPUTED_VALUE"""),1.0)</f>
        <v>1</v>
      </c>
      <c r="E178" s="7">
        <f>IFERROR(__xludf.DUMMYFUNCTION("""COMPUTED_VALUE"""),6237.38)</f>
        <v>6237.38</v>
      </c>
      <c r="F178" s="7">
        <f>IFERROR(__xludf.DUMMYFUNCTION("""COMPUTED_VALUE"""),5830.5)</f>
        <v>5830.5</v>
      </c>
      <c r="G178" s="6">
        <f>IFERROR(__xludf.DUMMYFUNCTION("""COMPUTED_VALUE"""),121.0)</f>
        <v>121</v>
      </c>
      <c r="H178" s="7">
        <f>IFERROR(__xludf.DUMMYFUNCTION("""COMPUTED_VALUE"""),48.18595041322314)</f>
        <v>48.18595041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IFERROR(__xludf.DUMMYFUNCTION("""COMPUTED_VALUE"""),2.0)</f>
        <v>2</v>
      </c>
      <c r="E179" s="7">
        <f>IFERROR(__xludf.DUMMYFUNCTION("""COMPUTED_VALUE"""),6131.47)</f>
        <v>6131.47</v>
      </c>
      <c r="F179" s="7">
        <f>IFERROR(__xludf.DUMMYFUNCTION("""COMPUTED_VALUE"""),4876.03)</f>
        <v>4876.03</v>
      </c>
      <c r="G179" s="6">
        <f>IFERROR(__xludf.DUMMYFUNCTION("""COMPUTED_VALUE"""),123.0)</f>
        <v>123</v>
      </c>
      <c r="H179" s="7">
        <f>IFERROR(__xludf.DUMMYFUNCTION("""COMPUTED_VALUE"""),39.64252032520325)</f>
        <v>39.64252033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IFERROR(__xludf.DUMMYFUNCTION("""COMPUTED_VALUE"""),1.0)</f>
        <v>1</v>
      </c>
      <c r="E180" s="7">
        <f>IFERROR(__xludf.DUMMYFUNCTION("""COMPUTED_VALUE"""),6746.39)</f>
        <v>6746.39</v>
      </c>
      <c r="F180" s="7">
        <f>IFERROR(__xludf.DUMMYFUNCTION("""COMPUTED_VALUE"""),5045.4)</f>
        <v>5045.4</v>
      </c>
      <c r="G180" s="6">
        <f>IFERROR(__xludf.DUMMYFUNCTION("""COMPUTED_VALUE"""),98.0)</f>
        <v>98</v>
      </c>
      <c r="H180" s="7">
        <f>IFERROR(__xludf.DUMMYFUNCTION("""COMPUTED_VALUE"""),51.48367346938775)</f>
        <v>51.48367347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IFERROR(__xludf.DUMMYFUNCTION("""COMPUTED_VALUE"""),2.0)</f>
        <v>2</v>
      </c>
      <c r="E181" s="7">
        <f>IFERROR(__xludf.DUMMYFUNCTION("""COMPUTED_VALUE"""),5837.73)</f>
        <v>5837.73</v>
      </c>
      <c r="F181" s="7">
        <f>IFERROR(__xludf.DUMMYFUNCTION("""COMPUTED_VALUE"""),3206.5)</f>
        <v>3206.5</v>
      </c>
      <c r="G181" s="6">
        <f>IFERROR(__xludf.DUMMYFUNCTION("""COMPUTED_VALUE"""),81.0)</f>
        <v>81</v>
      </c>
      <c r="H181" s="7">
        <f>IFERROR(__xludf.DUMMYFUNCTION("""COMPUTED_VALUE"""),39.58641975308642)</f>
        <v>39.58641975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IFERROR(__xludf.DUMMYFUNCTION("""COMPUTED_VALUE"""),1.0)</f>
        <v>1</v>
      </c>
      <c r="E182" s="7">
        <f>IFERROR(__xludf.DUMMYFUNCTION("""COMPUTED_VALUE"""),6072.95)</f>
        <v>6072.95</v>
      </c>
      <c r="F182" s="7">
        <f>IFERROR(__xludf.DUMMYFUNCTION("""COMPUTED_VALUE"""),5612.31)</f>
        <v>5612.31</v>
      </c>
      <c r="G182" s="6">
        <f>IFERROR(__xludf.DUMMYFUNCTION("""COMPUTED_VALUE"""),124.0)</f>
        <v>124</v>
      </c>
      <c r="H182" s="7">
        <f>IFERROR(__xludf.DUMMYFUNCTION("""COMPUTED_VALUE"""),45.26056451612904)</f>
        <v>45.26056452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IFERROR(__xludf.DUMMYFUNCTION("""COMPUTED_VALUE"""),2.0)</f>
        <v>2</v>
      </c>
      <c r="E183" s="7">
        <f>IFERROR(__xludf.DUMMYFUNCTION("""COMPUTED_VALUE"""),5899.58)</f>
        <v>5899.58</v>
      </c>
      <c r="F183" s="7">
        <f>IFERROR(__xludf.DUMMYFUNCTION("""COMPUTED_VALUE"""),5069.0)</f>
        <v>5069</v>
      </c>
      <c r="G183" s="6">
        <f>IFERROR(__xludf.DUMMYFUNCTION("""COMPUTED_VALUE"""),121.0)</f>
        <v>121</v>
      </c>
      <c r="H183" s="7">
        <f>IFERROR(__xludf.DUMMYFUNCTION("""COMPUTED_VALUE"""),41.892561983471076)</f>
        <v>41.89256198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IFERROR(__xludf.DUMMYFUNCTION("""COMPUTED_VALUE"""),1.0)</f>
        <v>1</v>
      </c>
      <c r="E184" s="7">
        <f>IFERROR(__xludf.DUMMYFUNCTION("""COMPUTED_VALUE"""),6067.75)</f>
        <v>6067.75</v>
      </c>
      <c r="F184" s="7">
        <f>IFERROR(__xludf.DUMMYFUNCTION("""COMPUTED_VALUE"""),5011.0)</f>
        <v>5011</v>
      </c>
      <c r="G184" s="6">
        <f>IFERROR(__xludf.DUMMYFUNCTION("""COMPUTED_VALUE"""),127.0)</f>
        <v>127</v>
      </c>
      <c r="H184" s="7">
        <f>IFERROR(__xludf.DUMMYFUNCTION("""COMPUTED_VALUE"""),39.45669291338583)</f>
        <v>39.45669291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IFERROR(__xludf.DUMMYFUNCTION("""COMPUTED_VALUE"""),2.0)</f>
        <v>2</v>
      </c>
      <c r="E185" s="7">
        <f>IFERROR(__xludf.DUMMYFUNCTION("""COMPUTED_VALUE"""),6377.51)</f>
        <v>6377.51</v>
      </c>
      <c r="F185" s="7">
        <f>IFERROR(__xludf.DUMMYFUNCTION("""COMPUTED_VALUE"""),5290.2)</f>
        <v>5290.2</v>
      </c>
      <c r="G185" s="6">
        <f>IFERROR(__xludf.DUMMYFUNCTION("""COMPUTED_VALUE"""),124.0)</f>
        <v>124</v>
      </c>
      <c r="H185" s="7">
        <f>IFERROR(__xludf.DUMMYFUNCTION("""COMPUTED_VALUE"""),42.66290322580645)</f>
        <v>42.66290323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IFERROR(__xludf.DUMMYFUNCTION("""COMPUTED_VALUE"""),1.0)</f>
        <v>1</v>
      </c>
      <c r="E186" s="7">
        <f>IFERROR(__xludf.DUMMYFUNCTION("""COMPUTED_VALUE"""),6056.23)</f>
        <v>6056.23</v>
      </c>
      <c r="F186" s="7">
        <f>IFERROR(__xludf.DUMMYFUNCTION("""COMPUTED_VALUE"""),5047.0)</f>
        <v>5047</v>
      </c>
      <c r="G186" s="6">
        <f>IFERROR(__xludf.DUMMYFUNCTION("""COMPUTED_VALUE"""),120.0)</f>
        <v>120</v>
      </c>
      <c r="H186" s="7">
        <f>IFERROR(__xludf.DUMMYFUNCTION("""COMPUTED_VALUE"""),42.05833333333333)</f>
        <v>42.05833333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IFERROR(__xludf.DUMMYFUNCTION("""COMPUTED_VALUE"""),2.0)</f>
        <v>2</v>
      </c>
      <c r="E187" s="7">
        <f>IFERROR(__xludf.DUMMYFUNCTION("""COMPUTED_VALUE"""),6837.65)</f>
        <v>6837.65</v>
      </c>
      <c r="F187" s="7">
        <f>IFERROR(__xludf.DUMMYFUNCTION("""COMPUTED_VALUE"""),7442.65)</f>
        <v>7442.65</v>
      </c>
      <c r="G187" s="6">
        <f>IFERROR(__xludf.DUMMYFUNCTION("""COMPUTED_VALUE"""),156.0)</f>
        <v>156</v>
      </c>
      <c r="H187" s="7">
        <f>IFERROR(__xludf.DUMMYFUNCTION("""COMPUTED_VALUE"""),47.70929487179487)</f>
        <v>47.70929487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IFERROR(__xludf.DUMMYFUNCTION("""COMPUTED_VALUE"""),1.0)</f>
        <v>1</v>
      </c>
      <c r="E188" s="7">
        <f>IFERROR(__xludf.DUMMYFUNCTION("""COMPUTED_VALUE"""),5596.94)</f>
        <v>5596.94</v>
      </c>
      <c r="F188" s="7">
        <f>IFERROR(__xludf.DUMMYFUNCTION("""COMPUTED_VALUE"""),5194.15)</f>
        <v>5194.15</v>
      </c>
      <c r="G188" s="6">
        <f>IFERROR(__xludf.DUMMYFUNCTION("""COMPUTED_VALUE"""),129.0)</f>
        <v>129</v>
      </c>
      <c r="H188" s="7">
        <f>IFERROR(__xludf.DUMMYFUNCTION("""COMPUTED_VALUE"""),40.26472868217054)</f>
        <v>40.26472868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IFERROR(__xludf.DUMMYFUNCTION("""COMPUTED_VALUE"""),2.0)</f>
        <v>2</v>
      </c>
      <c r="E189" s="7">
        <f>IFERROR(__xludf.DUMMYFUNCTION("""COMPUTED_VALUE"""),5816.21)</f>
        <v>5816.21</v>
      </c>
      <c r="F189" s="7">
        <f>IFERROR(__xludf.DUMMYFUNCTION("""COMPUTED_VALUE"""),5841.81)</f>
        <v>5841.81</v>
      </c>
      <c r="G189" s="6">
        <f>IFERROR(__xludf.DUMMYFUNCTION("""COMPUTED_VALUE"""),124.0)</f>
        <v>124</v>
      </c>
      <c r="H189" s="7">
        <f>IFERROR(__xludf.DUMMYFUNCTION("""COMPUTED_VALUE"""),47.11137096774194)</f>
        <v>47.11137097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IFERROR(__xludf.DUMMYFUNCTION("""COMPUTED_VALUE"""),1.0)</f>
        <v>1</v>
      </c>
      <c r="E190" s="7">
        <f>IFERROR(__xludf.DUMMYFUNCTION("""COMPUTED_VALUE"""),5899.58)</f>
        <v>5899.58</v>
      </c>
      <c r="F190" s="7">
        <f>IFERROR(__xludf.DUMMYFUNCTION("""COMPUTED_VALUE"""),5450.5)</f>
        <v>5450.5</v>
      </c>
      <c r="G190" s="6">
        <f>IFERROR(__xludf.DUMMYFUNCTION("""COMPUTED_VALUE"""),134.0)</f>
        <v>134</v>
      </c>
      <c r="H190" s="7">
        <f>IFERROR(__xludf.DUMMYFUNCTION("""COMPUTED_VALUE"""),40.67537313432836)</f>
        <v>40.67537313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IFERROR(__xludf.DUMMYFUNCTION("""COMPUTED_VALUE"""),2.0)</f>
        <v>2</v>
      </c>
      <c r="E191" s="7">
        <f>IFERROR(__xludf.DUMMYFUNCTION("""COMPUTED_VALUE"""),6067.75)</f>
        <v>6067.75</v>
      </c>
      <c r="F191" s="7">
        <f>IFERROR(__xludf.DUMMYFUNCTION("""COMPUTED_VALUE"""),6126.66)</f>
        <v>6126.66</v>
      </c>
      <c r="G191" s="6">
        <f>IFERROR(__xludf.DUMMYFUNCTION("""COMPUTED_VALUE"""),145.0)</f>
        <v>145</v>
      </c>
      <c r="H191" s="7">
        <f>IFERROR(__xludf.DUMMYFUNCTION("""COMPUTED_VALUE"""),42.2528275862069)</f>
        <v>42.25282759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IFERROR(__xludf.DUMMYFUNCTION("""COMPUTED_VALUE"""),1.0)</f>
        <v>1</v>
      </c>
      <c r="E192" s="7">
        <f>IFERROR(__xludf.DUMMYFUNCTION("""COMPUTED_VALUE"""),6377.51)</f>
        <v>6377.51</v>
      </c>
      <c r="F192" s="7">
        <f>IFERROR(__xludf.DUMMYFUNCTION("""COMPUTED_VALUE"""),6713.85)</f>
        <v>6713.85</v>
      </c>
      <c r="G192" s="6">
        <f>IFERROR(__xludf.DUMMYFUNCTION("""COMPUTED_VALUE"""),169.0)</f>
        <v>169</v>
      </c>
      <c r="H192" s="7">
        <f>IFERROR(__xludf.DUMMYFUNCTION("""COMPUTED_VALUE"""),39.72692307692308)</f>
        <v>39.72692308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IFERROR(__xludf.DUMMYFUNCTION("""COMPUTED_VALUE"""),2.0)</f>
        <v>2</v>
      </c>
      <c r="E193" s="7">
        <f>IFERROR(__xludf.DUMMYFUNCTION("""COMPUTED_VALUE"""),6056.23)</f>
        <v>6056.23</v>
      </c>
      <c r="F193" s="7">
        <f>IFERROR(__xludf.DUMMYFUNCTION("""COMPUTED_VALUE"""),6461.5)</f>
        <v>6461.5</v>
      </c>
      <c r="G193" s="6">
        <f>IFERROR(__xludf.DUMMYFUNCTION("""COMPUTED_VALUE"""),138.0)</f>
        <v>138</v>
      </c>
      <c r="H193" s="7">
        <f>IFERROR(__xludf.DUMMYFUNCTION("""COMPUTED_VALUE"""),46.822463768115945)</f>
        <v>46.82246377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IFERROR(__xludf.DUMMYFUNCTION("""COMPUTED_VALUE"""),1.0)</f>
        <v>1</v>
      </c>
      <c r="E194" s="7">
        <f>IFERROR(__xludf.DUMMYFUNCTION("""COMPUTED_VALUE"""),6837.65)</f>
        <v>6837.65</v>
      </c>
      <c r="F194" s="7">
        <f>IFERROR(__xludf.DUMMYFUNCTION("""COMPUTED_VALUE"""),6510.55)</f>
        <v>6510.55</v>
      </c>
      <c r="G194" s="6">
        <f>IFERROR(__xludf.DUMMYFUNCTION("""COMPUTED_VALUE"""),142.0)</f>
        <v>142</v>
      </c>
      <c r="H194" s="7">
        <f>IFERROR(__xludf.DUMMYFUNCTION("""COMPUTED_VALUE"""),45.84894366197183)</f>
        <v>45.84894366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IFERROR(__xludf.DUMMYFUNCTION("""COMPUTED_VALUE"""),2.0)</f>
        <v>2</v>
      </c>
      <c r="E195" s="7">
        <f>IFERROR(__xludf.DUMMYFUNCTION("""COMPUTED_VALUE"""),5596.94)</f>
        <v>5596.94</v>
      </c>
      <c r="F195" s="7">
        <f>IFERROR(__xludf.DUMMYFUNCTION("""COMPUTED_VALUE"""),4024.5)</f>
        <v>4024.5</v>
      </c>
      <c r="G195" s="6">
        <f>IFERROR(__xludf.DUMMYFUNCTION("""COMPUTED_VALUE"""),95.0)</f>
        <v>95</v>
      </c>
      <c r="H195" s="7">
        <f>IFERROR(__xludf.DUMMYFUNCTION("""COMPUTED_VALUE"""),42.363157894736844)</f>
        <v>42.36315789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IFERROR(__xludf.DUMMYFUNCTION("""COMPUTED_VALUE"""),1.0)</f>
        <v>1</v>
      </c>
      <c r="E196" s="7">
        <f>IFERROR(__xludf.DUMMYFUNCTION("""COMPUTED_VALUE"""),5816.21)</f>
        <v>5816.21</v>
      </c>
      <c r="F196" s="7">
        <f>IFERROR(__xludf.DUMMYFUNCTION("""COMPUTED_VALUE"""),5151.5)</f>
        <v>5151.5</v>
      </c>
      <c r="G196" s="6">
        <f>IFERROR(__xludf.DUMMYFUNCTION("""COMPUTED_VALUE"""),127.0)</f>
        <v>127</v>
      </c>
      <c r="H196" s="7">
        <f>IFERROR(__xludf.DUMMYFUNCTION("""COMPUTED_VALUE"""),40.56299212598425)</f>
        <v>40.56299213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IFERROR(__xludf.DUMMYFUNCTION("""COMPUTED_VALUE"""),2.0)</f>
        <v>2</v>
      </c>
      <c r="E197" s="7">
        <f>IFERROR(__xludf.DUMMYFUNCTION("""COMPUTED_VALUE"""),5899.58)</f>
        <v>5899.58</v>
      </c>
      <c r="F197" s="7">
        <f>IFERROR(__xludf.DUMMYFUNCTION("""COMPUTED_VALUE"""),5948.0)</f>
        <v>5948</v>
      </c>
      <c r="G197" s="6">
        <f>IFERROR(__xludf.DUMMYFUNCTION("""COMPUTED_VALUE"""),135.0)</f>
        <v>135</v>
      </c>
      <c r="H197" s="7">
        <f>IFERROR(__xludf.DUMMYFUNCTION("""COMPUTED_VALUE"""),44.05925925925926)</f>
        <v>44.05925926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IFERROR(__xludf.DUMMYFUNCTION("""COMPUTED_VALUE"""),1.0)</f>
        <v>1</v>
      </c>
      <c r="E198" s="7">
        <f>IFERROR(__xludf.DUMMYFUNCTION("""COMPUTED_VALUE"""),6067.75)</f>
        <v>6067.75</v>
      </c>
      <c r="F198" s="7">
        <f>IFERROR(__xludf.DUMMYFUNCTION("""COMPUTED_VALUE"""),5867.55)</f>
        <v>5867.55</v>
      </c>
      <c r="G198" s="6">
        <f>IFERROR(__xludf.DUMMYFUNCTION("""COMPUTED_VALUE"""),133.0)</f>
        <v>133</v>
      </c>
      <c r="H198" s="7">
        <f>IFERROR(__xludf.DUMMYFUNCTION("""COMPUTED_VALUE"""),44.11691729323309)</f>
        <v>44.11691729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IFERROR(__xludf.DUMMYFUNCTION("""COMPUTED_VALUE"""),2.0)</f>
        <v>2</v>
      </c>
      <c r="E199" s="7">
        <f>IFERROR(__xludf.DUMMYFUNCTION("""COMPUTED_VALUE"""),6377.51)</f>
        <v>6377.51</v>
      </c>
      <c r="F199" s="7">
        <f>IFERROR(__xludf.DUMMYFUNCTION("""COMPUTED_VALUE"""),5857.5)</f>
        <v>5857.5</v>
      </c>
      <c r="G199" s="6">
        <f>IFERROR(__xludf.DUMMYFUNCTION("""COMPUTED_VALUE"""),148.0)</f>
        <v>148</v>
      </c>
      <c r="H199" s="7">
        <f>IFERROR(__xludf.DUMMYFUNCTION("""COMPUTED_VALUE"""),39.5777027027027)</f>
        <v>39.5777027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IFERROR(__xludf.DUMMYFUNCTION("""COMPUTED_VALUE"""),1.0)</f>
        <v>1</v>
      </c>
      <c r="E200" s="7">
        <f>IFERROR(__xludf.DUMMYFUNCTION("""COMPUTED_VALUE"""),6056.23)</f>
        <v>6056.23</v>
      </c>
      <c r="F200" s="7">
        <f>IFERROR(__xludf.DUMMYFUNCTION("""COMPUTED_VALUE"""),4632.0)</f>
        <v>4632</v>
      </c>
      <c r="G200" s="6">
        <f>IFERROR(__xludf.DUMMYFUNCTION("""COMPUTED_VALUE"""),111.0)</f>
        <v>111</v>
      </c>
      <c r="H200" s="7">
        <f>IFERROR(__xludf.DUMMYFUNCTION("""COMPUTED_VALUE"""),41.729729729729726)</f>
        <v>41.72972973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IFERROR(__xludf.DUMMYFUNCTION("""COMPUTED_VALUE"""),2.0)</f>
        <v>2</v>
      </c>
      <c r="E201" s="7">
        <f>IFERROR(__xludf.DUMMYFUNCTION("""COMPUTED_VALUE"""),6837.65)</f>
        <v>6837.65</v>
      </c>
      <c r="F201" s="7">
        <f>IFERROR(__xludf.DUMMYFUNCTION("""COMPUTED_VALUE"""),6785.45)</f>
        <v>6785.45</v>
      </c>
      <c r="G201" s="6">
        <f>IFERROR(__xludf.DUMMYFUNCTION("""COMPUTED_VALUE"""),140.0)</f>
        <v>140</v>
      </c>
      <c r="H201" s="7">
        <f>IFERROR(__xludf.DUMMYFUNCTION("""COMPUTED_VALUE"""),48.4675)</f>
        <v>48.4675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IFERROR(__xludf.DUMMYFUNCTION("""COMPUTED_VALUE"""),1.0)</f>
        <v>1</v>
      </c>
      <c r="E202" s="7">
        <f>IFERROR(__xludf.DUMMYFUNCTION("""COMPUTED_VALUE"""),5596.94)</f>
        <v>5596.94</v>
      </c>
      <c r="F202" s="7">
        <f>IFERROR(__xludf.DUMMYFUNCTION("""COMPUTED_VALUE"""),5869.0)</f>
        <v>5869</v>
      </c>
      <c r="G202" s="6">
        <f>IFERROR(__xludf.DUMMYFUNCTION("""COMPUTED_VALUE"""),131.0)</f>
        <v>131</v>
      </c>
      <c r="H202" s="7">
        <f>IFERROR(__xludf.DUMMYFUNCTION("""COMPUTED_VALUE"""),44.80152671755725)</f>
        <v>44.80152672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IFERROR(__xludf.DUMMYFUNCTION("""COMPUTED_VALUE"""),2.0)</f>
        <v>2</v>
      </c>
      <c r="E203" s="7">
        <f>IFERROR(__xludf.DUMMYFUNCTION("""COMPUTED_VALUE"""),5816.21)</f>
        <v>5816.21</v>
      </c>
      <c r="F203" s="7">
        <f>IFERROR(__xludf.DUMMYFUNCTION("""COMPUTED_VALUE"""),6605.5)</f>
        <v>6605.5</v>
      </c>
      <c r="G203" s="6">
        <f>IFERROR(__xludf.DUMMYFUNCTION("""COMPUTED_VALUE"""),126.0)</f>
        <v>126</v>
      </c>
      <c r="H203" s="7">
        <f>IFERROR(__xludf.DUMMYFUNCTION("""COMPUTED_VALUE"""),52.42460317460318)</f>
        <v>52.42460317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IFERROR(__xludf.DUMMYFUNCTION("""COMPUTED_VALUE"""),1.0)</f>
        <v>1</v>
      </c>
      <c r="E204" s="7">
        <f>IFERROR(__xludf.DUMMYFUNCTION("""COMPUTED_VALUE"""),5899.58)</f>
        <v>5899.58</v>
      </c>
      <c r="F204" s="7">
        <f>IFERROR(__xludf.DUMMYFUNCTION("""COMPUTED_VALUE"""),4773.0)</f>
        <v>4773</v>
      </c>
      <c r="G204" s="6">
        <f>IFERROR(__xludf.DUMMYFUNCTION("""COMPUTED_VALUE"""),133.0)</f>
        <v>133</v>
      </c>
      <c r="H204" s="7">
        <f>IFERROR(__xludf.DUMMYFUNCTION("""COMPUTED_VALUE"""),35.88721804511278)</f>
        <v>35.88721805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IFERROR(__xludf.DUMMYFUNCTION("""COMPUTED_VALUE"""),2.0)</f>
        <v>2</v>
      </c>
      <c r="E205" s="7">
        <f>IFERROR(__xludf.DUMMYFUNCTION("""COMPUTED_VALUE"""),6067.75)</f>
        <v>6067.75</v>
      </c>
      <c r="F205" s="7">
        <f>IFERROR(__xludf.DUMMYFUNCTION("""COMPUTED_VALUE"""),6406.4)</f>
        <v>6406.4</v>
      </c>
      <c r="G205" s="6">
        <f>IFERROR(__xludf.DUMMYFUNCTION("""COMPUTED_VALUE"""),122.0)</f>
        <v>122</v>
      </c>
      <c r="H205" s="7">
        <f>IFERROR(__xludf.DUMMYFUNCTION("""COMPUTED_VALUE"""),52.51147540983606)</f>
        <v>52.51147541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IFERROR(__xludf.DUMMYFUNCTION("""COMPUTED_VALUE"""),1.0)</f>
        <v>1</v>
      </c>
      <c r="E206" s="7">
        <f>IFERROR(__xludf.DUMMYFUNCTION("""COMPUTED_VALUE"""),6377.51)</f>
        <v>6377.51</v>
      </c>
      <c r="F206" s="7">
        <f>IFERROR(__xludf.DUMMYFUNCTION("""COMPUTED_VALUE"""),5730.4)</f>
        <v>5730.4</v>
      </c>
      <c r="G206" s="6">
        <f>IFERROR(__xludf.DUMMYFUNCTION("""COMPUTED_VALUE"""),133.0)</f>
        <v>133</v>
      </c>
      <c r="H206" s="7">
        <f>IFERROR(__xludf.DUMMYFUNCTION("""COMPUTED_VALUE"""),43.08571428571428)</f>
        <v>43.08571429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IFERROR(__xludf.DUMMYFUNCTION("""COMPUTED_VALUE"""),2.0)</f>
        <v>2</v>
      </c>
      <c r="E207" s="7">
        <f>IFERROR(__xludf.DUMMYFUNCTION("""COMPUTED_VALUE"""),6056.23)</f>
        <v>6056.23</v>
      </c>
      <c r="F207" s="7">
        <f>IFERROR(__xludf.DUMMYFUNCTION("""COMPUTED_VALUE"""),6487.0)</f>
        <v>6487</v>
      </c>
      <c r="G207" s="6">
        <f>IFERROR(__xludf.DUMMYFUNCTION("""COMPUTED_VALUE"""),148.0)</f>
        <v>148</v>
      </c>
      <c r="H207" s="7">
        <f>IFERROR(__xludf.DUMMYFUNCTION("""COMPUTED_VALUE"""),43.83108108108108)</f>
        <v>43.83108108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IFERROR(__xludf.DUMMYFUNCTION("""COMPUTED_VALUE"""),1.0)</f>
        <v>1</v>
      </c>
      <c r="E208" s="7">
        <f>IFERROR(__xludf.DUMMYFUNCTION("""COMPUTED_VALUE"""),6837.65)</f>
        <v>6837.65</v>
      </c>
      <c r="F208" s="7">
        <f>IFERROR(__xludf.DUMMYFUNCTION("""COMPUTED_VALUE"""),5866.9)</f>
        <v>5866.9</v>
      </c>
      <c r="G208" s="6">
        <f>IFERROR(__xludf.DUMMYFUNCTION("""COMPUTED_VALUE"""),128.0)</f>
        <v>128</v>
      </c>
      <c r="H208" s="7">
        <f>IFERROR(__xludf.DUMMYFUNCTION("""COMPUTED_VALUE"""),45.83515625)</f>
        <v>45.83515625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IFERROR(__xludf.DUMMYFUNCTION("""COMPUTED_VALUE"""),2.0)</f>
        <v>2</v>
      </c>
      <c r="E209" s="7">
        <f>IFERROR(__xludf.DUMMYFUNCTION("""COMPUTED_VALUE"""),5596.94)</f>
        <v>5596.94</v>
      </c>
      <c r="F209" s="7">
        <f>IFERROR(__xludf.DUMMYFUNCTION("""COMPUTED_VALUE"""),5371.85)</f>
        <v>5371.85</v>
      </c>
      <c r="G209" s="6">
        <f>IFERROR(__xludf.DUMMYFUNCTION("""COMPUTED_VALUE"""),118.0)</f>
        <v>118</v>
      </c>
      <c r="H209" s="7">
        <f>IFERROR(__xludf.DUMMYFUNCTION("""COMPUTED_VALUE"""),45.52415254237288)</f>
        <v>45.52415254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IFERROR(__xludf.DUMMYFUNCTION("""COMPUTED_VALUE"""),1.0)</f>
        <v>1</v>
      </c>
      <c r="E210" s="7">
        <f>IFERROR(__xludf.DUMMYFUNCTION("""COMPUTED_VALUE"""),5816.21)</f>
        <v>5816.21</v>
      </c>
      <c r="F210" s="7">
        <f>IFERROR(__xludf.DUMMYFUNCTION("""COMPUTED_VALUE"""),6144.65)</f>
        <v>6144.65</v>
      </c>
      <c r="G210" s="6">
        <f>IFERROR(__xludf.DUMMYFUNCTION("""COMPUTED_VALUE"""),136.0)</f>
        <v>136</v>
      </c>
      <c r="H210" s="7">
        <f>IFERROR(__xludf.DUMMYFUNCTION("""COMPUTED_VALUE"""),45.18125)</f>
        <v>45.18125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IFERROR(__xludf.DUMMYFUNCTION("""COMPUTED_VALUE"""),2.0)</f>
        <v>2</v>
      </c>
      <c r="E211" s="7">
        <f>IFERROR(__xludf.DUMMYFUNCTION("""COMPUTED_VALUE"""),5899.58)</f>
        <v>5899.58</v>
      </c>
      <c r="F211" s="7">
        <f>IFERROR(__xludf.DUMMYFUNCTION("""COMPUTED_VALUE"""),6875.41)</f>
        <v>6875.41</v>
      </c>
      <c r="G211" s="6">
        <f>IFERROR(__xludf.DUMMYFUNCTION("""COMPUTED_VALUE"""),130.0)</f>
        <v>130</v>
      </c>
      <c r="H211" s="7">
        <f>IFERROR(__xludf.DUMMYFUNCTION("""COMPUTED_VALUE"""),52.88776923076923)</f>
        <v>52.88776923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IFERROR(__xludf.DUMMYFUNCTION("""COMPUTED_VALUE"""),1.0)</f>
        <v>1</v>
      </c>
      <c r="E212" s="7">
        <f>IFERROR(__xludf.DUMMYFUNCTION("""COMPUTED_VALUE"""),6067.75)</f>
        <v>6067.75</v>
      </c>
      <c r="F212" s="7">
        <f>IFERROR(__xludf.DUMMYFUNCTION("""COMPUTED_VALUE"""),6003.91)</f>
        <v>6003.91</v>
      </c>
      <c r="G212" s="6">
        <f>IFERROR(__xludf.DUMMYFUNCTION("""COMPUTED_VALUE"""),142.0)</f>
        <v>142</v>
      </c>
      <c r="H212" s="7">
        <f>IFERROR(__xludf.DUMMYFUNCTION("""COMPUTED_VALUE"""),42.281056338028165)</f>
        <v>42.28105634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IFERROR(__xludf.DUMMYFUNCTION("""COMPUTED_VALUE"""),2.0)</f>
        <v>2</v>
      </c>
      <c r="E213" s="7">
        <f>IFERROR(__xludf.DUMMYFUNCTION("""COMPUTED_VALUE"""),6377.51)</f>
        <v>6377.51</v>
      </c>
      <c r="F213" s="7">
        <f>IFERROR(__xludf.DUMMYFUNCTION("""COMPUTED_VALUE"""),5887.0)</f>
        <v>5887</v>
      </c>
      <c r="G213" s="6">
        <f>IFERROR(__xludf.DUMMYFUNCTION("""COMPUTED_VALUE"""),126.0)</f>
        <v>126</v>
      </c>
      <c r="H213" s="7">
        <f>IFERROR(__xludf.DUMMYFUNCTION("""COMPUTED_VALUE"""),46.72222222222222)</f>
        <v>46.72222222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IFERROR(__xludf.DUMMYFUNCTION("""COMPUTED_VALUE"""),1.0)</f>
        <v>1</v>
      </c>
      <c r="E214" s="7">
        <f>IFERROR(__xludf.DUMMYFUNCTION("""COMPUTED_VALUE"""),6085.06)</f>
        <v>6085.06</v>
      </c>
      <c r="F214" s="7">
        <f>IFERROR(__xludf.DUMMYFUNCTION("""COMPUTED_VALUE"""),6476.01)</f>
        <v>6476.01</v>
      </c>
      <c r="G214" s="6">
        <f>IFERROR(__xludf.DUMMYFUNCTION("""COMPUTED_VALUE"""),147.0)</f>
        <v>147</v>
      </c>
      <c r="H214" s="7">
        <f>IFERROR(__xludf.DUMMYFUNCTION("""COMPUTED_VALUE"""),44.05448979591837)</f>
        <v>44.0544898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IFERROR(__xludf.DUMMYFUNCTION("""COMPUTED_VALUE"""),2.0)</f>
        <v>2</v>
      </c>
      <c r="E215" s="7">
        <f>IFERROR(__xludf.DUMMYFUNCTION("""COMPUTED_VALUE"""),6895.37)</f>
        <v>6895.37</v>
      </c>
      <c r="F215" s="7">
        <f>IFERROR(__xludf.DUMMYFUNCTION("""COMPUTED_VALUE"""),5510.5)</f>
        <v>5510.5</v>
      </c>
      <c r="G215" s="6">
        <f>IFERROR(__xludf.DUMMYFUNCTION("""COMPUTED_VALUE"""),128.0)</f>
        <v>128</v>
      </c>
      <c r="H215" s="7">
        <f>IFERROR(__xludf.DUMMYFUNCTION("""COMPUTED_VALUE"""),43.05078125)</f>
        <v>43.05078125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IFERROR(__xludf.DUMMYFUNCTION("""COMPUTED_VALUE"""),1.0)</f>
        <v>1</v>
      </c>
      <c r="E216" s="7">
        <f>IFERROR(__xludf.DUMMYFUNCTION("""COMPUTED_VALUE"""),5574.56)</f>
        <v>5574.56</v>
      </c>
      <c r="F216" s="7" t="str">
        <f>IFERROR(__xludf.DUMMYFUNCTION("""COMPUTED_VALUE"""),"  ")</f>
        <v/>
      </c>
      <c r="G216" s="6" t="str">
        <f>IFERROR(__xludf.DUMMYFUNCTION("""COMPUTED_VALUE"""),"")</f>
        <v/>
      </c>
      <c r="H216" s="7" t="str">
        <f>IFERROR(__xludf.DUMMYFUNCTION("""COMPUTED_VALUE"""),"  ")</f>
        <v/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IFERROR(__xludf.DUMMYFUNCTION("""COMPUTED_VALUE"""),2.0)</f>
        <v>2</v>
      </c>
      <c r="E217" s="7">
        <f>IFERROR(__xludf.DUMMYFUNCTION("""COMPUTED_VALUE"""),5775.6)</f>
        <v>5775.6</v>
      </c>
      <c r="F217" s="7">
        <f>IFERROR(__xludf.DUMMYFUNCTION("""COMPUTED_VALUE"""),5062.55)</f>
        <v>5062.55</v>
      </c>
      <c r="G217" s="6">
        <f>IFERROR(__xludf.DUMMYFUNCTION("""COMPUTED_VALUE"""),111.0)</f>
        <v>111</v>
      </c>
      <c r="H217" s="7">
        <f>IFERROR(__xludf.DUMMYFUNCTION("""COMPUTED_VALUE"""),45.60855855855856)</f>
        <v>45.60855856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IFERROR(__xludf.DUMMYFUNCTION("""COMPUTED_VALUE"""),1.0)</f>
        <v>1</v>
      </c>
      <c r="E218" s="7">
        <f>IFERROR(__xludf.DUMMYFUNCTION("""COMPUTED_VALUE"""),5889.84)</f>
        <v>5889.84</v>
      </c>
      <c r="F218" s="7">
        <f>IFERROR(__xludf.DUMMYFUNCTION("""COMPUTED_VALUE"""),5971.0)</f>
        <v>5971</v>
      </c>
      <c r="G218" s="6">
        <f>IFERROR(__xludf.DUMMYFUNCTION("""COMPUTED_VALUE"""),130.0)</f>
        <v>130</v>
      </c>
      <c r="H218" s="7">
        <f>IFERROR(__xludf.DUMMYFUNCTION("""COMPUTED_VALUE"""),45.93076923076923)</f>
        <v>45.93076923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IFERROR(__xludf.DUMMYFUNCTION("""COMPUTED_VALUE"""),2.0)</f>
        <v>2</v>
      </c>
      <c r="E219" s="7">
        <f>IFERROR(__xludf.DUMMYFUNCTION("""COMPUTED_VALUE"""),6101.83)</f>
        <v>6101.83</v>
      </c>
      <c r="F219" s="7">
        <f>IFERROR(__xludf.DUMMYFUNCTION("""COMPUTED_VALUE"""),4875.5)</f>
        <v>4875.5</v>
      </c>
      <c r="G219" s="6">
        <f>IFERROR(__xludf.DUMMYFUNCTION("""COMPUTED_VALUE"""),128.0)</f>
        <v>128</v>
      </c>
      <c r="H219" s="7">
        <f>IFERROR(__xludf.DUMMYFUNCTION("""COMPUTED_VALUE"""),38.08984375)</f>
        <v>38.08984375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IFERROR(__xludf.DUMMYFUNCTION("""COMPUTED_VALUE"""),1.0)</f>
        <v>1</v>
      </c>
      <c r="E220" s="7">
        <f>IFERROR(__xludf.DUMMYFUNCTION("""COMPUTED_VALUE"""),6435.24)</f>
        <v>6435.24</v>
      </c>
      <c r="F220" s="7">
        <f>IFERROR(__xludf.DUMMYFUNCTION("""COMPUTED_VALUE"""),9500.9)</f>
        <v>9500.9</v>
      </c>
      <c r="G220" s="6">
        <f>IFERROR(__xludf.DUMMYFUNCTION("""COMPUTED_VALUE"""),240.0)</f>
        <v>240</v>
      </c>
      <c r="H220" s="7">
        <f>IFERROR(__xludf.DUMMYFUNCTION("""COMPUTED_VALUE"""),39.58708333333333)</f>
        <v>39.58708333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IFERROR(__xludf.DUMMYFUNCTION("""COMPUTED_VALUE"""),2.0)</f>
        <v>2</v>
      </c>
      <c r="E221" s="7">
        <f>IFERROR(__xludf.DUMMYFUNCTION("""COMPUTED_VALUE"""),6085.06)</f>
        <v>6085.06</v>
      </c>
      <c r="F221" s="7">
        <f>IFERROR(__xludf.DUMMYFUNCTION("""COMPUTED_VALUE"""),4819.5)</f>
        <v>4819.5</v>
      </c>
      <c r="G221" s="6">
        <f>IFERROR(__xludf.DUMMYFUNCTION("""COMPUTED_VALUE"""),117.0)</f>
        <v>117</v>
      </c>
      <c r="H221" s="7">
        <f>IFERROR(__xludf.DUMMYFUNCTION("""COMPUTED_VALUE"""),41.19230769230769)</f>
        <v>41.19230769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IFERROR(__xludf.DUMMYFUNCTION("""COMPUTED_VALUE"""),1.0)</f>
        <v>1</v>
      </c>
      <c r="E222" s="7">
        <f>IFERROR(__xludf.DUMMYFUNCTION("""COMPUTED_VALUE"""),6895.37)</f>
        <v>6895.37</v>
      </c>
      <c r="F222" s="7">
        <f>IFERROR(__xludf.DUMMYFUNCTION("""COMPUTED_VALUE"""),7002.4)</f>
        <v>7002.4</v>
      </c>
      <c r="G222" s="6">
        <f>IFERROR(__xludf.DUMMYFUNCTION("""COMPUTED_VALUE"""),164.0)</f>
        <v>164</v>
      </c>
      <c r="H222" s="7">
        <f>IFERROR(__xludf.DUMMYFUNCTION("""COMPUTED_VALUE"""),42.697560975609754)</f>
        <v>42.69756098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IFERROR(__xludf.DUMMYFUNCTION("""COMPUTED_VALUE"""),2.0)</f>
        <v>2</v>
      </c>
      <c r="E223" s="7">
        <f>IFERROR(__xludf.DUMMYFUNCTION("""COMPUTED_VALUE"""),5574.56)</f>
        <v>5574.56</v>
      </c>
      <c r="F223" s="7">
        <f>IFERROR(__xludf.DUMMYFUNCTION("""COMPUTED_VALUE"""),5511.0)</f>
        <v>5511</v>
      </c>
      <c r="G223" s="6">
        <f>IFERROR(__xludf.DUMMYFUNCTION("""COMPUTED_VALUE"""),117.0)</f>
        <v>117</v>
      </c>
      <c r="H223" s="7">
        <f>IFERROR(__xludf.DUMMYFUNCTION("""COMPUTED_VALUE"""),47.1025641025641)</f>
        <v>47.1025641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IFERROR(__xludf.DUMMYFUNCTION("""COMPUTED_VALUE"""),1.0)</f>
        <v>1</v>
      </c>
      <c r="E224" s="7">
        <f>IFERROR(__xludf.DUMMYFUNCTION("""COMPUTED_VALUE"""),5775.6)</f>
        <v>5775.6</v>
      </c>
      <c r="F224" s="7">
        <f>IFERROR(__xludf.DUMMYFUNCTION("""COMPUTED_VALUE"""),5700.0)</f>
        <v>5700</v>
      </c>
      <c r="G224" s="6">
        <f>IFERROR(__xludf.DUMMYFUNCTION("""COMPUTED_VALUE"""),143.0)</f>
        <v>143</v>
      </c>
      <c r="H224" s="7">
        <f>IFERROR(__xludf.DUMMYFUNCTION("""COMPUTED_VALUE"""),39.86013986013986)</f>
        <v>39.86013986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IFERROR(__xludf.DUMMYFUNCTION("""COMPUTED_VALUE"""),2.0)</f>
        <v>2</v>
      </c>
      <c r="E225" s="7">
        <f>IFERROR(__xludf.DUMMYFUNCTION("""COMPUTED_VALUE"""),5889.84)</f>
        <v>5889.84</v>
      </c>
      <c r="F225" s="7">
        <f>IFERROR(__xludf.DUMMYFUNCTION("""COMPUTED_VALUE"""),5858.0)</f>
        <v>5858</v>
      </c>
      <c r="G225" s="6">
        <f>IFERROR(__xludf.DUMMYFUNCTION("""COMPUTED_VALUE"""),143.0)</f>
        <v>143</v>
      </c>
      <c r="H225" s="7">
        <f>IFERROR(__xludf.DUMMYFUNCTION("""COMPUTED_VALUE"""),40.96503496503497)</f>
        <v>40.96503497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IFERROR(__xludf.DUMMYFUNCTION("""COMPUTED_VALUE"""),1.0)</f>
        <v>1</v>
      </c>
      <c r="E226" s="7">
        <f>IFERROR(__xludf.DUMMYFUNCTION("""COMPUTED_VALUE"""),6101.83)</f>
        <v>6101.83</v>
      </c>
      <c r="F226" s="7">
        <f>IFERROR(__xludf.DUMMYFUNCTION("""COMPUTED_VALUE"""),5198.5)</f>
        <v>5198.5</v>
      </c>
      <c r="G226" s="6">
        <f>IFERROR(__xludf.DUMMYFUNCTION("""COMPUTED_VALUE"""),125.0)</f>
        <v>125</v>
      </c>
      <c r="H226" s="7">
        <f>IFERROR(__xludf.DUMMYFUNCTION("""COMPUTED_VALUE"""),41.588)</f>
        <v>41.588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IFERROR(__xludf.DUMMYFUNCTION("""COMPUTED_VALUE"""),2.0)</f>
        <v>2</v>
      </c>
      <c r="E227" s="7">
        <f>IFERROR(__xludf.DUMMYFUNCTION("""COMPUTED_VALUE"""),6435.24)</f>
        <v>6435.24</v>
      </c>
      <c r="F227" s="7">
        <f>IFERROR(__xludf.DUMMYFUNCTION("""COMPUTED_VALUE"""),4780.01)</f>
        <v>4780.01</v>
      </c>
      <c r="G227" s="6">
        <f>IFERROR(__xludf.DUMMYFUNCTION("""COMPUTED_VALUE"""),117.0)</f>
        <v>117</v>
      </c>
      <c r="H227" s="7">
        <f>IFERROR(__xludf.DUMMYFUNCTION("""COMPUTED_VALUE"""),40.854786324786325)</f>
        <v>40.85478632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IFERROR(__xludf.DUMMYFUNCTION("""COMPUTED_VALUE"""),1.0)</f>
        <v>1</v>
      </c>
      <c r="E228" s="7">
        <f>IFERROR(__xludf.DUMMYFUNCTION("""COMPUTED_VALUE"""),6085.06)</f>
        <v>6085.06</v>
      </c>
      <c r="F228" s="7">
        <f>IFERROR(__xludf.DUMMYFUNCTION("""COMPUTED_VALUE"""),7839.5)</f>
        <v>7839.5</v>
      </c>
      <c r="G228" s="6">
        <f>IFERROR(__xludf.DUMMYFUNCTION("""COMPUTED_VALUE"""),154.0)</f>
        <v>154</v>
      </c>
      <c r="H228" s="7">
        <f>IFERROR(__xludf.DUMMYFUNCTION("""COMPUTED_VALUE"""),50.90584415584416)</f>
        <v>50.90584416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IFERROR(__xludf.DUMMYFUNCTION("""COMPUTED_VALUE"""),2.0)</f>
        <v>2</v>
      </c>
      <c r="E229" s="7">
        <f>IFERROR(__xludf.DUMMYFUNCTION("""COMPUTED_VALUE"""),6895.37)</f>
        <v>6895.37</v>
      </c>
      <c r="F229" s="7">
        <f>IFERROR(__xludf.DUMMYFUNCTION("""COMPUTED_VALUE"""),7144.45)</f>
        <v>7144.45</v>
      </c>
      <c r="G229" s="6">
        <f>IFERROR(__xludf.DUMMYFUNCTION("""COMPUTED_VALUE"""),151.0)</f>
        <v>151</v>
      </c>
      <c r="H229" s="7">
        <f>IFERROR(__xludf.DUMMYFUNCTION("""COMPUTED_VALUE"""),47.314238410596026)</f>
        <v>47.31423841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IFERROR(__xludf.DUMMYFUNCTION("""COMPUTED_VALUE"""),1.0)</f>
        <v>1</v>
      </c>
      <c r="E230" s="7">
        <f>IFERROR(__xludf.DUMMYFUNCTION("""COMPUTED_VALUE"""),5574.56)</f>
        <v>5574.56</v>
      </c>
      <c r="F230" s="7">
        <f>IFERROR(__xludf.DUMMYFUNCTION("""COMPUTED_VALUE"""),5274.0)</f>
        <v>5274</v>
      </c>
      <c r="G230" s="6">
        <f>IFERROR(__xludf.DUMMYFUNCTION("""COMPUTED_VALUE"""),119.0)</f>
        <v>119</v>
      </c>
      <c r="H230" s="7">
        <f>IFERROR(__xludf.DUMMYFUNCTION("""COMPUTED_VALUE"""),44.319327731092436)</f>
        <v>44.31932773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IFERROR(__xludf.DUMMYFUNCTION("""COMPUTED_VALUE"""),2.0)</f>
        <v>2</v>
      </c>
      <c r="E231" s="7">
        <f>IFERROR(__xludf.DUMMYFUNCTION("""COMPUTED_VALUE"""),5775.6)</f>
        <v>5775.6</v>
      </c>
      <c r="F231" s="7">
        <f>IFERROR(__xludf.DUMMYFUNCTION("""COMPUTED_VALUE"""),5396.5)</f>
        <v>5396.5</v>
      </c>
      <c r="G231" s="6">
        <f>IFERROR(__xludf.DUMMYFUNCTION("""COMPUTED_VALUE"""),116.0)</f>
        <v>116</v>
      </c>
      <c r="H231" s="7">
        <f>IFERROR(__xludf.DUMMYFUNCTION("""COMPUTED_VALUE"""),46.52155172413793)</f>
        <v>46.52155172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IFERROR(__xludf.DUMMYFUNCTION("""COMPUTED_VALUE"""),1.0)</f>
        <v>1</v>
      </c>
      <c r="E232" s="7">
        <f>IFERROR(__xludf.DUMMYFUNCTION("""COMPUTED_VALUE"""),5889.84)</f>
        <v>5889.84</v>
      </c>
      <c r="F232" s="7">
        <f>IFERROR(__xludf.DUMMYFUNCTION("""COMPUTED_VALUE"""),5503.0)</f>
        <v>5503</v>
      </c>
      <c r="G232" s="6">
        <f>IFERROR(__xludf.DUMMYFUNCTION("""COMPUTED_VALUE"""),143.0)</f>
        <v>143</v>
      </c>
      <c r="H232" s="7">
        <f>IFERROR(__xludf.DUMMYFUNCTION("""COMPUTED_VALUE"""),38.48251748251748)</f>
        <v>38.48251748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IFERROR(__xludf.DUMMYFUNCTION("""COMPUTED_VALUE"""),2.0)</f>
        <v>2</v>
      </c>
      <c r="E233" s="7">
        <f>IFERROR(__xludf.DUMMYFUNCTION("""COMPUTED_VALUE"""),6101.83)</f>
        <v>6101.83</v>
      </c>
      <c r="F233" s="7">
        <f>IFERROR(__xludf.DUMMYFUNCTION("""COMPUTED_VALUE"""),5177.02)</f>
        <v>5177.02</v>
      </c>
      <c r="G233" s="6">
        <f>IFERROR(__xludf.DUMMYFUNCTION("""COMPUTED_VALUE"""),120.0)</f>
        <v>120</v>
      </c>
      <c r="H233" s="7">
        <f>IFERROR(__xludf.DUMMYFUNCTION("""COMPUTED_VALUE"""),43.14183333333334)</f>
        <v>43.14183333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IFERROR(__xludf.DUMMYFUNCTION("""COMPUTED_VALUE"""),1.0)</f>
        <v>1</v>
      </c>
      <c r="E234" s="7">
        <f>IFERROR(__xludf.DUMMYFUNCTION("""COMPUTED_VALUE"""),6435.24)</f>
        <v>6435.24</v>
      </c>
      <c r="F234" s="7">
        <f>IFERROR(__xludf.DUMMYFUNCTION("""COMPUTED_VALUE"""),4883.05)</f>
        <v>4883.05</v>
      </c>
      <c r="G234" s="6">
        <f>IFERROR(__xludf.DUMMYFUNCTION("""COMPUTED_VALUE"""),131.0)</f>
        <v>131</v>
      </c>
      <c r="H234" s="7">
        <f>IFERROR(__xludf.DUMMYFUNCTION("""COMPUTED_VALUE"""),37.27519083969466)</f>
        <v>37.27519084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IFERROR(__xludf.DUMMYFUNCTION("""COMPUTED_VALUE"""),2.0)</f>
        <v>2</v>
      </c>
      <c r="E235" s="7">
        <f>IFERROR(__xludf.DUMMYFUNCTION("""COMPUTED_VALUE"""),6085.06)</f>
        <v>6085.06</v>
      </c>
      <c r="F235" s="7">
        <f>IFERROR(__xludf.DUMMYFUNCTION("""COMPUTED_VALUE"""),4994.3)</f>
        <v>4994.3</v>
      </c>
      <c r="G235" s="6">
        <f>IFERROR(__xludf.DUMMYFUNCTION("""COMPUTED_VALUE"""),115.0)</f>
        <v>115</v>
      </c>
      <c r="H235" s="7">
        <f>IFERROR(__xludf.DUMMYFUNCTION("""COMPUTED_VALUE"""),43.428695652173914)</f>
        <v>43.42869565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IFERROR(__xludf.DUMMYFUNCTION("""COMPUTED_VALUE"""),1.0)</f>
        <v>1</v>
      </c>
      <c r="E236" s="7">
        <f>IFERROR(__xludf.DUMMYFUNCTION("""COMPUTED_VALUE"""),6895.37)</f>
        <v>6895.37</v>
      </c>
      <c r="F236" s="7">
        <f>IFERROR(__xludf.DUMMYFUNCTION("""COMPUTED_VALUE"""),6177.51)</f>
        <v>6177.51</v>
      </c>
      <c r="G236" s="6">
        <f>IFERROR(__xludf.DUMMYFUNCTION("""COMPUTED_VALUE"""),131.0)</f>
        <v>131</v>
      </c>
      <c r="H236" s="7">
        <f>IFERROR(__xludf.DUMMYFUNCTION("""COMPUTED_VALUE"""),47.15656488549619)</f>
        <v>47.15656489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IFERROR(__xludf.DUMMYFUNCTION("""COMPUTED_VALUE"""),2.0)</f>
        <v>2</v>
      </c>
      <c r="E237" s="7">
        <f>IFERROR(__xludf.DUMMYFUNCTION("""COMPUTED_VALUE"""),5574.56)</f>
        <v>5574.56</v>
      </c>
      <c r="F237" s="7">
        <f>IFERROR(__xludf.DUMMYFUNCTION("""COMPUTED_VALUE"""),5144.4)</f>
        <v>5144.4</v>
      </c>
      <c r="G237" s="6">
        <f>IFERROR(__xludf.DUMMYFUNCTION("""COMPUTED_VALUE"""),97.0)</f>
        <v>97</v>
      </c>
      <c r="H237" s="7">
        <f>IFERROR(__xludf.DUMMYFUNCTION("""COMPUTED_VALUE"""),53.03505154639175)</f>
        <v>53.03505155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IFERROR(__xludf.DUMMYFUNCTION("""COMPUTED_VALUE"""),1.0)</f>
        <v>1</v>
      </c>
      <c r="E238" s="7">
        <f>IFERROR(__xludf.DUMMYFUNCTION("""COMPUTED_VALUE"""),5775.6)</f>
        <v>5775.6</v>
      </c>
      <c r="F238" s="7">
        <f>IFERROR(__xludf.DUMMYFUNCTION("""COMPUTED_VALUE"""),4955.5)</f>
        <v>4955.5</v>
      </c>
      <c r="G238" s="6">
        <f>IFERROR(__xludf.DUMMYFUNCTION("""COMPUTED_VALUE"""),104.0)</f>
        <v>104</v>
      </c>
      <c r="H238" s="7">
        <f>IFERROR(__xludf.DUMMYFUNCTION("""COMPUTED_VALUE"""),47.64903846153846)</f>
        <v>47.64903846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IFERROR(__xludf.DUMMYFUNCTION("""COMPUTED_VALUE"""),2.0)</f>
        <v>2</v>
      </c>
      <c r="E239" s="7">
        <f>IFERROR(__xludf.DUMMYFUNCTION("""COMPUTED_VALUE"""),5889.84)</f>
        <v>5889.84</v>
      </c>
      <c r="F239" s="7">
        <f>IFERROR(__xludf.DUMMYFUNCTION("""COMPUTED_VALUE"""),5195.01)</f>
        <v>5195.01</v>
      </c>
      <c r="G239" s="6">
        <f>IFERROR(__xludf.DUMMYFUNCTION("""COMPUTED_VALUE"""),109.0)</f>
        <v>109</v>
      </c>
      <c r="H239" s="7">
        <f>IFERROR(__xludf.DUMMYFUNCTION("""COMPUTED_VALUE"""),47.66064220183486)</f>
        <v>47.6606422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IFERROR(__xludf.DUMMYFUNCTION("""COMPUTED_VALUE"""),1.0)</f>
        <v>1</v>
      </c>
      <c r="E240" s="7">
        <f>IFERROR(__xludf.DUMMYFUNCTION("""COMPUTED_VALUE"""),6101.83)</f>
        <v>6101.83</v>
      </c>
      <c r="F240" s="7">
        <f>IFERROR(__xludf.DUMMYFUNCTION("""COMPUTED_VALUE"""),4968.95)</f>
        <v>4968.95</v>
      </c>
      <c r="G240" s="6">
        <f>IFERROR(__xludf.DUMMYFUNCTION("""COMPUTED_VALUE"""),109.0)</f>
        <v>109</v>
      </c>
      <c r="H240" s="7">
        <f>IFERROR(__xludf.DUMMYFUNCTION("""COMPUTED_VALUE"""),45.58669724770642)</f>
        <v>45.58669725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IFERROR(__xludf.DUMMYFUNCTION("""COMPUTED_VALUE"""),2.0)</f>
        <v>2</v>
      </c>
      <c r="E241" s="7">
        <f>IFERROR(__xludf.DUMMYFUNCTION("""COMPUTED_VALUE"""),6435.24)</f>
        <v>6435.24</v>
      </c>
      <c r="F241" s="7">
        <f>IFERROR(__xludf.DUMMYFUNCTION("""COMPUTED_VALUE"""),4101.8)</f>
        <v>4101.8</v>
      </c>
      <c r="G241" s="6">
        <f>IFERROR(__xludf.DUMMYFUNCTION("""COMPUTED_VALUE"""),95.0)</f>
        <v>95</v>
      </c>
      <c r="H241" s="7">
        <f>IFERROR(__xludf.DUMMYFUNCTION("""COMPUTED_VALUE"""),43.17684210526316)</f>
        <v>43.17684211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IFERROR(__xludf.DUMMYFUNCTION("""COMPUTED_VALUE"""),1.0)</f>
        <v>1</v>
      </c>
      <c r="E242" s="7">
        <f>IFERROR(__xludf.DUMMYFUNCTION("""COMPUTED_VALUE"""),6085.06)</f>
        <v>6085.06</v>
      </c>
      <c r="F242" s="7">
        <f>IFERROR(__xludf.DUMMYFUNCTION("""COMPUTED_VALUE"""),6338.5)</f>
        <v>6338.5</v>
      </c>
      <c r="G242" s="6">
        <f>IFERROR(__xludf.DUMMYFUNCTION("""COMPUTED_VALUE"""),121.0)</f>
        <v>121</v>
      </c>
      <c r="H242" s="7">
        <f>IFERROR(__xludf.DUMMYFUNCTION("""COMPUTED_VALUE"""),52.38429752066116)</f>
        <v>52.38429752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IFERROR(__xludf.DUMMYFUNCTION("""COMPUTED_VALUE"""),2.0)</f>
        <v>2</v>
      </c>
      <c r="E243" s="7">
        <f>IFERROR(__xludf.DUMMYFUNCTION("""COMPUTED_VALUE"""),6895.37)</f>
        <v>6895.37</v>
      </c>
      <c r="F243" s="7">
        <f>IFERROR(__xludf.DUMMYFUNCTION("""COMPUTED_VALUE"""),5747.0)</f>
        <v>5747</v>
      </c>
      <c r="G243" s="6">
        <f>IFERROR(__xludf.DUMMYFUNCTION("""COMPUTED_VALUE"""),128.0)</f>
        <v>128</v>
      </c>
      <c r="H243" s="7">
        <f>IFERROR(__xludf.DUMMYFUNCTION("""COMPUTED_VALUE"""),44.8984375)</f>
        <v>44.8984375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IFERROR(__xludf.DUMMYFUNCTION("""COMPUTED_VALUE"""),1.0)</f>
        <v>1</v>
      </c>
      <c r="E244" s="7">
        <f>IFERROR(__xludf.DUMMYFUNCTION("""COMPUTED_VALUE"""),5574.56)</f>
        <v>5574.56</v>
      </c>
      <c r="F244" s="7">
        <f>IFERROR(__xludf.DUMMYFUNCTION("""COMPUTED_VALUE"""),4998.5)</f>
        <v>4998.5</v>
      </c>
      <c r="G244" s="6">
        <f>IFERROR(__xludf.DUMMYFUNCTION("""COMPUTED_VALUE"""),109.0)</f>
        <v>109</v>
      </c>
      <c r="H244" s="7">
        <f>IFERROR(__xludf.DUMMYFUNCTION("""COMPUTED_VALUE"""),45.857798165137616)</f>
        <v>45.85779817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IFERROR(__xludf.DUMMYFUNCTION("""COMPUTED_VALUE"""),2.0)</f>
        <v>2</v>
      </c>
      <c r="E245" s="7">
        <f>IFERROR(__xludf.DUMMYFUNCTION("""COMPUTED_VALUE"""),5775.6)</f>
        <v>5775.6</v>
      </c>
      <c r="F245" s="7">
        <f>IFERROR(__xludf.DUMMYFUNCTION("""COMPUTED_VALUE"""),3943.65)</f>
        <v>3943.65</v>
      </c>
      <c r="G245" s="6">
        <f>IFERROR(__xludf.DUMMYFUNCTION("""COMPUTED_VALUE"""),101.0)</f>
        <v>101</v>
      </c>
      <c r="H245" s="7">
        <f>IFERROR(__xludf.DUMMYFUNCTION("""COMPUTED_VALUE"""),39.046039603960395)</f>
        <v>39.0460396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IFERROR(__xludf.DUMMYFUNCTION("""COMPUTED_VALUE"""),1.0)</f>
        <v>1</v>
      </c>
      <c r="E246" s="7">
        <f>IFERROR(__xludf.DUMMYFUNCTION("""COMPUTED_VALUE"""),5942.31)</f>
        <v>5942.31</v>
      </c>
      <c r="F246" s="7">
        <f>IFERROR(__xludf.DUMMYFUNCTION("""COMPUTED_VALUE"""),5823.9)</f>
        <v>5823.9</v>
      </c>
      <c r="G246" s="6">
        <f>IFERROR(__xludf.DUMMYFUNCTION("""COMPUTED_VALUE"""),139.0)</f>
        <v>139</v>
      </c>
      <c r="H246" s="7">
        <f>IFERROR(__xludf.DUMMYFUNCTION("""COMPUTED_VALUE"""),41.898561151079136)</f>
        <v>41.89856115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IFERROR(__xludf.DUMMYFUNCTION("""COMPUTED_VALUE"""),2.0)</f>
        <v>2</v>
      </c>
      <c r="E247" s="7">
        <f>IFERROR(__xludf.DUMMYFUNCTION("""COMPUTED_VALUE"""),6101.83)</f>
        <v>6101.83</v>
      </c>
      <c r="F247" s="7">
        <f>IFERROR(__xludf.DUMMYFUNCTION("""COMPUTED_VALUE"""),5513.5)</f>
        <v>5513.5</v>
      </c>
      <c r="G247" s="6">
        <f>IFERROR(__xludf.DUMMYFUNCTION("""COMPUTED_VALUE"""),117.0)</f>
        <v>117</v>
      </c>
      <c r="H247" s="7">
        <f>IFERROR(__xludf.DUMMYFUNCTION("""COMPUTED_VALUE"""),47.123931623931625)</f>
        <v>47.12393162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IFERROR(__xludf.DUMMYFUNCTION("""COMPUTED_VALUE"""),1.0)</f>
        <v>1</v>
      </c>
      <c r="E248" s="7">
        <f>IFERROR(__xludf.DUMMYFUNCTION("""COMPUTED_VALUE"""),6435.24)</f>
        <v>6435.24</v>
      </c>
      <c r="F248" s="7">
        <f>IFERROR(__xludf.DUMMYFUNCTION("""COMPUTED_VALUE"""),5428.51)</f>
        <v>5428.51</v>
      </c>
      <c r="G248" s="6">
        <f>IFERROR(__xludf.DUMMYFUNCTION("""COMPUTED_VALUE"""),128.0)</f>
        <v>128</v>
      </c>
      <c r="H248" s="7">
        <f>IFERROR(__xludf.DUMMYFUNCTION("""COMPUTED_VALUE"""),42.410234375)</f>
        <v>42.41023438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IFERROR(__xludf.DUMMYFUNCTION("""COMPUTED_VALUE"""),2.0)</f>
        <v>2</v>
      </c>
      <c r="E249" s="7">
        <f>IFERROR(__xludf.DUMMYFUNCTION("""COMPUTED_VALUE"""),6114.06)</f>
        <v>6114.06</v>
      </c>
      <c r="F249" s="7">
        <f>IFERROR(__xludf.DUMMYFUNCTION("""COMPUTED_VALUE"""),3984.01)</f>
        <v>3984.01</v>
      </c>
      <c r="G249" s="6">
        <f>IFERROR(__xludf.DUMMYFUNCTION("""COMPUTED_VALUE"""),95.0)</f>
        <v>95</v>
      </c>
      <c r="H249" s="7">
        <f>IFERROR(__xludf.DUMMYFUNCTION("""COMPUTED_VALUE"""),41.93694736842105)</f>
        <v>41.93694737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IFERROR(__xludf.DUMMYFUNCTION("""COMPUTED_VALUE"""),1.0)</f>
        <v>1</v>
      </c>
      <c r="E250" s="7">
        <f>IFERROR(__xludf.DUMMYFUNCTION("""COMPUTED_VALUE"""),6985.56)</f>
        <v>6985.56</v>
      </c>
      <c r="F250" s="7">
        <f>IFERROR(__xludf.DUMMYFUNCTION("""COMPUTED_VALUE"""),6261.0)</f>
        <v>6261</v>
      </c>
      <c r="G250" s="6">
        <f>IFERROR(__xludf.DUMMYFUNCTION("""COMPUTED_VALUE"""),143.0)</f>
        <v>143</v>
      </c>
      <c r="H250" s="7">
        <f>IFERROR(__xludf.DUMMYFUNCTION("""COMPUTED_VALUE"""),43.78321678321678)</f>
        <v>43.78321678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IFERROR(__xludf.DUMMYFUNCTION("""COMPUTED_VALUE"""),2.0)</f>
        <v>2</v>
      </c>
      <c r="E251" s="7">
        <f>IFERROR(__xludf.DUMMYFUNCTION("""COMPUTED_VALUE"""),5624.12)</f>
        <v>5624.12</v>
      </c>
      <c r="F251" s="7">
        <f>IFERROR(__xludf.DUMMYFUNCTION("""COMPUTED_VALUE"""),5571.5)</f>
        <v>5571.5</v>
      </c>
      <c r="G251" s="6">
        <f>IFERROR(__xludf.DUMMYFUNCTION("""COMPUTED_VALUE"""),115.0)</f>
        <v>115</v>
      </c>
      <c r="H251" s="7">
        <f>IFERROR(__xludf.DUMMYFUNCTION("""COMPUTED_VALUE"""),48.447826086956525)</f>
        <v>48.44782609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IFERROR(__xludf.DUMMYFUNCTION("""COMPUTED_VALUE"""),1.0)</f>
        <v>1</v>
      </c>
      <c r="E252" s="7">
        <f>IFERROR(__xludf.DUMMYFUNCTION("""COMPUTED_VALUE"""),5775.6)</f>
        <v>5775.6</v>
      </c>
      <c r="F252" s="7">
        <f>IFERROR(__xludf.DUMMYFUNCTION("""COMPUTED_VALUE"""),4767.4)</f>
        <v>4767.4</v>
      </c>
      <c r="G252" s="6">
        <f>IFERROR(__xludf.DUMMYFUNCTION("""COMPUTED_VALUE"""),115.0)</f>
        <v>115</v>
      </c>
      <c r="H252" s="7">
        <f>IFERROR(__xludf.DUMMYFUNCTION("""COMPUTED_VALUE"""),41.45565217391304)</f>
        <v>41.45565217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IFERROR(__xludf.DUMMYFUNCTION("""COMPUTED_VALUE"""),2.0)</f>
        <v>2</v>
      </c>
      <c r="E253" s="7">
        <f>IFERROR(__xludf.DUMMYFUNCTION("""COMPUTED_VALUE"""),5942.31)</f>
        <v>5942.31</v>
      </c>
      <c r="F253" s="7">
        <f>IFERROR(__xludf.DUMMYFUNCTION("""COMPUTED_VALUE"""),4090.5)</f>
        <v>4090.5</v>
      </c>
      <c r="G253" s="6">
        <f>IFERROR(__xludf.DUMMYFUNCTION("""COMPUTED_VALUE"""),91.0)</f>
        <v>91</v>
      </c>
      <c r="H253" s="7">
        <f>IFERROR(__xludf.DUMMYFUNCTION("""COMPUTED_VALUE"""),44.95054945054945)</f>
        <v>44.95054945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IFERROR(__xludf.DUMMYFUNCTION("""COMPUTED_VALUE"""),1.0)</f>
        <v>1</v>
      </c>
      <c r="E254" s="7">
        <f>IFERROR(__xludf.DUMMYFUNCTION("""COMPUTED_VALUE"""),6101.83)</f>
        <v>6101.83</v>
      </c>
      <c r="F254" s="7">
        <f>IFERROR(__xludf.DUMMYFUNCTION("""COMPUTED_VALUE"""),4666.0)</f>
        <v>4666</v>
      </c>
      <c r="G254" s="6">
        <f>IFERROR(__xludf.DUMMYFUNCTION("""COMPUTED_VALUE"""),110.0)</f>
        <v>110</v>
      </c>
      <c r="H254" s="7">
        <f>IFERROR(__xludf.DUMMYFUNCTION("""COMPUTED_VALUE"""),42.41818181818182)</f>
        <v>42.41818182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IFERROR(__xludf.DUMMYFUNCTION("""COMPUTED_VALUE"""),2.0)</f>
        <v>2</v>
      </c>
      <c r="E255" s="7">
        <f>IFERROR(__xludf.DUMMYFUNCTION("""COMPUTED_VALUE"""),6435.24)</f>
        <v>6435.24</v>
      </c>
      <c r="F255" s="7">
        <f>IFERROR(__xludf.DUMMYFUNCTION("""COMPUTED_VALUE"""),5870.55)</f>
        <v>5870.55</v>
      </c>
      <c r="G255" s="6">
        <f>IFERROR(__xludf.DUMMYFUNCTION("""COMPUTED_VALUE"""),129.0)</f>
        <v>129</v>
      </c>
      <c r="H255" s="7">
        <f>IFERROR(__xludf.DUMMYFUNCTION("""COMPUTED_VALUE"""),45.508139534883725)</f>
        <v>45.50813953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IFERROR(__xludf.DUMMYFUNCTION("""COMPUTED_VALUE"""),1.0)</f>
        <v>1</v>
      </c>
      <c r="E256" s="7">
        <f>IFERROR(__xludf.DUMMYFUNCTION("""COMPUTED_VALUE"""),6114.06)</f>
        <v>6114.06</v>
      </c>
      <c r="F256" s="7">
        <f>IFERROR(__xludf.DUMMYFUNCTION("""COMPUTED_VALUE"""),6168.3)</f>
        <v>6168.3</v>
      </c>
      <c r="G256" s="6">
        <f>IFERROR(__xludf.DUMMYFUNCTION("""COMPUTED_VALUE"""),130.0)</f>
        <v>130</v>
      </c>
      <c r="H256" s="7">
        <f>IFERROR(__xludf.DUMMYFUNCTION("""COMPUTED_VALUE"""),47.44846153846154)</f>
        <v>47.44846154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IFERROR(__xludf.DUMMYFUNCTION("""COMPUTED_VALUE"""),2.0)</f>
        <v>2</v>
      </c>
      <c r="E257" s="7">
        <f>IFERROR(__xludf.DUMMYFUNCTION("""COMPUTED_VALUE"""),6985.56)</f>
        <v>6985.56</v>
      </c>
      <c r="F257" s="7">
        <f>IFERROR(__xludf.DUMMYFUNCTION("""COMPUTED_VALUE"""),6981.0)</f>
        <v>6981</v>
      </c>
      <c r="G257" s="6">
        <f>IFERROR(__xludf.DUMMYFUNCTION("""COMPUTED_VALUE"""),141.0)</f>
        <v>141</v>
      </c>
      <c r="H257" s="7">
        <f>IFERROR(__xludf.DUMMYFUNCTION("""COMPUTED_VALUE"""),49.51063829787234)</f>
        <v>49.5106383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IFERROR(__xludf.DUMMYFUNCTION("""COMPUTED_VALUE"""),1.0)</f>
        <v>1</v>
      </c>
      <c r="E258" s="7">
        <f>IFERROR(__xludf.DUMMYFUNCTION("""COMPUTED_VALUE"""),5624.12)</f>
        <v>5624.12</v>
      </c>
      <c r="F258" s="7">
        <f>IFERROR(__xludf.DUMMYFUNCTION("""COMPUTED_VALUE"""),5496.4)</f>
        <v>5496.4</v>
      </c>
      <c r="G258" s="6">
        <f>IFERROR(__xludf.DUMMYFUNCTION("""COMPUTED_VALUE"""),109.0)</f>
        <v>109</v>
      </c>
      <c r="H258" s="7">
        <f>IFERROR(__xludf.DUMMYFUNCTION("""COMPUTED_VALUE"""),50.42568807339449)</f>
        <v>50.42568807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IFERROR(__xludf.DUMMYFUNCTION("""COMPUTED_VALUE"""),2.0)</f>
        <v>2</v>
      </c>
      <c r="E259" s="7">
        <f>IFERROR(__xludf.DUMMYFUNCTION("""COMPUTED_VALUE"""),5775.6)</f>
        <v>5775.6</v>
      </c>
      <c r="F259" s="7">
        <f>IFERROR(__xludf.DUMMYFUNCTION("""COMPUTED_VALUE"""),3511.5)</f>
        <v>3511.5</v>
      </c>
      <c r="G259" s="6">
        <f>IFERROR(__xludf.DUMMYFUNCTION("""COMPUTED_VALUE"""),86.0)</f>
        <v>86</v>
      </c>
      <c r="H259" s="7">
        <f>IFERROR(__xludf.DUMMYFUNCTION("""COMPUTED_VALUE"""),40.83139534883721)</f>
        <v>40.83139535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IFERROR(__xludf.DUMMYFUNCTION("""COMPUTED_VALUE"""),1.0)</f>
        <v>1</v>
      </c>
      <c r="E260" s="7">
        <f>IFERROR(__xludf.DUMMYFUNCTION("""COMPUTED_VALUE"""),5942.31)</f>
        <v>5942.31</v>
      </c>
      <c r="F260" s="7">
        <f>IFERROR(__xludf.DUMMYFUNCTION("""COMPUTED_VALUE"""),4733.02)</f>
        <v>4733.02</v>
      </c>
      <c r="G260" s="6">
        <f>IFERROR(__xludf.DUMMYFUNCTION("""COMPUTED_VALUE"""),114.0)</f>
        <v>114</v>
      </c>
      <c r="H260" s="7">
        <f>IFERROR(__xludf.DUMMYFUNCTION("""COMPUTED_VALUE"""),41.517719298245616)</f>
        <v>41.5177193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IFERROR(__xludf.DUMMYFUNCTION("""COMPUTED_VALUE"""),2.0)</f>
        <v>2</v>
      </c>
      <c r="E261" s="7">
        <f>IFERROR(__xludf.DUMMYFUNCTION("""COMPUTED_VALUE"""),6101.83)</f>
        <v>6101.83</v>
      </c>
      <c r="F261" s="7">
        <f>IFERROR(__xludf.DUMMYFUNCTION("""COMPUTED_VALUE"""),5370.41)</f>
        <v>5370.41</v>
      </c>
      <c r="G261" s="6">
        <f>IFERROR(__xludf.DUMMYFUNCTION("""COMPUTED_VALUE"""),117.0)</f>
        <v>117</v>
      </c>
      <c r="H261" s="7">
        <f>IFERROR(__xludf.DUMMYFUNCTION("""COMPUTED_VALUE"""),45.90094017094017)</f>
        <v>45.90094017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IFERROR(__xludf.DUMMYFUNCTION("""COMPUTED_VALUE"""),1.0)</f>
        <v>1</v>
      </c>
      <c r="E262" s="7">
        <f>IFERROR(__xludf.DUMMYFUNCTION("""COMPUTED_VALUE"""),6435.24)</f>
        <v>6435.24</v>
      </c>
      <c r="F262" s="7">
        <f>IFERROR(__xludf.DUMMYFUNCTION("""COMPUTED_VALUE"""),5063.52)</f>
        <v>5063.52</v>
      </c>
      <c r="G262" s="6">
        <f>IFERROR(__xludf.DUMMYFUNCTION("""COMPUTED_VALUE"""),120.0)</f>
        <v>120</v>
      </c>
      <c r="H262" s="7">
        <f>IFERROR(__xludf.DUMMYFUNCTION("""COMPUTED_VALUE"""),42.196000000000005)</f>
        <v>42.196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IFERROR(__xludf.DUMMYFUNCTION("""COMPUTED_VALUE"""),2.0)</f>
        <v>2</v>
      </c>
      <c r="E263" s="7">
        <f>IFERROR(__xludf.DUMMYFUNCTION("""COMPUTED_VALUE"""),6114.06)</f>
        <v>6114.06</v>
      </c>
      <c r="F263" s="7">
        <f>IFERROR(__xludf.DUMMYFUNCTION("""COMPUTED_VALUE"""),5173.55)</f>
        <v>5173.55</v>
      </c>
      <c r="G263" s="6">
        <f>IFERROR(__xludf.DUMMYFUNCTION("""COMPUTED_VALUE"""),119.0)</f>
        <v>119</v>
      </c>
      <c r="H263" s="7">
        <f>IFERROR(__xludf.DUMMYFUNCTION("""COMPUTED_VALUE"""),43.47521008403361)</f>
        <v>43.47521008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IFERROR(__xludf.DUMMYFUNCTION("""COMPUTED_VALUE"""),1.0)</f>
        <v>1</v>
      </c>
      <c r="E264" s="7">
        <f>IFERROR(__xludf.DUMMYFUNCTION("""COMPUTED_VALUE"""),6985.56)</f>
        <v>6985.56</v>
      </c>
      <c r="F264" s="7">
        <f>IFERROR(__xludf.DUMMYFUNCTION("""COMPUTED_VALUE"""),6827.5)</f>
        <v>6827.5</v>
      </c>
      <c r="G264" s="6">
        <f>IFERROR(__xludf.DUMMYFUNCTION("""COMPUTED_VALUE"""),151.0)</f>
        <v>151</v>
      </c>
      <c r="H264" s="7">
        <f>IFERROR(__xludf.DUMMYFUNCTION("""COMPUTED_VALUE"""),45.21523178807947)</f>
        <v>45.21523179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IFERROR(__xludf.DUMMYFUNCTION("""COMPUTED_VALUE"""),2.0)</f>
        <v>2</v>
      </c>
      <c r="E265" s="7">
        <f>IFERROR(__xludf.DUMMYFUNCTION("""COMPUTED_VALUE"""),5624.12)</f>
        <v>5624.12</v>
      </c>
      <c r="F265" s="7">
        <f>IFERROR(__xludf.DUMMYFUNCTION("""COMPUTED_VALUE"""),3876.5)</f>
        <v>3876.5</v>
      </c>
      <c r="G265" s="6">
        <f>IFERROR(__xludf.DUMMYFUNCTION("""COMPUTED_VALUE"""),94.0)</f>
        <v>94</v>
      </c>
      <c r="H265" s="7">
        <f>IFERROR(__xludf.DUMMYFUNCTION("""COMPUTED_VALUE"""),41.23936170212766)</f>
        <v>41.2393617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IFERROR(__xludf.DUMMYFUNCTION("""COMPUTED_VALUE"""),1.0)</f>
        <v>1</v>
      </c>
      <c r="E266" s="7">
        <f>IFERROR(__xludf.DUMMYFUNCTION("""COMPUTED_VALUE"""),5775.6)</f>
        <v>5775.6</v>
      </c>
      <c r="F266" s="7">
        <f>IFERROR(__xludf.DUMMYFUNCTION("""COMPUTED_VALUE"""),3968.5)</f>
        <v>3968.5</v>
      </c>
      <c r="G266" s="6">
        <f>IFERROR(__xludf.DUMMYFUNCTION("""COMPUTED_VALUE"""),105.0)</f>
        <v>105</v>
      </c>
      <c r="H266" s="7">
        <f>IFERROR(__xludf.DUMMYFUNCTION("""COMPUTED_VALUE"""),37.7952380952381)</f>
        <v>37.7952381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IFERROR(__xludf.DUMMYFUNCTION("""COMPUTED_VALUE"""),2.0)</f>
        <v>2</v>
      </c>
      <c r="E267" s="7">
        <f>IFERROR(__xludf.DUMMYFUNCTION("""COMPUTED_VALUE"""),5942.31)</f>
        <v>5942.31</v>
      </c>
      <c r="F267" s="7">
        <f>IFERROR(__xludf.DUMMYFUNCTION("""COMPUTED_VALUE"""),4766.0)</f>
        <v>4766</v>
      </c>
      <c r="G267" s="6">
        <f>IFERROR(__xludf.DUMMYFUNCTION("""COMPUTED_VALUE"""),122.0)</f>
        <v>122</v>
      </c>
      <c r="H267" s="7">
        <f>IFERROR(__xludf.DUMMYFUNCTION("""COMPUTED_VALUE"""),39.0655737704918)</f>
        <v>39.06557377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IFERROR(__xludf.DUMMYFUNCTION("""COMPUTED_VALUE"""),1.0)</f>
        <v>1</v>
      </c>
      <c r="E268" s="7">
        <f>IFERROR(__xludf.DUMMYFUNCTION("""COMPUTED_VALUE"""),6101.83)</f>
        <v>6101.83</v>
      </c>
      <c r="F268" s="7">
        <f>IFERROR(__xludf.DUMMYFUNCTION("""COMPUTED_VALUE"""),4570.5)</f>
        <v>4570.5</v>
      </c>
      <c r="G268" s="6">
        <f>IFERROR(__xludf.DUMMYFUNCTION("""COMPUTED_VALUE"""),112.0)</f>
        <v>112</v>
      </c>
      <c r="H268" s="7">
        <f>IFERROR(__xludf.DUMMYFUNCTION("""COMPUTED_VALUE"""),40.808035714285715)</f>
        <v>40.80803571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IFERROR(__xludf.DUMMYFUNCTION("""COMPUTED_VALUE"""),2.0)</f>
        <v>2</v>
      </c>
      <c r="E269" s="7">
        <f>IFERROR(__xludf.DUMMYFUNCTION("""COMPUTED_VALUE"""),6435.24)</f>
        <v>6435.24</v>
      </c>
      <c r="F269" s="7">
        <f>IFERROR(__xludf.DUMMYFUNCTION("""COMPUTED_VALUE"""),5385.0)</f>
        <v>5385</v>
      </c>
      <c r="G269" s="6">
        <f>IFERROR(__xludf.DUMMYFUNCTION("""COMPUTED_VALUE"""),122.0)</f>
        <v>122</v>
      </c>
      <c r="H269" s="7">
        <f>IFERROR(__xludf.DUMMYFUNCTION("""COMPUTED_VALUE"""),44.13934426229508)</f>
        <v>44.13934426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IFERROR(__xludf.DUMMYFUNCTION("""COMPUTED_VALUE"""),1.0)</f>
        <v>1</v>
      </c>
      <c r="E270" s="7">
        <f>IFERROR(__xludf.DUMMYFUNCTION("""COMPUTED_VALUE"""),6114.06)</f>
        <v>6114.06</v>
      </c>
      <c r="F270" s="7">
        <f>IFERROR(__xludf.DUMMYFUNCTION("""COMPUTED_VALUE"""),5113.0)</f>
        <v>5113</v>
      </c>
      <c r="G270" s="6">
        <f>IFERROR(__xludf.DUMMYFUNCTION("""COMPUTED_VALUE"""),120.0)</f>
        <v>120</v>
      </c>
      <c r="H270" s="7">
        <f>IFERROR(__xludf.DUMMYFUNCTION("""COMPUTED_VALUE"""),42.608333333333334)</f>
        <v>42.60833333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IFERROR(__xludf.DUMMYFUNCTION("""COMPUTED_VALUE"""),2.0)</f>
        <v>2</v>
      </c>
      <c r="E271" s="7">
        <f>IFERROR(__xludf.DUMMYFUNCTION("""COMPUTED_VALUE"""),6985.56)</f>
        <v>6985.56</v>
      </c>
      <c r="F271" s="7">
        <f>IFERROR(__xludf.DUMMYFUNCTION("""COMPUTED_VALUE"""),5288.5)</f>
        <v>5288.5</v>
      </c>
      <c r="G271" s="6">
        <f>IFERROR(__xludf.DUMMYFUNCTION("""COMPUTED_VALUE"""),115.0)</f>
        <v>115</v>
      </c>
      <c r="H271" s="7">
        <f>IFERROR(__xludf.DUMMYFUNCTION("""COMPUTED_VALUE"""),45.98695652173913)</f>
        <v>45.98695652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IFERROR(__xludf.DUMMYFUNCTION("""COMPUTED_VALUE"""),1.0)</f>
        <v>1</v>
      </c>
      <c r="E272" s="7">
        <f>IFERROR(__xludf.DUMMYFUNCTION("""COMPUTED_VALUE"""),5624.12)</f>
        <v>5624.12</v>
      </c>
      <c r="F272" s="7">
        <f>IFERROR(__xludf.DUMMYFUNCTION("""COMPUTED_VALUE"""),4664.0)</f>
        <v>4664</v>
      </c>
      <c r="G272" s="6">
        <f>IFERROR(__xludf.DUMMYFUNCTION("""COMPUTED_VALUE"""),99.0)</f>
        <v>99</v>
      </c>
      <c r="H272" s="7">
        <f>IFERROR(__xludf.DUMMYFUNCTION("""COMPUTED_VALUE"""),47.111111111111114)</f>
        <v>47.11111111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IFERROR(__xludf.DUMMYFUNCTION("""COMPUTED_VALUE"""),2.0)</f>
        <v>2</v>
      </c>
      <c r="E273" s="7">
        <f>IFERROR(__xludf.DUMMYFUNCTION("""COMPUTED_VALUE"""),5775.6)</f>
        <v>5775.6</v>
      </c>
      <c r="F273" s="7">
        <f>IFERROR(__xludf.DUMMYFUNCTION("""COMPUTED_VALUE"""),4976.01)</f>
        <v>4976.01</v>
      </c>
      <c r="G273" s="6">
        <f>IFERROR(__xludf.DUMMYFUNCTION("""COMPUTED_VALUE"""),123.0)</f>
        <v>123</v>
      </c>
      <c r="H273" s="7">
        <f>IFERROR(__xludf.DUMMYFUNCTION("""COMPUTED_VALUE"""),40.45536585365854)</f>
        <v>40.45536585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IFERROR(__xludf.DUMMYFUNCTION("""COMPUTED_VALUE"""),1.0)</f>
        <v>1</v>
      </c>
      <c r="E274" s="7">
        <f>IFERROR(__xludf.DUMMYFUNCTION("""COMPUTED_VALUE"""),5942.31)</f>
        <v>5942.31</v>
      </c>
      <c r="F274" s="7">
        <f>IFERROR(__xludf.DUMMYFUNCTION("""COMPUTED_VALUE"""),4761.0)</f>
        <v>4761</v>
      </c>
      <c r="G274" s="6">
        <f>IFERROR(__xludf.DUMMYFUNCTION("""COMPUTED_VALUE"""),114.0)</f>
        <v>114</v>
      </c>
      <c r="H274" s="7">
        <f>IFERROR(__xludf.DUMMYFUNCTION("""COMPUTED_VALUE"""),41.76315789473684)</f>
        <v>41.76315789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IFERROR(__xludf.DUMMYFUNCTION("""COMPUTED_VALUE"""),2.0)</f>
        <v>2</v>
      </c>
      <c r="E275" s="7">
        <f>IFERROR(__xludf.DUMMYFUNCTION("""COMPUTED_VALUE"""),6008.44)</f>
        <v>6008.44</v>
      </c>
      <c r="F275" s="7">
        <f>IFERROR(__xludf.DUMMYFUNCTION("""COMPUTED_VALUE"""),4690.0)</f>
        <v>4690</v>
      </c>
      <c r="G275" s="6">
        <f>IFERROR(__xludf.DUMMYFUNCTION("""COMPUTED_VALUE"""),110.0)</f>
        <v>110</v>
      </c>
      <c r="H275" s="7">
        <f>IFERROR(__xludf.DUMMYFUNCTION("""COMPUTED_VALUE"""),42.63636363636363)</f>
        <v>42.63636364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IFERROR(__xludf.DUMMYFUNCTION("""COMPUTED_VALUE"""),1.0)</f>
        <v>1</v>
      </c>
      <c r="E276" s="7">
        <f>IFERROR(__xludf.DUMMYFUNCTION("""COMPUTED_VALUE"""),6276.66)</f>
        <v>6276.66</v>
      </c>
      <c r="F276" s="7">
        <f>IFERROR(__xludf.DUMMYFUNCTION("""COMPUTED_VALUE"""),4366.0)</f>
        <v>4366</v>
      </c>
      <c r="G276" s="6">
        <f>IFERROR(__xludf.DUMMYFUNCTION("""COMPUTED_VALUE"""),106.0)</f>
        <v>106</v>
      </c>
      <c r="H276" s="7">
        <f>IFERROR(__xludf.DUMMYFUNCTION("""COMPUTED_VALUE"""),41.18867924528302)</f>
        <v>41.18867925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IFERROR(__xludf.DUMMYFUNCTION("""COMPUTED_VALUE"""),2.0)</f>
        <v>2</v>
      </c>
      <c r="E277" s="7">
        <f>IFERROR(__xludf.DUMMYFUNCTION("""COMPUTED_VALUE"""),6197.69)</f>
        <v>6197.69</v>
      </c>
      <c r="F277" s="7">
        <f>IFERROR(__xludf.DUMMYFUNCTION("""COMPUTED_VALUE"""),4551.0)</f>
        <v>4551</v>
      </c>
      <c r="G277" s="6">
        <f>IFERROR(__xludf.DUMMYFUNCTION("""COMPUTED_VALUE"""),111.0)</f>
        <v>111</v>
      </c>
      <c r="H277" s="7">
        <f>IFERROR(__xludf.DUMMYFUNCTION("""COMPUTED_VALUE"""),41.0)</f>
        <v>41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IFERROR(__xludf.DUMMYFUNCTION("""COMPUTED_VALUE"""),1.0)</f>
        <v>1</v>
      </c>
      <c r="E278" s="7">
        <f>IFERROR(__xludf.DUMMYFUNCTION("""COMPUTED_VALUE"""),7130.16)</f>
        <v>7130.16</v>
      </c>
      <c r="F278" s="7">
        <f>IFERROR(__xludf.DUMMYFUNCTION("""COMPUTED_VALUE"""),7375.0)</f>
        <v>7375</v>
      </c>
      <c r="G278" s="6">
        <f>IFERROR(__xludf.DUMMYFUNCTION("""COMPUTED_VALUE"""),149.0)</f>
        <v>149</v>
      </c>
      <c r="H278" s="7">
        <f>IFERROR(__xludf.DUMMYFUNCTION("""COMPUTED_VALUE"""),49.49664429530201)</f>
        <v>49.4966443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IFERROR(__xludf.DUMMYFUNCTION("""COMPUTED_VALUE"""),2.0)</f>
        <v>2</v>
      </c>
      <c r="E279" s="7">
        <f>IFERROR(__xludf.DUMMYFUNCTION("""COMPUTED_VALUE"""),5631.13)</f>
        <v>5631.13</v>
      </c>
      <c r="F279" s="7">
        <f>IFERROR(__xludf.DUMMYFUNCTION("""COMPUTED_VALUE"""),5237.0)</f>
        <v>5237</v>
      </c>
      <c r="G279" s="6">
        <f>IFERROR(__xludf.DUMMYFUNCTION("""COMPUTED_VALUE"""),118.0)</f>
        <v>118</v>
      </c>
      <c r="H279" s="7">
        <f>IFERROR(__xludf.DUMMYFUNCTION("""COMPUTED_VALUE"""),44.38135593220339)</f>
        <v>44.38135593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IFERROR(__xludf.DUMMYFUNCTION("""COMPUTED_VALUE"""),1.0)</f>
        <v>1</v>
      </c>
      <c r="E280" s="7">
        <f>IFERROR(__xludf.DUMMYFUNCTION("""COMPUTED_VALUE"""),5665.48)</f>
        <v>5665.48</v>
      </c>
      <c r="F280" s="7">
        <f>IFERROR(__xludf.DUMMYFUNCTION("""COMPUTED_VALUE"""),4213.52)</f>
        <v>4213.52</v>
      </c>
      <c r="G280" s="6">
        <f>IFERROR(__xludf.DUMMYFUNCTION("""COMPUTED_VALUE"""),96.0)</f>
        <v>96</v>
      </c>
      <c r="H280" s="7">
        <f>IFERROR(__xludf.DUMMYFUNCTION("""COMPUTED_VALUE"""),43.89083333333334)</f>
        <v>43.89083333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IFERROR(__xludf.DUMMYFUNCTION("""COMPUTED_VALUE"""),2.0)</f>
        <v>2</v>
      </c>
      <c r="E281" s="7">
        <f>IFERROR(__xludf.DUMMYFUNCTION("""COMPUTED_VALUE"""),5908.69)</f>
        <v>5908.69</v>
      </c>
      <c r="F281" s="7">
        <f>IFERROR(__xludf.DUMMYFUNCTION("""COMPUTED_VALUE"""),4601.52)</f>
        <v>4601.52</v>
      </c>
      <c r="G281" s="6">
        <f>IFERROR(__xludf.DUMMYFUNCTION("""COMPUTED_VALUE"""),120.0)</f>
        <v>120</v>
      </c>
      <c r="H281" s="7">
        <f>IFERROR(__xludf.DUMMYFUNCTION("""COMPUTED_VALUE"""),38.346000000000004)</f>
        <v>38.346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IFERROR(__xludf.DUMMYFUNCTION("""COMPUTED_VALUE"""),1.0)</f>
        <v>1</v>
      </c>
      <c r="E282" s="7">
        <f>IFERROR(__xludf.DUMMYFUNCTION("""COMPUTED_VALUE"""),6008.44)</f>
        <v>6008.44</v>
      </c>
      <c r="F282" s="7">
        <f>IFERROR(__xludf.DUMMYFUNCTION("""COMPUTED_VALUE"""),7111.4)</f>
        <v>7111.4</v>
      </c>
      <c r="G282" s="6">
        <f>IFERROR(__xludf.DUMMYFUNCTION("""COMPUTED_VALUE"""),150.0)</f>
        <v>150</v>
      </c>
      <c r="H282" s="7">
        <f>IFERROR(__xludf.DUMMYFUNCTION("""COMPUTED_VALUE"""),47.40933333333333)</f>
        <v>47.40933333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IFERROR(__xludf.DUMMYFUNCTION("""COMPUTED_VALUE"""),2.0)</f>
        <v>2</v>
      </c>
      <c r="E283" s="7">
        <f>IFERROR(__xludf.DUMMYFUNCTION("""COMPUTED_VALUE"""),6276.66)</f>
        <v>6276.66</v>
      </c>
      <c r="F283" s="7">
        <f>IFERROR(__xludf.DUMMYFUNCTION("""COMPUTED_VALUE"""),5219.51)</f>
        <v>5219.51</v>
      </c>
      <c r="G283" s="6">
        <f>IFERROR(__xludf.DUMMYFUNCTION("""COMPUTED_VALUE"""),130.0)</f>
        <v>130</v>
      </c>
      <c r="H283" s="7">
        <f>IFERROR(__xludf.DUMMYFUNCTION("""COMPUTED_VALUE"""),40.150076923076924)</f>
        <v>40.15007692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IFERROR(__xludf.DUMMYFUNCTION("""COMPUTED_VALUE"""),1.0)</f>
        <v>1</v>
      </c>
      <c r="E284" s="7">
        <f>IFERROR(__xludf.DUMMYFUNCTION("""COMPUTED_VALUE"""),6197.69)</f>
        <v>6197.69</v>
      </c>
      <c r="F284" s="7">
        <f>IFERROR(__xludf.DUMMYFUNCTION("""COMPUTED_VALUE"""),6399.5)</f>
        <v>6399.5</v>
      </c>
      <c r="G284" s="6">
        <f>IFERROR(__xludf.DUMMYFUNCTION("""COMPUTED_VALUE"""),127.0)</f>
        <v>127</v>
      </c>
      <c r="H284" s="7">
        <f>IFERROR(__xludf.DUMMYFUNCTION("""COMPUTED_VALUE"""),50.389763779527556)</f>
        <v>50.38976378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IFERROR(__xludf.DUMMYFUNCTION("""COMPUTED_VALUE"""),2.0)</f>
        <v>2</v>
      </c>
      <c r="E285" s="7">
        <f>IFERROR(__xludf.DUMMYFUNCTION("""COMPUTED_VALUE"""),7130.16)</f>
        <v>7130.16</v>
      </c>
      <c r="F285" s="7">
        <f>IFERROR(__xludf.DUMMYFUNCTION("""COMPUTED_VALUE"""),7627.42)</f>
        <v>7627.42</v>
      </c>
      <c r="G285" s="6">
        <f>IFERROR(__xludf.DUMMYFUNCTION("""COMPUTED_VALUE"""),146.0)</f>
        <v>146</v>
      </c>
      <c r="H285" s="7">
        <f>IFERROR(__xludf.DUMMYFUNCTION("""COMPUTED_VALUE"""),52.24260273972603)</f>
        <v>52.24260274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IFERROR(__xludf.DUMMYFUNCTION("""COMPUTED_VALUE"""),1.0)</f>
        <v>1</v>
      </c>
      <c r="E286" s="7">
        <f>IFERROR(__xludf.DUMMYFUNCTION("""COMPUTED_VALUE"""),5631.13)</f>
        <v>5631.13</v>
      </c>
      <c r="F286" s="7">
        <f>IFERROR(__xludf.DUMMYFUNCTION("""COMPUTED_VALUE"""),5103.0)</f>
        <v>5103</v>
      </c>
      <c r="G286" s="6">
        <f>IFERROR(__xludf.DUMMYFUNCTION("""COMPUTED_VALUE"""),114.0)</f>
        <v>114</v>
      </c>
      <c r="H286" s="7">
        <f>IFERROR(__xludf.DUMMYFUNCTION("""COMPUTED_VALUE"""),44.76315789473684)</f>
        <v>44.76315789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IFERROR(__xludf.DUMMYFUNCTION("""COMPUTED_VALUE"""),2.0)</f>
        <v>2</v>
      </c>
      <c r="E287" s="7">
        <f>IFERROR(__xludf.DUMMYFUNCTION("""COMPUTED_VALUE"""),5665.48)</f>
        <v>5665.48</v>
      </c>
      <c r="F287" s="7">
        <f>IFERROR(__xludf.DUMMYFUNCTION("""COMPUTED_VALUE"""),4556.0)</f>
        <v>4556</v>
      </c>
      <c r="G287" s="6">
        <f>IFERROR(__xludf.DUMMYFUNCTION("""COMPUTED_VALUE"""),106.0)</f>
        <v>106</v>
      </c>
      <c r="H287" s="7">
        <f>IFERROR(__xludf.DUMMYFUNCTION("""COMPUTED_VALUE"""),42.9811320754717)</f>
        <v>42.98113208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IFERROR(__xludf.DUMMYFUNCTION("""COMPUTED_VALUE"""),1.0)</f>
        <v>1</v>
      </c>
      <c r="E288" s="7">
        <f>IFERROR(__xludf.DUMMYFUNCTION("""COMPUTED_VALUE"""),5908.69)</f>
        <v>5908.69</v>
      </c>
      <c r="F288" s="7">
        <f>IFERROR(__xludf.DUMMYFUNCTION("""COMPUTED_VALUE"""),4709.01)</f>
        <v>4709.01</v>
      </c>
      <c r="G288" s="6">
        <f>IFERROR(__xludf.DUMMYFUNCTION("""COMPUTED_VALUE"""),114.0)</f>
        <v>114</v>
      </c>
      <c r="H288" s="7">
        <f>IFERROR(__xludf.DUMMYFUNCTION("""COMPUTED_VALUE"""),41.307105263157894)</f>
        <v>41.30710526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IFERROR(__xludf.DUMMYFUNCTION("""COMPUTED_VALUE"""),2.0)</f>
        <v>2</v>
      </c>
      <c r="E289" s="7">
        <f>IFERROR(__xludf.DUMMYFUNCTION("""COMPUTED_VALUE"""),6008.44)</f>
        <v>6008.44</v>
      </c>
      <c r="F289" s="7">
        <f>IFERROR(__xludf.DUMMYFUNCTION("""COMPUTED_VALUE"""),5113.51)</f>
        <v>5113.51</v>
      </c>
      <c r="G289" s="6">
        <f>IFERROR(__xludf.DUMMYFUNCTION("""COMPUTED_VALUE"""),119.0)</f>
        <v>119</v>
      </c>
      <c r="H289" s="7">
        <f>IFERROR(__xludf.DUMMYFUNCTION("""COMPUTED_VALUE"""),42.97067226890756)</f>
        <v>42.97067227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IFERROR(__xludf.DUMMYFUNCTION("""COMPUTED_VALUE"""),1.0)</f>
        <v>1</v>
      </c>
      <c r="E290" s="7">
        <f>IFERROR(__xludf.DUMMYFUNCTION("""COMPUTED_VALUE"""),6276.66)</f>
        <v>6276.66</v>
      </c>
      <c r="F290" s="7">
        <f>IFERROR(__xludf.DUMMYFUNCTION("""COMPUTED_VALUE"""),5200.3)</f>
        <v>5200.3</v>
      </c>
      <c r="G290" s="6">
        <f>IFERROR(__xludf.DUMMYFUNCTION("""COMPUTED_VALUE"""),113.0)</f>
        <v>113</v>
      </c>
      <c r="H290" s="7">
        <f>IFERROR(__xludf.DUMMYFUNCTION("""COMPUTED_VALUE"""),46.02035398230089)</f>
        <v>46.02035398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IFERROR(__xludf.DUMMYFUNCTION("""COMPUTED_VALUE"""),2.0)</f>
        <v>2</v>
      </c>
      <c r="E291" s="7">
        <f>IFERROR(__xludf.DUMMYFUNCTION("""COMPUTED_VALUE"""),6197.69)</f>
        <v>6197.69</v>
      </c>
      <c r="F291" s="7">
        <f>IFERROR(__xludf.DUMMYFUNCTION("""COMPUTED_VALUE"""),4504.0)</f>
        <v>4504</v>
      </c>
      <c r="G291" s="6">
        <f>IFERROR(__xludf.DUMMYFUNCTION("""COMPUTED_VALUE"""),108.0)</f>
        <v>108</v>
      </c>
      <c r="H291" s="7">
        <f>IFERROR(__xludf.DUMMYFUNCTION("""COMPUTED_VALUE"""),41.7037037037037)</f>
        <v>41.7037037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IFERROR(__xludf.DUMMYFUNCTION("""COMPUTED_VALUE"""),1.0)</f>
        <v>1</v>
      </c>
      <c r="E292" s="7">
        <f>IFERROR(__xludf.DUMMYFUNCTION("""COMPUTED_VALUE"""),7130.16)</f>
        <v>7130.16</v>
      </c>
      <c r="F292" s="7">
        <f>IFERROR(__xludf.DUMMYFUNCTION("""COMPUTED_VALUE"""),5957.6)</f>
        <v>5957.6</v>
      </c>
      <c r="G292" s="6">
        <f>IFERROR(__xludf.DUMMYFUNCTION("""COMPUTED_VALUE"""),131.0)</f>
        <v>131</v>
      </c>
      <c r="H292" s="7">
        <f>IFERROR(__xludf.DUMMYFUNCTION("""COMPUTED_VALUE"""),45.47786259541985)</f>
        <v>45.4778626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IFERROR(__xludf.DUMMYFUNCTION("""COMPUTED_VALUE"""),2.0)</f>
        <v>2</v>
      </c>
      <c r="E293" s="7">
        <f>IFERROR(__xludf.DUMMYFUNCTION("""COMPUTED_VALUE"""),5631.13)</f>
        <v>5631.13</v>
      </c>
      <c r="F293" s="7">
        <f>IFERROR(__xludf.DUMMYFUNCTION("""COMPUTED_VALUE"""),5049.01)</f>
        <v>5049.01</v>
      </c>
      <c r="G293" s="6">
        <f>IFERROR(__xludf.DUMMYFUNCTION("""COMPUTED_VALUE"""),103.0)</f>
        <v>103</v>
      </c>
      <c r="H293" s="7">
        <f>IFERROR(__xludf.DUMMYFUNCTION("""COMPUTED_VALUE"""),49.019514563106796)</f>
        <v>49.01951456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IFERROR(__xludf.DUMMYFUNCTION("""COMPUTED_VALUE"""),1.0)</f>
        <v>1</v>
      </c>
      <c r="E294" s="7">
        <f>IFERROR(__xludf.DUMMYFUNCTION("""COMPUTED_VALUE"""),5665.48)</f>
        <v>5665.48</v>
      </c>
      <c r="F294" s="7">
        <f>IFERROR(__xludf.DUMMYFUNCTION("""COMPUTED_VALUE"""),5340.0)</f>
        <v>5340</v>
      </c>
      <c r="G294" s="6">
        <f>IFERROR(__xludf.DUMMYFUNCTION("""COMPUTED_VALUE"""),125.0)</f>
        <v>125</v>
      </c>
      <c r="H294" s="7">
        <f>IFERROR(__xludf.DUMMYFUNCTION("""COMPUTED_VALUE"""),42.72)</f>
        <v>42.72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IFERROR(__xludf.DUMMYFUNCTION("""COMPUTED_VALUE"""),2.0)</f>
        <v>2</v>
      </c>
      <c r="E295" s="7">
        <f>IFERROR(__xludf.DUMMYFUNCTION("""COMPUTED_VALUE"""),5908.69)</f>
        <v>5908.69</v>
      </c>
      <c r="F295" s="7">
        <f>IFERROR(__xludf.DUMMYFUNCTION("""COMPUTED_VALUE"""),5475.51)</f>
        <v>5475.51</v>
      </c>
      <c r="G295" s="6">
        <f>IFERROR(__xludf.DUMMYFUNCTION("""COMPUTED_VALUE"""),119.0)</f>
        <v>119</v>
      </c>
      <c r="H295" s="7">
        <f>IFERROR(__xludf.DUMMYFUNCTION("""COMPUTED_VALUE"""),46.012689075630256)</f>
        <v>46.01268908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IFERROR(__xludf.DUMMYFUNCTION("""COMPUTED_VALUE"""),1.0)</f>
        <v>1</v>
      </c>
      <c r="E296" s="7">
        <f>IFERROR(__xludf.DUMMYFUNCTION("""COMPUTED_VALUE"""),6008.44)</f>
        <v>6008.44</v>
      </c>
      <c r="F296" s="7">
        <f>IFERROR(__xludf.DUMMYFUNCTION("""COMPUTED_VALUE"""),5958.5)</f>
        <v>5958.5</v>
      </c>
      <c r="G296" s="6">
        <f>IFERROR(__xludf.DUMMYFUNCTION("""COMPUTED_VALUE"""),137.0)</f>
        <v>137</v>
      </c>
      <c r="H296" s="7">
        <f>IFERROR(__xludf.DUMMYFUNCTION("""COMPUTED_VALUE"""),43.49270072992701)</f>
        <v>43.49270073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IFERROR(__xludf.DUMMYFUNCTION("""COMPUTED_VALUE"""),2.0)</f>
        <v>2</v>
      </c>
      <c r="E297" s="7">
        <f>IFERROR(__xludf.DUMMYFUNCTION("""COMPUTED_VALUE"""),6276.66)</f>
        <v>6276.66</v>
      </c>
      <c r="F297" s="7">
        <f>IFERROR(__xludf.DUMMYFUNCTION("""COMPUTED_VALUE"""),4889.02)</f>
        <v>4889.02</v>
      </c>
      <c r="G297" s="6">
        <f>IFERROR(__xludf.DUMMYFUNCTION("""COMPUTED_VALUE"""),119.0)</f>
        <v>119</v>
      </c>
      <c r="H297" s="7">
        <f>IFERROR(__xludf.DUMMYFUNCTION("""COMPUTED_VALUE"""),41.08420168067227)</f>
        <v>41.08420168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IFERROR(__xludf.DUMMYFUNCTION("""COMPUTED_VALUE"""),1.0)</f>
        <v>1</v>
      </c>
      <c r="E298" s="7">
        <f>IFERROR(__xludf.DUMMYFUNCTION("""COMPUTED_VALUE"""),6197.69)</f>
        <v>6197.69</v>
      </c>
      <c r="F298" s="7">
        <f>IFERROR(__xludf.DUMMYFUNCTION("""COMPUTED_VALUE"""),4418.0)</f>
        <v>4418</v>
      </c>
      <c r="G298" s="6">
        <f>IFERROR(__xludf.DUMMYFUNCTION("""COMPUTED_VALUE"""),108.0)</f>
        <v>108</v>
      </c>
      <c r="H298" s="7">
        <f>IFERROR(__xludf.DUMMYFUNCTION("""COMPUTED_VALUE"""),40.907407407407405)</f>
        <v>40.90740741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IFERROR(__xludf.DUMMYFUNCTION("""COMPUTED_VALUE"""),2.0)</f>
        <v>2</v>
      </c>
      <c r="E299" s="7">
        <f>IFERROR(__xludf.DUMMYFUNCTION("""COMPUTED_VALUE"""),7130.16)</f>
        <v>7130.16</v>
      </c>
      <c r="F299" s="7">
        <f>IFERROR(__xludf.DUMMYFUNCTION("""COMPUTED_VALUE"""),5749.0)</f>
        <v>5749</v>
      </c>
      <c r="G299" s="6">
        <f>IFERROR(__xludf.DUMMYFUNCTION("""COMPUTED_VALUE"""),126.0)</f>
        <v>126</v>
      </c>
      <c r="H299" s="7">
        <f>IFERROR(__xludf.DUMMYFUNCTION("""COMPUTED_VALUE"""),45.62698412698413)</f>
        <v>45.62698413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IFERROR(__xludf.DUMMYFUNCTION("""COMPUTED_VALUE"""),1.0)</f>
        <v>1</v>
      </c>
      <c r="E300" s="7">
        <f>IFERROR(__xludf.DUMMYFUNCTION("""COMPUTED_VALUE"""),5631.13)</f>
        <v>5631.13</v>
      </c>
      <c r="F300" s="7">
        <f>IFERROR(__xludf.DUMMYFUNCTION("""COMPUTED_VALUE"""),4679.3)</f>
        <v>4679.3</v>
      </c>
      <c r="G300" s="6">
        <f>IFERROR(__xludf.DUMMYFUNCTION("""COMPUTED_VALUE"""),103.0)</f>
        <v>103</v>
      </c>
      <c r="H300" s="7">
        <f>IFERROR(__xludf.DUMMYFUNCTION("""COMPUTED_VALUE"""),45.43009708737864)</f>
        <v>45.43009709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IFERROR(__xludf.DUMMYFUNCTION("""COMPUTED_VALUE"""),2.0)</f>
        <v>2</v>
      </c>
      <c r="E301" s="7">
        <f>IFERROR(__xludf.DUMMYFUNCTION("""COMPUTED_VALUE"""),5665.48)</f>
        <v>5665.48</v>
      </c>
      <c r="F301" s="7">
        <f>IFERROR(__xludf.DUMMYFUNCTION("""COMPUTED_VALUE"""),5160.5)</f>
        <v>5160.5</v>
      </c>
      <c r="G301" s="6">
        <f>IFERROR(__xludf.DUMMYFUNCTION("""COMPUTED_VALUE"""),118.0)</f>
        <v>118</v>
      </c>
      <c r="H301" s="7">
        <f>IFERROR(__xludf.DUMMYFUNCTION("""COMPUTED_VALUE"""),43.733050847457626)</f>
        <v>43.73305085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IFERROR(__xludf.DUMMYFUNCTION("""COMPUTED_VALUE"""),1.0)</f>
        <v>1</v>
      </c>
      <c r="E302" s="7">
        <f>IFERROR(__xludf.DUMMYFUNCTION("""COMPUTED_VALUE"""),5908.69)</f>
        <v>5908.69</v>
      </c>
      <c r="F302" s="7">
        <f>IFERROR(__xludf.DUMMYFUNCTION("""COMPUTED_VALUE"""),3178.0)</f>
        <v>3178</v>
      </c>
      <c r="G302" s="6">
        <f>IFERROR(__xludf.DUMMYFUNCTION("""COMPUTED_VALUE"""),75.0)</f>
        <v>75</v>
      </c>
      <c r="H302" s="7">
        <f>IFERROR(__xludf.DUMMYFUNCTION("""COMPUTED_VALUE"""),42.373333333333335)</f>
        <v>42.37333333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IFERROR(__xludf.DUMMYFUNCTION("""COMPUTED_VALUE"""),2.0)</f>
        <v>2</v>
      </c>
      <c r="E303" s="7">
        <f>IFERROR(__xludf.DUMMYFUNCTION("""COMPUTED_VALUE"""),6008.44)</f>
        <v>6008.44</v>
      </c>
      <c r="F303" s="7">
        <f>IFERROR(__xludf.DUMMYFUNCTION("""COMPUTED_VALUE"""),3543.0)</f>
        <v>3543</v>
      </c>
      <c r="G303" s="6">
        <f>IFERROR(__xludf.DUMMYFUNCTION("""COMPUTED_VALUE"""),96.0)</f>
        <v>96</v>
      </c>
      <c r="H303" s="7">
        <f>IFERROR(__xludf.DUMMYFUNCTION("""COMPUTED_VALUE"""),36.90625)</f>
        <v>36.90625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IFERROR(__xludf.DUMMYFUNCTION("""COMPUTED_VALUE"""),1.0)</f>
        <v>1</v>
      </c>
      <c r="E304" s="7">
        <f>IFERROR(__xludf.DUMMYFUNCTION("""COMPUTED_VALUE"""),6276.66)</f>
        <v>6276.66</v>
      </c>
      <c r="F304" s="7">
        <f>IFERROR(__xludf.DUMMYFUNCTION("""COMPUTED_VALUE"""),4602.0)</f>
        <v>4602</v>
      </c>
      <c r="G304" s="6">
        <f>IFERROR(__xludf.DUMMYFUNCTION("""COMPUTED_VALUE"""),121.0)</f>
        <v>121</v>
      </c>
      <c r="H304" s="7">
        <f>IFERROR(__xludf.DUMMYFUNCTION("""COMPUTED_VALUE"""),38.03305785123967)</f>
        <v>38.03305785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IFERROR(__xludf.DUMMYFUNCTION("""COMPUTED_VALUE"""),2.0)</f>
        <v>2</v>
      </c>
      <c r="E305" s="7">
        <f>IFERROR(__xludf.DUMMYFUNCTION("""COMPUTED_VALUE"""),6197.69)</f>
        <v>6197.69</v>
      </c>
      <c r="F305" s="7">
        <f>IFERROR(__xludf.DUMMYFUNCTION("""COMPUTED_VALUE"""),4840.52)</f>
        <v>4840.52</v>
      </c>
      <c r="G305" s="6">
        <f>IFERROR(__xludf.DUMMYFUNCTION("""COMPUTED_VALUE"""),114.0)</f>
        <v>114</v>
      </c>
      <c r="H305" s="7">
        <f>IFERROR(__xludf.DUMMYFUNCTION("""COMPUTED_VALUE"""),42.460701754385966)</f>
        <v>42.46070175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IFERROR(__xludf.DUMMYFUNCTION("""COMPUTED_VALUE"""),1.0)</f>
        <v>1</v>
      </c>
      <c r="E306" s="7">
        <f>IFERROR(__xludf.DUMMYFUNCTION("""COMPUTED_VALUE"""),7130.16)</f>
        <v>7130.16</v>
      </c>
      <c r="F306" s="7">
        <f>IFERROR(__xludf.DUMMYFUNCTION("""COMPUTED_VALUE"""),6765.01)</f>
        <v>6765.01</v>
      </c>
      <c r="G306" s="6">
        <f>IFERROR(__xludf.DUMMYFUNCTION("""COMPUTED_VALUE"""),156.0)</f>
        <v>156</v>
      </c>
      <c r="H306" s="7">
        <f>IFERROR(__xludf.DUMMYFUNCTION("""COMPUTED_VALUE"""),43.365448717948716)</f>
        <v>43.36544872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IFERROR(__xludf.DUMMYFUNCTION("""COMPUTED_VALUE"""),2.0)</f>
        <v>2</v>
      </c>
      <c r="E307" s="7">
        <f>IFERROR(__xludf.DUMMYFUNCTION("""COMPUTED_VALUE"""),5631.13)</f>
        <v>5631.13</v>
      </c>
      <c r="F307" s="7">
        <f>IFERROR(__xludf.DUMMYFUNCTION("""COMPUTED_VALUE"""),5460.52)</f>
        <v>5460.52</v>
      </c>
      <c r="G307" s="6">
        <f>IFERROR(__xludf.DUMMYFUNCTION("""COMPUTED_VALUE"""),116.0)</f>
        <v>116</v>
      </c>
      <c r="H307" s="7">
        <f>IFERROR(__xludf.DUMMYFUNCTION("""COMPUTED_VALUE"""),47.07344827586207)</f>
        <v>47.07344828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IFERROR(__xludf.DUMMYFUNCTION("""COMPUTED_VALUE"""),1.0)</f>
        <v>1</v>
      </c>
      <c r="E308" s="7">
        <f>IFERROR(__xludf.DUMMYFUNCTION("""COMPUTED_VALUE"""),5665.48)</f>
        <v>5665.48</v>
      </c>
      <c r="F308" s="7">
        <f>IFERROR(__xludf.DUMMYFUNCTION("""COMPUTED_VALUE"""),5400.0)</f>
        <v>5400</v>
      </c>
      <c r="G308" s="6">
        <f>IFERROR(__xludf.DUMMYFUNCTION("""COMPUTED_VALUE"""),135.0)</f>
        <v>135</v>
      </c>
      <c r="H308" s="7">
        <f>IFERROR(__xludf.DUMMYFUNCTION("""COMPUTED_VALUE"""),40.0)</f>
        <v>40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IFERROR(__xludf.DUMMYFUNCTION("""COMPUTED_VALUE"""),2.0)</f>
        <v>2</v>
      </c>
      <c r="E309" s="7">
        <f>IFERROR(__xludf.DUMMYFUNCTION("""COMPUTED_VALUE"""),5908.69)</f>
        <v>5908.69</v>
      </c>
      <c r="F309" s="7">
        <f>IFERROR(__xludf.DUMMYFUNCTION("""COMPUTED_VALUE"""),4976.5)</f>
        <v>4976.5</v>
      </c>
      <c r="G309" s="6">
        <f>IFERROR(__xludf.DUMMYFUNCTION("""COMPUTED_VALUE"""),108.0)</f>
        <v>108</v>
      </c>
      <c r="H309" s="7">
        <f>IFERROR(__xludf.DUMMYFUNCTION("""COMPUTED_VALUE"""),46.0787037037037)</f>
        <v>46.0787037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IFERROR(__xludf.DUMMYFUNCTION("""COMPUTED_VALUE"""),1.0)</f>
        <v>1</v>
      </c>
      <c r="E310" s="7">
        <f>IFERROR(__xludf.DUMMYFUNCTION("""COMPUTED_VALUE"""),6008.44)</f>
        <v>6008.44</v>
      </c>
      <c r="F310" s="7">
        <f>IFERROR(__xludf.DUMMYFUNCTION("""COMPUTED_VALUE"""),4684.5)</f>
        <v>4684.5</v>
      </c>
      <c r="G310" s="6">
        <f>IFERROR(__xludf.DUMMYFUNCTION("""COMPUTED_VALUE"""),107.0)</f>
        <v>107</v>
      </c>
      <c r="H310" s="7">
        <f>IFERROR(__xludf.DUMMYFUNCTION("""COMPUTED_VALUE"""),43.7803738317757)</f>
        <v>43.78037383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IFERROR(__xludf.DUMMYFUNCTION("""COMPUTED_VALUE"""),2.0)</f>
        <v>2</v>
      </c>
      <c r="E311" s="7">
        <f>IFERROR(__xludf.DUMMYFUNCTION("""COMPUTED_VALUE"""),6276.66)</f>
        <v>6276.66</v>
      </c>
      <c r="F311" s="7">
        <f>IFERROR(__xludf.DUMMYFUNCTION("""COMPUTED_VALUE"""),5454.5)</f>
        <v>5454.5</v>
      </c>
      <c r="G311" s="6">
        <f>IFERROR(__xludf.DUMMYFUNCTION("""COMPUTED_VALUE"""),141.0)</f>
        <v>141</v>
      </c>
      <c r="H311" s="7">
        <f>IFERROR(__xludf.DUMMYFUNCTION("""COMPUTED_VALUE"""),38.684397163120565)</f>
        <v>38.68439716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IFERROR(__xludf.DUMMYFUNCTION("""COMPUTED_VALUE"""),1.0)</f>
        <v>1</v>
      </c>
      <c r="E312" s="7">
        <f>IFERROR(__xludf.DUMMYFUNCTION("""COMPUTED_VALUE"""),6197.69)</f>
        <v>6197.69</v>
      </c>
      <c r="F312" s="7">
        <f>IFERROR(__xludf.DUMMYFUNCTION("""COMPUTED_VALUE"""),5368.0)</f>
        <v>5368</v>
      </c>
      <c r="G312" s="6">
        <f>IFERROR(__xludf.DUMMYFUNCTION("""COMPUTED_VALUE"""),126.0)</f>
        <v>126</v>
      </c>
      <c r="H312" s="7">
        <f>IFERROR(__xludf.DUMMYFUNCTION("""COMPUTED_VALUE"""),42.6031746031746)</f>
        <v>42.6031746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IFERROR(__xludf.DUMMYFUNCTION("""COMPUTED_VALUE"""),2.0)</f>
        <v>2</v>
      </c>
      <c r="E313" s="7">
        <f>IFERROR(__xludf.DUMMYFUNCTION("""COMPUTED_VALUE"""),7130.16)</f>
        <v>7130.16</v>
      </c>
      <c r="F313" s="7">
        <f>IFERROR(__xludf.DUMMYFUNCTION("""COMPUTED_VALUE"""),5056.51)</f>
        <v>5056.51</v>
      </c>
      <c r="G313" s="6">
        <f>IFERROR(__xludf.DUMMYFUNCTION("""COMPUTED_VALUE"""),126.0)</f>
        <v>126</v>
      </c>
      <c r="H313" s="7">
        <f>IFERROR(__xludf.DUMMYFUNCTION("""COMPUTED_VALUE"""),40.131031746031745)</f>
        <v>40.13103175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IFERROR(__xludf.DUMMYFUNCTION("""COMPUTED_VALUE"""),1.0)</f>
        <v>1</v>
      </c>
      <c r="E314" s="7">
        <f>IFERROR(__xludf.DUMMYFUNCTION("""COMPUTED_VALUE"""),5631.13)</f>
        <v>5631.13</v>
      </c>
      <c r="F314" s="7">
        <f>IFERROR(__xludf.DUMMYFUNCTION("""COMPUTED_VALUE"""),5868.0)</f>
        <v>5868</v>
      </c>
      <c r="G314" s="6">
        <f>IFERROR(__xludf.DUMMYFUNCTION("""COMPUTED_VALUE"""),129.0)</f>
        <v>129</v>
      </c>
      <c r="H314" s="7">
        <f>IFERROR(__xludf.DUMMYFUNCTION("""COMPUTED_VALUE"""),45.48837209302326)</f>
        <v>45.48837209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IFERROR(__xludf.DUMMYFUNCTION("""COMPUTED_VALUE"""),2.0)</f>
        <v>2</v>
      </c>
      <c r="E315" s="7">
        <f>IFERROR(__xludf.DUMMYFUNCTION("""COMPUTED_VALUE"""),5665.48)</f>
        <v>5665.48</v>
      </c>
      <c r="F315" s="7">
        <f>IFERROR(__xludf.DUMMYFUNCTION("""COMPUTED_VALUE"""),4791.42)</f>
        <v>4791.42</v>
      </c>
      <c r="G315" s="6">
        <f>IFERROR(__xludf.DUMMYFUNCTION("""COMPUTED_VALUE"""),113.0)</f>
        <v>113</v>
      </c>
      <c r="H315" s="7">
        <f>IFERROR(__xludf.DUMMYFUNCTION("""COMPUTED_VALUE"""),42.40194690265487)</f>
        <v>42.4019469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IFERROR(__xludf.DUMMYFUNCTION("""COMPUTED_VALUE"""),1.0)</f>
        <v>1</v>
      </c>
      <c r="E316" s="7">
        <f>IFERROR(__xludf.DUMMYFUNCTION("""COMPUTED_VALUE"""),5908.69)</f>
        <v>5908.69</v>
      </c>
      <c r="F316" s="7">
        <f>IFERROR(__xludf.DUMMYFUNCTION("""COMPUTED_VALUE"""),5495.5)</f>
        <v>5495.5</v>
      </c>
      <c r="G316" s="6">
        <f>IFERROR(__xludf.DUMMYFUNCTION("""COMPUTED_VALUE"""),125.0)</f>
        <v>125</v>
      </c>
      <c r="H316" s="7">
        <f>IFERROR(__xludf.DUMMYFUNCTION("""COMPUTED_VALUE"""),43.964)</f>
        <v>43.964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IFERROR(__xludf.DUMMYFUNCTION("""COMPUTED_VALUE"""),2.0)</f>
        <v>2</v>
      </c>
      <c r="E317" s="7">
        <f>IFERROR(__xludf.DUMMYFUNCTION("""COMPUTED_VALUE"""),6008.44)</f>
        <v>6008.44</v>
      </c>
      <c r="F317" s="7">
        <f>IFERROR(__xludf.DUMMYFUNCTION("""COMPUTED_VALUE"""),4446.0)</f>
        <v>4446</v>
      </c>
      <c r="G317" s="6">
        <f>IFERROR(__xludf.DUMMYFUNCTION("""COMPUTED_VALUE"""),112.0)</f>
        <v>112</v>
      </c>
      <c r="H317" s="7">
        <f>IFERROR(__xludf.DUMMYFUNCTION("""COMPUTED_VALUE"""),39.69642857142857)</f>
        <v>39.69642857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IFERROR(__xludf.DUMMYFUNCTION("""COMPUTED_VALUE"""),1.0)</f>
        <v>1</v>
      </c>
      <c r="E318" s="7">
        <f>IFERROR(__xludf.DUMMYFUNCTION("""COMPUTED_VALUE"""),6276.66)</f>
        <v>6276.66</v>
      </c>
      <c r="F318" s="7">
        <f>IFERROR(__xludf.DUMMYFUNCTION("""COMPUTED_VALUE"""),4990.5)</f>
        <v>4990.5</v>
      </c>
      <c r="G318" s="6">
        <f>IFERROR(__xludf.DUMMYFUNCTION("""COMPUTED_VALUE"""),122.0)</f>
        <v>122</v>
      </c>
      <c r="H318" s="7">
        <f>IFERROR(__xludf.DUMMYFUNCTION("""COMPUTED_VALUE"""),40.90573770491803)</f>
        <v>40.9057377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IFERROR(__xludf.DUMMYFUNCTION("""COMPUTED_VALUE"""),2.0)</f>
        <v>2</v>
      </c>
      <c r="E319" s="7">
        <f>IFERROR(__xludf.DUMMYFUNCTION("""COMPUTED_VALUE"""),6197.69)</f>
        <v>6197.69</v>
      </c>
      <c r="F319" s="7">
        <f>IFERROR(__xludf.DUMMYFUNCTION("""COMPUTED_VALUE"""),5137.5)</f>
        <v>5137.5</v>
      </c>
      <c r="G319" s="6">
        <f>IFERROR(__xludf.DUMMYFUNCTION("""COMPUTED_VALUE"""),110.0)</f>
        <v>110</v>
      </c>
      <c r="H319" s="7">
        <f>IFERROR(__xludf.DUMMYFUNCTION("""COMPUTED_VALUE"""),46.70454545454545)</f>
        <v>46.70454545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IFERROR(__xludf.DUMMYFUNCTION("""COMPUTED_VALUE"""),1.0)</f>
        <v>1</v>
      </c>
      <c r="E320" s="7">
        <f>IFERROR(__xludf.DUMMYFUNCTION("""COMPUTED_VALUE"""),7130.16)</f>
        <v>7130.16</v>
      </c>
      <c r="F320" s="7">
        <f>IFERROR(__xludf.DUMMYFUNCTION("""COMPUTED_VALUE"""),7079.0)</f>
        <v>7079</v>
      </c>
      <c r="G320" s="6">
        <f>IFERROR(__xludf.DUMMYFUNCTION("""COMPUTED_VALUE"""),140.0)</f>
        <v>140</v>
      </c>
      <c r="H320" s="7">
        <f>IFERROR(__xludf.DUMMYFUNCTION("""COMPUTED_VALUE"""),50.56428571428572)</f>
        <v>50.56428571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IFERROR(__xludf.DUMMYFUNCTION("""COMPUTED_VALUE"""),2.0)</f>
        <v>2</v>
      </c>
      <c r="E321" s="7">
        <f>IFERROR(__xludf.DUMMYFUNCTION("""COMPUTED_VALUE"""),5631.13)</f>
        <v>5631.13</v>
      </c>
      <c r="F321" s="7">
        <f>IFERROR(__xludf.DUMMYFUNCTION("""COMPUTED_VALUE"""),4804.0)</f>
        <v>4804</v>
      </c>
      <c r="G321" s="6">
        <f>IFERROR(__xludf.DUMMYFUNCTION("""COMPUTED_VALUE"""),112.0)</f>
        <v>112</v>
      </c>
      <c r="H321" s="7">
        <f>IFERROR(__xludf.DUMMYFUNCTION("""COMPUTED_VALUE"""),42.892857142857146)</f>
        <v>42.89285714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IFERROR(__xludf.DUMMYFUNCTION("""COMPUTED_VALUE"""),1.0)</f>
        <v>1</v>
      </c>
      <c r="E322" s="7">
        <f>IFERROR(__xludf.DUMMYFUNCTION("""COMPUTED_VALUE"""),5665.48)</f>
        <v>5665.48</v>
      </c>
      <c r="F322" s="7">
        <f>IFERROR(__xludf.DUMMYFUNCTION("""COMPUTED_VALUE"""),5439.0)</f>
        <v>5439</v>
      </c>
      <c r="G322" s="6">
        <f>IFERROR(__xludf.DUMMYFUNCTION("""COMPUTED_VALUE"""),119.0)</f>
        <v>119</v>
      </c>
      <c r="H322" s="7">
        <f>IFERROR(__xludf.DUMMYFUNCTION("""COMPUTED_VALUE"""),45.705882352941174)</f>
        <v>45.70588235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IFERROR(__xludf.DUMMYFUNCTION("""COMPUTED_VALUE"""),2.0)</f>
        <v>2</v>
      </c>
      <c r="E323" s="7">
        <f>IFERROR(__xludf.DUMMYFUNCTION("""COMPUTED_VALUE"""),5908.69)</f>
        <v>5908.69</v>
      </c>
      <c r="F323" s="7">
        <f>IFERROR(__xludf.DUMMYFUNCTION("""COMPUTED_VALUE"""),5496.5)</f>
        <v>5496.5</v>
      </c>
      <c r="G323" s="6">
        <f>IFERROR(__xludf.DUMMYFUNCTION("""COMPUTED_VALUE"""),126.0)</f>
        <v>126</v>
      </c>
      <c r="H323" s="7">
        <f>IFERROR(__xludf.DUMMYFUNCTION("""COMPUTED_VALUE"""),43.62301587301587)</f>
        <v>43.62301587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IFERROR(__xludf.DUMMYFUNCTION("""COMPUTED_VALUE"""),1.0)</f>
        <v>1</v>
      </c>
      <c r="E324" s="7">
        <f>IFERROR(__xludf.DUMMYFUNCTION("""COMPUTED_VALUE"""),6008.44)</f>
        <v>6008.44</v>
      </c>
      <c r="F324" s="7">
        <f>IFERROR(__xludf.DUMMYFUNCTION("""COMPUTED_VALUE"""),5454.0)</f>
        <v>5454</v>
      </c>
      <c r="G324" s="6">
        <f>IFERROR(__xludf.DUMMYFUNCTION("""COMPUTED_VALUE"""),132.0)</f>
        <v>132</v>
      </c>
      <c r="H324" s="7">
        <f>IFERROR(__xludf.DUMMYFUNCTION("""COMPUTED_VALUE"""),41.31818181818182)</f>
        <v>41.31818182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IFERROR(__xludf.DUMMYFUNCTION("""COMPUTED_VALUE"""),2.0)</f>
        <v>2</v>
      </c>
      <c r="E325" s="7">
        <f>IFERROR(__xludf.DUMMYFUNCTION("""COMPUTED_VALUE"""),6276.66)</f>
        <v>6276.66</v>
      </c>
      <c r="F325" s="7">
        <f>IFERROR(__xludf.DUMMYFUNCTION("""COMPUTED_VALUE"""),6170.9)</f>
        <v>6170.9</v>
      </c>
      <c r="G325" s="6">
        <f>IFERROR(__xludf.DUMMYFUNCTION("""COMPUTED_VALUE"""),128.0)</f>
        <v>128</v>
      </c>
      <c r="H325" s="7">
        <f>IFERROR(__xludf.DUMMYFUNCTION("""COMPUTED_VALUE"""),48.21015625)</f>
        <v>48.21015625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IFERROR(__xludf.DUMMYFUNCTION("""COMPUTED_VALUE"""),1.0)</f>
        <v>1</v>
      </c>
      <c r="E326" s="7">
        <f>IFERROR(__xludf.DUMMYFUNCTION("""COMPUTED_VALUE"""),6197.69)</f>
        <v>6197.69</v>
      </c>
      <c r="F326" s="7">
        <f>IFERROR(__xludf.DUMMYFUNCTION("""COMPUTED_VALUE"""),5688.5)</f>
        <v>5688.5</v>
      </c>
      <c r="G326" s="6">
        <f>IFERROR(__xludf.DUMMYFUNCTION("""COMPUTED_VALUE"""),140.0)</f>
        <v>140</v>
      </c>
      <c r="H326" s="7">
        <f>IFERROR(__xludf.DUMMYFUNCTION("""COMPUTED_VALUE"""),40.63214285714286)</f>
        <v>40.63214286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IFERROR(__xludf.DUMMYFUNCTION("""COMPUTED_VALUE"""),2.0)</f>
        <v>2</v>
      </c>
      <c r="E327" s="7">
        <f>IFERROR(__xludf.DUMMYFUNCTION("""COMPUTED_VALUE"""),7130.16)</f>
        <v>7130.16</v>
      </c>
      <c r="F327" s="7">
        <f>IFERROR(__xludf.DUMMYFUNCTION("""COMPUTED_VALUE"""),5717.5)</f>
        <v>5717.5</v>
      </c>
      <c r="G327" s="6">
        <f>IFERROR(__xludf.DUMMYFUNCTION("""COMPUTED_VALUE"""),122.0)</f>
        <v>122</v>
      </c>
      <c r="H327" s="7">
        <f>IFERROR(__xludf.DUMMYFUNCTION("""COMPUTED_VALUE"""),46.864754098360656)</f>
        <v>46.8647541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IFERROR(__xludf.DUMMYFUNCTION("""COMPUTED_VALUE"""),1.0)</f>
        <v>1</v>
      </c>
      <c r="E328" s="7">
        <f>IFERROR(__xludf.DUMMYFUNCTION("""COMPUTED_VALUE"""),5631.13)</f>
        <v>5631.13</v>
      </c>
      <c r="F328" s="7">
        <f>IFERROR(__xludf.DUMMYFUNCTION("""COMPUTED_VALUE"""),4359.0)</f>
        <v>4359</v>
      </c>
      <c r="G328" s="6">
        <f>IFERROR(__xludf.DUMMYFUNCTION("""COMPUTED_VALUE"""),93.0)</f>
        <v>93</v>
      </c>
      <c r="H328" s="7">
        <f>IFERROR(__xludf.DUMMYFUNCTION("""COMPUTED_VALUE"""),46.87096774193548)</f>
        <v>46.87096774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IFERROR(__xludf.DUMMYFUNCTION("""COMPUTED_VALUE"""),2.0)</f>
        <v>2</v>
      </c>
      <c r="E329" s="7">
        <f>IFERROR(__xludf.DUMMYFUNCTION("""COMPUTED_VALUE"""),5665.48)</f>
        <v>5665.48</v>
      </c>
      <c r="F329" s="7">
        <f>IFERROR(__xludf.DUMMYFUNCTION("""COMPUTED_VALUE"""),4022.5)</f>
        <v>4022.5</v>
      </c>
      <c r="G329" s="6">
        <f>IFERROR(__xludf.DUMMYFUNCTION("""COMPUTED_VALUE"""),101.0)</f>
        <v>101</v>
      </c>
      <c r="H329" s="7">
        <f>IFERROR(__xludf.DUMMYFUNCTION("""COMPUTED_VALUE"""),39.82673267326733)</f>
        <v>39.82673267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IFERROR(__xludf.DUMMYFUNCTION("""COMPUTED_VALUE"""),1.0)</f>
        <v>1</v>
      </c>
      <c r="E330" s="7">
        <f>IFERROR(__xludf.DUMMYFUNCTION("""COMPUTED_VALUE"""),5908.69)</f>
        <v>5908.69</v>
      </c>
      <c r="F330" s="7">
        <f>IFERROR(__xludf.DUMMYFUNCTION("""COMPUTED_VALUE"""),5477.41)</f>
        <v>5477.41</v>
      </c>
      <c r="G330" s="6">
        <f>IFERROR(__xludf.DUMMYFUNCTION("""COMPUTED_VALUE"""),118.0)</f>
        <v>118</v>
      </c>
      <c r="H330" s="7">
        <f>IFERROR(__xludf.DUMMYFUNCTION("""COMPUTED_VALUE"""),46.41872881355932)</f>
        <v>46.41872881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IFERROR(__xludf.DUMMYFUNCTION("""COMPUTED_VALUE"""),2.0)</f>
        <v>2</v>
      </c>
      <c r="E331" s="7">
        <f>IFERROR(__xludf.DUMMYFUNCTION("""COMPUTED_VALUE"""),6008.44)</f>
        <v>6008.44</v>
      </c>
      <c r="F331" s="7">
        <f>IFERROR(__xludf.DUMMYFUNCTION("""COMPUTED_VALUE"""),5713.01)</f>
        <v>5713.01</v>
      </c>
      <c r="G331" s="6">
        <f>IFERROR(__xludf.DUMMYFUNCTION("""COMPUTED_VALUE"""),125.0)</f>
        <v>125</v>
      </c>
      <c r="H331" s="7">
        <f>IFERROR(__xludf.DUMMYFUNCTION("""COMPUTED_VALUE"""),45.704080000000005)</f>
        <v>45.70408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IFERROR(__xludf.DUMMYFUNCTION("""COMPUTED_VALUE"""),1.0)</f>
        <v>1</v>
      </c>
      <c r="E332" s="7">
        <f>IFERROR(__xludf.DUMMYFUNCTION("""COMPUTED_VALUE"""),6276.66)</f>
        <v>6276.66</v>
      </c>
      <c r="F332" s="7">
        <f>IFERROR(__xludf.DUMMYFUNCTION("""COMPUTED_VALUE"""),5788.01)</f>
        <v>5788.01</v>
      </c>
      <c r="G332" s="6">
        <f>IFERROR(__xludf.DUMMYFUNCTION("""COMPUTED_VALUE"""),148.0)</f>
        <v>148</v>
      </c>
      <c r="H332" s="7">
        <f>IFERROR(__xludf.DUMMYFUNCTION("""COMPUTED_VALUE"""),39.108175675675675)</f>
        <v>39.10817568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IFERROR(__xludf.DUMMYFUNCTION("""COMPUTED_VALUE"""),2.0)</f>
        <v>2</v>
      </c>
      <c r="E333" s="7">
        <f>IFERROR(__xludf.DUMMYFUNCTION("""COMPUTED_VALUE"""),6197.69)</f>
        <v>6197.69</v>
      </c>
      <c r="F333" s="7">
        <f>IFERROR(__xludf.DUMMYFUNCTION("""COMPUTED_VALUE"""),6456.01)</f>
        <v>6456.01</v>
      </c>
      <c r="G333" s="6">
        <f>IFERROR(__xludf.DUMMYFUNCTION("""COMPUTED_VALUE"""),152.0)</f>
        <v>152</v>
      </c>
      <c r="H333" s="7">
        <f>IFERROR(__xludf.DUMMYFUNCTION("""COMPUTED_VALUE"""),42.47375)</f>
        <v>42.47375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IFERROR(__xludf.DUMMYFUNCTION("""COMPUTED_VALUE"""),1.0)</f>
        <v>1</v>
      </c>
      <c r="E334" s="7">
        <f>IFERROR(__xludf.DUMMYFUNCTION("""COMPUTED_VALUE"""),7130.16)</f>
        <v>7130.16</v>
      </c>
      <c r="F334" s="7">
        <f>IFERROR(__xludf.DUMMYFUNCTION("""COMPUTED_VALUE"""),5615.5)</f>
        <v>5615.5</v>
      </c>
      <c r="G334" s="6">
        <f>IFERROR(__xludf.DUMMYFUNCTION("""COMPUTED_VALUE"""),138.0)</f>
        <v>138</v>
      </c>
      <c r="H334" s="7">
        <f>IFERROR(__xludf.DUMMYFUNCTION("""COMPUTED_VALUE"""),40.69202898550725)</f>
        <v>40.69202899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IFERROR(__xludf.DUMMYFUNCTION("""COMPUTED_VALUE"""),2.0)</f>
        <v>2</v>
      </c>
      <c r="E335" s="7">
        <f>IFERROR(__xludf.DUMMYFUNCTION("""COMPUTED_VALUE"""),5631.13)</f>
        <v>5631.13</v>
      </c>
      <c r="F335" s="7">
        <f>IFERROR(__xludf.DUMMYFUNCTION("""COMPUTED_VALUE"""),9008.0)</f>
        <v>9008</v>
      </c>
      <c r="G335" s="6">
        <f>IFERROR(__xludf.DUMMYFUNCTION("""COMPUTED_VALUE"""),175.0)</f>
        <v>175</v>
      </c>
      <c r="H335" s="7">
        <f>IFERROR(__xludf.DUMMYFUNCTION("""COMPUTED_VALUE"""),51.47428571428571)</f>
        <v>51.47428571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IFERROR(__xludf.DUMMYFUNCTION("""COMPUTED_VALUE"""),1.0)</f>
        <v>1</v>
      </c>
      <c r="E336" s="7">
        <f>IFERROR(__xludf.DUMMYFUNCTION("""COMPUTED_VALUE"""),6297.51)</f>
        <v>6297.51</v>
      </c>
      <c r="F336" s="7">
        <f>IFERROR(__xludf.DUMMYFUNCTION("""COMPUTED_VALUE"""),5625.51)</f>
        <v>5625.51</v>
      </c>
      <c r="G336" s="6">
        <f>IFERROR(__xludf.DUMMYFUNCTION("""COMPUTED_VALUE"""),130.0)</f>
        <v>130</v>
      </c>
      <c r="H336" s="7">
        <f>IFERROR(__xludf.DUMMYFUNCTION("""COMPUTED_VALUE"""),43.273153846153846)</f>
        <v>43.27315385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IFERROR(__xludf.DUMMYFUNCTION("""COMPUTED_VALUE"""),2.0)</f>
        <v>2</v>
      </c>
      <c r="E337" s="7">
        <f>IFERROR(__xludf.DUMMYFUNCTION("""COMPUTED_VALUE"""),6392.65)</f>
        <v>6392.65</v>
      </c>
      <c r="F337" s="7">
        <f>IFERROR(__xludf.DUMMYFUNCTION("""COMPUTED_VALUE"""),5522.51)</f>
        <v>5522.51</v>
      </c>
      <c r="G337" s="6">
        <f>IFERROR(__xludf.DUMMYFUNCTION("""COMPUTED_VALUE"""),136.0)</f>
        <v>136</v>
      </c>
      <c r="H337" s="7">
        <f>IFERROR(__xludf.DUMMYFUNCTION("""COMPUTED_VALUE"""),40.60669117647059)</f>
        <v>40.60669118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IFERROR(__xludf.DUMMYFUNCTION("""COMPUTED_VALUE"""),1.0)</f>
        <v>1</v>
      </c>
      <c r="E338" s="7">
        <f>IFERROR(__xludf.DUMMYFUNCTION("""COMPUTED_VALUE"""),6740.64)</f>
        <v>6740.64</v>
      </c>
      <c r="F338" s="7">
        <f>IFERROR(__xludf.DUMMYFUNCTION("""COMPUTED_VALUE"""),6709.01)</f>
        <v>6709.01</v>
      </c>
      <c r="G338" s="6">
        <f>IFERROR(__xludf.DUMMYFUNCTION("""COMPUTED_VALUE"""),151.0)</f>
        <v>151</v>
      </c>
      <c r="H338" s="7">
        <f>IFERROR(__xludf.DUMMYFUNCTION("""COMPUTED_VALUE"""),44.430529801324504)</f>
        <v>44.4305298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IFERROR(__xludf.DUMMYFUNCTION("""COMPUTED_VALUE"""),2.0)</f>
        <v>2</v>
      </c>
      <c r="E339" s="7">
        <f>IFERROR(__xludf.DUMMYFUNCTION("""COMPUTED_VALUE"""),6845.85)</f>
        <v>6845.85</v>
      </c>
      <c r="F339" s="7">
        <f>IFERROR(__xludf.DUMMYFUNCTION("""COMPUTED_VALUE"""),5785.01)</f>
        <v>5785.01</v>
      </c>
      <c r="G339" s="6">
        <f>IFERROR(__xludf.DUMMYFUNCTION("""COMPUTED_VALUE"""),129.0)</f>
        <v>129</v>
      </c>
      <c r="H339" s="7">
        <f>IFERROR(__xludf.DUMMYFUNCTION("""COMPUTED_VALUE"""),44.84503875968993)</f>
        <v>44.84503876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IFERROR(__xludf.DUMMYFUNCTION("""COMPUTED_VALUE"""),1.0)</f>
        <v>1</v>
      </c>
      <c r="E340" s="7">
        <f>IFERROR(__xludf.DUMMYFUNCTION("""COMPUTED_VALUE"""),6799.94)</f>
        <v>6799.94</v>
      </c>
      <c r="F340" s="7">
        <f>IFERROR(__xludf.DUMMYFUNCTION("""COMPUTED_VALUE"""),6469.5)</f>
        <v>6469.5</v>
      </c>
      <c r="G340" s="6">
        <f>IFERROR(__xludf.DUMMYFUNCTION("""COMPUTED_VALUE"""),158.0)</f>
        <v>158</v>
      </c>
      <c r="H340" s="7">
        <f>IFERROR(__xludf.DUMMYFUNCTION("""COMPUTED_VALUE"""),40.94620253164557)</f>
        <v>40.94620253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IFERROR(__xludf.DUMMYFUNCTION("""COMPUTED_VALUE"""),2.0)</f>
        <v>2</v>
      </c>
      <c r="E341" s="7">
        <f>IFERROR(__xludf.DUMMYFUNCTION("""COMPUTED_VALUE"""),8273.59)</f>
        <v>8273.59</v>
      </c>
      <c r="F341" s="7">
        <f>IFERROR(__xludf.DUMMYFUNCTION("""COMPUTED_VALUE"""),9553.0)</f>
        <v>9553</v>
      </c>
      <c r="G341" s="6">
        <f>IFERROR(__xludf.DUMMYFUNCTION("""COMPUTED_VALUE"""),185.0)</f>
        <v>185</v>
      </c>
      <c r="H341" s="7">
        <f>IFERROR(__xludf.DUMMYFUNCTION("""COMPUTED_VALUE"""),51.637837837837836)</f>
        <v>51.63783784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IFERROR(__xludf.DUMMYFUNCTION("""COMPUTED_VALUE"""),1.0)</f>
        <v>1</v>
      </c>
      <c r="E342" s="7">
        <f>IFERROR(__xludf.DUMMYFUNCTION("""COMPUTED_VALUE"""),6430.6)</f>
        <v>6430.6</v>
      </c>
      <c r="F342" s="7">
        <f>IFERROR(__xludf.DUMMYFUNCTION("""COMPUTED_VALUE"""),6061.01)</f>
        <v>6061.01</v>
      </c>
      <c r="G342" s="6">
        <f>IFERROR(__xludf.DUMMYFUNCTION("""COMPUTED_VALUE"""),131.0)</f>
        <v>131</v>
      </c>
      <c r="H342" s="7">
        <f>IFERROR(__xludf.DUMMYFUNCTION("""COMPUTED_VALUE"""),46.26725190839695)</f>
        <v>46.26725191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IFERROR(__xludf.DUMMYFUNCTION("""COMPUTED_VALUE"""),2.0)</f>
        <v>2</v>
      </c>
      <c r="E343" s="7">
        <f>IFERROR(__xludf.DUMMYFUNCTION("""COMPUTED_VALUE"""),6297.51)</f>
        <v>6297.51</v>
      </c>
      <c r="F343" s="7">
        <f>IFERROR(__xludf.DUMMYFUNCTION("""COMPUTED_VALUE"""),5346.01)</f>
        <v>5346.01</v>
      </c>
      <c r="G343" s="6">
        <f>IFERROR(__xludf.DUMMYFUNCTION("""COMPUTED_VALUE"""),130.0)</f>
        <v>130</v>
      </c>
      <c r="H343" s="7">
        <f>IFERROR(__xludf.DUMMYFUNCTION("""COMPUTED_VALUE"""),41.12315384615385)</f>
        <v>41.12315385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IFERROR(__xludf.DUMMYFUNCTION("""COMPUTED_VALUE"""),1.0)</f>
        <v>1</v>
      </c>
      <c r="E344" s="7">
        <f>IFERROR(__xludf.DUMMYFUNCTION("""COMPUTED_VALUE"""),6392.65)</f>
        <v>6392.65</v>
      </c>
      <c r="F344" s="7">
        <f>IFERROR(__xludf.DUMMYFUNCTION("""COMPUTED_VALUE"""),6336.0)</f>
        <v>6336</v>
      </c>
      <c r="G344" s="6">
        <f>IFERROR(__xludf.DUMMYFUNCTION("""COMPUTED_VALUE"""),165.0)</f>
        <v>165</v>
      </c>
      <c r="H344" s="7">
        <f>IFERROR(__xludf.DUMMYFUNCTION("""COMPUTED_VALUE"""),38.4)</f>
        <v>38.4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IFERROR(__xludf.DUMMYFUNCTION("""COMPUTED_VALUE"""),2.0)</f>
        <v>2</v>
      </c>
      <c r="E345" s="7">
        <f>IFERROR(__xludf.DUMMYFUNCTION("""COMPUTED_VALUE"""),6740.64)</f>
        <v>6740.64</v>
      </c>
      <c r="F345" s="7">
        <f>IFERROR(__xludf.DUMMYFUNCTION("""COMPUTED_VALUE"""),5358.41)</f>
        <v>5358.41</v>
      </c>
      <c r="G345" s="6">
        <f>IFERROR(__xludf.DUMMYFUNCTION("""COMPUTED_VALUE"""),131.0)</f>
        <v>131</v>
      </c>
      <c r="H345" s="7">
        <f>IFERROR(__xludf.DUMMYFUNCTION("""COMPUTED_VALUE"""),40.90389312977099)</f>
        <v>40.90389313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IFERROR(__xludf.DUMMYFUNCTION("""COMPUTED_VALUE"""),1.0)</f>
        <v>1</v>
      </c>
      <c r="E346" s="7">
        <f>IFERROR(__xludf.DUMMYFUNCTION("""COMPUTED_VALUE"""),6845.85)</f>
        <v>6845.85</v>
      </c>
      <c r="F346" s="7">
        <f>IFERROR(__xludf.DUMMYFUNCTION("""COMPUTED_VALUE"""),8127.5)</f>
        <v>8127.5</v>
      </c>
      <c r="G346" s="6">
        <f>IFERROR(__xludf.DUMMYFUNCTION("""COMPUTED_VALUE"""),168.0)</f>
        <v>168</v>
      </c>
      <c r="H346" s="7">
        <f>IFERROR(__xludf.DUMMYFUNCTION("""COMPUTED_VALUE"""),48.37797619047619)</f>
        <v>48.37797619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IFERROR(__xludf.DUMMYFUNCTION("""COMPUTED_VALUE"""),2.0)</f>
        <v>2</v>
      </c>
      <c r="E347" s="7">
        <f>IFERROR(__xludf.DUMMYFUNCTION("""COMPUTED_VALUE"""),6799.94)</f>
        <v>6799.94</v>
      </c>
      <c r="F347" s="7">
        <f>IFERROR(__xludf.DUMMYFUNCTION("""COMPUTED_VALUE"""),6948.0)</f>
        <v>6948</v>
      </c>
      <c r="G347" s="6">
        <f>IFERROR(__xludf.DUMMYFUNCTION("""COMPUTED_VALUE"""),170.0)</f>
        <v>170</v>
      </c>
      <c r="H347" s="7">
        <f>IFERROR(__xludf.DUMMYFUNCTION("""COMPUTED_VALUE"""),40.870588235294115)</f>
        <v>40.87058824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IFERROR(__xludf.DUMMYFUNCTION("""COMPUTED_VALUE"""),1.0)</f>
        <v>1</v>
      </c>
      <c r="E348" s="7">
        <f>IFERROR(__xludf.DUMMYFUNCTION("""COMPUTED_VALUE"""),8273.59)</f>
        <v>8273.59</v>
      </c>
      <c r="F348" s="7">
        <f>IFERROR(__xludf.DUMMYFUNCTION("""COMPUTED_VALUE"""),7657.5)</f>
        <v>7657.5</v>
      </c>
      <c r="G348" s="6">
        <f>IFERROR(__xludf.DUMMYFUNCTION("""COMPUTED_VALUE"""),173.0)</f>
        <v>173</v>
      </c>
      <c r="H348" s="7">
        <f>IFERROR(__xludf.DUMMYFUNCTION("""COMPUTED_VALUE"""),44.26300578034682)</f>
        <v>44.26300578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IFERROR(__xludf.DUMMYFUNCTION("""COMPUTED_VALUE"""),2.0)</f>
        <v>2</v>
      </c>
      <c r="E349" s="7">
        <f>IFERROR(__xludf.DUMMYFUNCTION("""COMPUTED_VALUE"""),6430.6)</f>
        <v>6430.6</v>
      </c>
      <c r="F349" s="7">
        <f>IFERROR(__xludf.DUMMYFUNCTION("""COMPUTED_VALUE"""),6923.5)</f>
        <v>6923.5</v>
      </c>
      <c r="G349" s="6">
        <f>IFERROR(__xludf.DUMMYFUNCTION("""COMPUTED_VALUE"""),157.0)</f>
        <v>157</v>
      </c>
      <c r="H349" s="7">
        <f>IFERROR(__xludf.DUMMYFUNCTION("""COMPUTED_VALUE"""),44.09872611464968)</f>
        <v>44.09872611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IFERROR(__xludf.DUMMYFUNCTION("""COMPUTED_VALUE"""),1.0)</f>
        <v>1</v>
      </c>
      <c r="E350" s="7">
        <f>IFERROR(__xludf.DUMMYFUNCTION("""COMPUTED_VALUE"""),6297.51)</f>
        <v>6297.51</v>
      </c>
      <c r="F350" s="7">
        <f>IFERROR(__xludf.DUMMYFUNCTION("""COMPUTED_VALUE"""),6581.01)</f>
        <v>6581.01</v>
      </c>
      <c r="G350" s="6">
        <f>IFERROR(__xludf.DUMMYFUNCTION("""COMPUTED_VALUE"""),152.0)</f>
        <v>152</v>
      </c>
      <c r="H350" s="7">
        <f>IFERROR(__xludf.DUMMYFUNCTION("""COMPUTED_VALUE"""),43.29611842105263)</f>
        <v>43.29611842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IFERROR(__xludf.DUMMYFUNCTION("""COMPUTED_VALUE"""),2.0)</f>
        <v>2</v>
      </c>
      <c r="E351" s="7">
        <f>IFERROR(__xludf.DUMMYFUNCTION("""COMPUTED_VALUE"""),6392.65)</f>
        <v>6392.65</v>
      </c>
      <c r="F351" s="7">
        <f>IFERROR(__xludf.DUMMYFUNCTION("""COMPUTED_VALUE"""),6916.0)</f>
        <v>6916</v>
      </c>
      <c r="G351" s="6">
        <f>IFERROR(__xludf.DUMMYFUNCTION("""COMPUTED_VALUE"""),157.0)</f>
        <v>157</v>
      </c>
      <c r="H351" s="7">
        <f>IFERROR(__xludf.DUMMYFUNCTION("""COMPUTED_VALUE"""),44.05095541401274)</f>
        <v>44.05095541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IFERROR(__xludf.DUMMYFUNCTION("""COMPUTED_VALUE"""),1.0)</f>
        <v>1</v>
      </c>
      <c r="E352" s="7">
        <f>IFERROR(__xludf.DUMMYFUNCTION("""COMPUTED_VALUE"""),6740.64)</f>
        <v>6740.64</v>
      </c>
      <c r="F352" s="7">
        <f>IFERROR(__xludf.DUMMYFUNCTION("""COMPUTED_VALUE"""),5226.0)</f>
        <v>5226</v>
      </c>
      <c r="G352" s="6">
        <f>IFERROR(__xludf.DUMMYFUNCTION("""COMPUTED_VALUE"""),123.0)</f>
        <v>123</v>
      </c>
      <c r="H352" s="7">
        <f>IFERROR(__xludf.DUMMYFUNCTION("""COMPUTED_VALUE"""),42.48780487804878)</f>
        <v>42.48780488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IFERROR(__xludf.DUMMYFUNCTION("""COMPUTED_VALUE"""),2.0)</f>
        <v>2</v>
      </c>
      <c r="E353" s="7">
        <f>IFERROR(__xludf.DUMMYFUNCTION("""COMPUTED_VALUE"""),6845.85)</f>
        <v>6845.85</v>
      </c>
      <c r="F353" s="7">
        <f>IFERROR(__xludf.DUMMYFUNCTION("""COMPUTED_VALUE"""),7875.51)</f>
        <v>7875.51</v>
      </c>
      <c r="G353" s="6">
        <f>IFERROR(__xludf.DUMMYFUNCTION("""COMPUTED_VALUE"""),180.0)</f>
        <v>180</v>
      </c>
      <c r="H353" s="7">
        <f>IFERROR(__xludf.DUMMYFUNCTION("""COMPUTED_VALUE"""),43.752833333333335)</f>
        <v>43.75283333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IFERROR(__xludf.DUMMYFUNCTION("""COMPUTED_VALUE"""),1.0)</f>
        <v>1</v>
      </c>
      <c r="E354" s="7">
        <f>IFERROR(__xludf.DUMMYFUNCTION("""COMPUTED_VALUE"""),6799.94)</f>
        <v>6799.94</v>
      </c>
      <c r="F354" s="7">
        <f>IFERROR(__xludf.DUMMYFUNCTION("""COMPUTED_VALUE"""),6839.01)</f>
        <v>6839.01</v>
      </c>
      <c r="G354" s="6">
        <f>IFERROR(__xludf.DUMMYFUNCTION("""COMPUTED_VALUE"""),154.0)</f>
        <v>154</v>
      </c>
      <c r="H354" s="7">
        <f>IFERROR(__xludf.DUMMYFUNCTION("""COMPUTED_VALUE"""),44.40915584415585)</f>
        <v>44.40915584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IFERROR(__xludf.DUMMYFUNCTION("""COMPUTED_VALUE"""),2.0)</f>
        <v>2</v>
      </c>
      <c r="E355" s="7">
        <f>IFERROR(__xludf.DUMMYFUNCTION("""COMPUTED_VALUE"""),8273.59)</f>
        <v>8273.59</v>
      </c>
      <c r="F355" s="7">
        <f>IFERROR(__xludf.DUMMYFUNCTION("""COMPUTED_VALUE"""),8962.0)</f>
        <v>8962</v>
      </c>
      <c r="G355" s="6">
        <f>IFERROR(__xludf.DUMMYFUNCTION("""COMPUTED_VALUE"""),194.0)</f>
        <v>194</v>
      </c>
      <c r="H355" s="7">
        <f>IFERROR(__xludf.DUMMYFUNCTION("""COMPUTED_VALUE"""),46.1958762886598)</f>
        <v>46.19587629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IFERROR(__xludf.DUMMYFUNCTION("""COMPUTED_VALUE"""),1.0)</f>
        <v>1</v>
      </c>
      <c r="E356" s="7">
        <f>IFERROR(__xludf.DUMMYFUNCTION("""COMPUTED_VALUE"""),6430.6)</f>
        <v>6430.6</v>
      </c>
      <c r="F356" s="7">
        <f>IFERROR(__xludf.DUMMYFUNCTION("""COMPUTED_VALUE"""),7294.51)</f>
        <v>7294.51</v>
      </c>
      <c r="G356" s="6">
        <f>IFERROR(__xludf.DUMMYFUNCTION("""COMPUTED_VALUE"""),154.0)</f>
        <v>154</v>
      </c>
      <c r="H356" s="7">
        <f>IFERROR(__xludf.DUMMYFUNCTION("""COMPUTED_VALUE"""),47.36694805194805)</f>
        <v>47.36694805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IFERROR(__xludf.DUMMYFUNCTION("""COMPUTED_VALUE"""),2.0)</f>
        <v>2</v>
      </c>
      <c r="E357" s="7">
        <f>IFERROR(__xludf.DUMMYFUNCTION("""COMPUTED_VALUE"""),6297.51)</f>
        <v>6297.51</v>
      </c>
      <c r="F357" s="7">
        <f>IFERROR(__xludf.DUMMYFUNCTION("""COMPUTED_VALUE"""),9151.52)</f>
        <v>9151.52</v>
      </c>
      <c r="G357" s="6">
        <f>IFERROR(__xludf.DUMMYFUNCTION("""COMPUTED_VALUE"""),190.0)</f>
        <v>190</v>
      </c>
      <c r="H357" s="7">
        <f>IFERROR(__xludf.DUMMYFUNCTION("""COMPUTED_VALUE"""),48.165894736842105)</f>
        <v>48.16589474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IFERROR(__xludf.DUMMYFUNCTION("""COMPUTED_VALUE"""),1.0)</f>
        <v>1</v>
      </c>
      <c r="E358" s="7">
        <f>IFERROR(__xludf.DUMMYFUNCTION("""COMPUTED_VALUE"""),6392.65)</f>
        <v>6392.65</v>
      </c>
      <c r="F358" s="7">
        <f>IFERROR(__xludf.DUMMYFUNCTION("""COMPUTED_VALUE"""),8817.5)</f>
        <v>8817.5</v>
      </c>
      <c r="G358" s="6">
        <f>IFERROR(__xludf.DUMMYFUNCTION("""COMPUTED_VALUE"""),210.0)</f>
        <v>210</v>
      </c>
      <c r="H358" s="7">
        <f>IFERROR(__xludf.DUMMYFUNCTION("""COMPUTED_VALUE"""),41.98809523809524)</f>
        <v>41.98809524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IFERROR(__xludf.DUMMYFUNCTION("""COMPUTED_VALUE"""),2.0)</f>
        <v>2</v>
      </c>
      <c r="E359" s="7">
        <f>IFERROR(__xludf.DUMMYFUNCTION("""COMPUTED_VALUE"""),6740.64)</f>
        <v>6740.64</v>
      </c>
      <c r="F359" s="7">
        <f>IFERROR(__xludf.DUMMYFUNCTION("""COMPUTED_VALUE"""),3582.0)</f>
        <v>3582</v>
      </c>
      <c r="G359" s="6">
        <f>IFERROR(__xludf.DUMMYFUNCTION("""COMPUTED_VALUE"""),90.0)</f>
        <v>90</v>
      </c>
      <c r="H359" s="7">
        <f>IFERROR(__xludf.DUMMYFUNCTION("""COMPUTED_VALUE"""),39.8)</f>
        <v>39.8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IFERROR(__xludf.DUMMYFUNCTION("""COMPUTED_VALUE"""),1.0)</f>
        <v>1</v>
      </c>
      <c r="E360" s="7">
        <f>IFERROR(__xludf.DUMMYFUNCTION("""COMPUTED_VALUE"""),6845.85)</f>
        <v>6845.85</v>
      </c>
      <c r="F360" s="7">
        <f>IFERROR(__xludf.DUMMYFUNCTION("""COMPUTED_VALUE"""),3613.0)</f>
        <v>3613</v>
      </c>
      <c r="G360" s="6">
        <f>IFERROR(__xludf.DUMMYFUNCTION("""COMPUTED_VALUE"""),86.0)</f>
        <v>86</v>
      </c>
      <c r="H360" s="7">
        <f>IFERROR(__xludf.DUMMYFUNCTION("""COMPUTED_VALUE"""),42.01162790697674)</f>
        <v>42.01162791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IFERROR(__xludf.DUMMYFUNCTION("""COMPUTED_VALUE"""),2.0)</f>
        <v>2</v>
      </c>
      <c r="E361" s="7">
        <f>IFERROR(__xludf.DUMMYFUNCTION("""COMPUTED_VALUE"""),6799.94)</f>
        <v>6799.94</v>
      </c>
      <c r="F361" s="7">
        <f>IFERROR(__xludf.DUMMYFUNCTION("""COMPUTED_VALUE"""),6103.0)</f>
        <v>6103</v>
      </c>
      <c r="G361" s="6">
        <f>IFERROR(__xludf.DUMMYFUNCTION("""COMPUTED_VALUE"""),148.0)</f>
        <v>148</v>
      </c>
      <c r="H361" s="7">
        <f>IFERROR(__xludf.DUMMYFUNCTION("""COMPUTED_VALUE"""),41.236486486486484)</f>
        <v>41.23648649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IFERROR(__xludf.DUMMYFUNCTION("""COMPUTED_VALUE"""),1.0)</f>
        <v>1</v>
      </c>
      <c r="E362" s="7">
        <f>IFERROR(__xludf.DUMMYFUNCTION("""COMPUTED_VALUE"""),8273.59)</f>
        <v>8273.59</v>
      </c>
      <c r="F362" s="7">
        <f>IFERROR(__xludf.DUMMYFUNCTION("""COMPUTED_VALUE"""),7455.0)</f>
        <v>7455</v>
      </c>
      <c r="G362" s="6">
        <f>IFERROR(__xludf.DUMMYFUNCTION("""COMPUTED_VALUE"""),150.0)</f>
        <v>150</v>
      </c>
      <c r="H362" s="7">
        <f>IFERROR(__xludf.DUMMYFUNCTION("""COMPUTED_VALUE"""),49.7)</f>
        <v>49.7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IFERROR(__xludf.DUMMYFUNCTION("""COMPUTED_VALUE"""),2.0)</f>
        <v>2</v>
      </c>
      <c r="E363" s="7">
        <f>IFERROR(__xludf.DUMMYFUNCTION("""COMPUTED_VALUE"""),6430.6)</f>
        <v>6430.6</v>
      </c>
      <c r="F363" s="7">
        <f>IFERROR(__xludf.DUMMYFUNCTION("""COMPUTED_VALUE"""),7540.51)</f>
        <v>7540.51</v>
      </c>
      <c r="G363" s="6">
        <f>IFERROR(__xludf.DUMMYFUNCTION("""COMPUTED_VALUE"""),158.0)</f>
        <v>158</v>
      </c>
      <c r="H363" s="7">
        <f>IFERROR(__xludf.DUMMYFUNCTION("""COMPUTED_VALUE"""),47.72474683544304)</f>
        <v>47.72474684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IFERROR(__xludf.DUMMYFUNCTION("""COMPUTED_VALUE"""),1.0)</f>
        <v>1</v>
      </c>
      <c r="E364" s="7">
        <f>IFERROR(__xludf.DUMMYFUNCTION("""COMPUTED_VALUE"""),6297.51)</f>
        <v>6297.51</v>
      </c>
      <c r="F364" s="7">
        <f>IFERROR(__xludf.DUMMYFUNCTION("""COMPUTED_VALUE"""),6802.01)</f>
        <v>6802.01</v>
      </c>
      <c r="G364" s="6">
        <f>IFERROR(__xludf.DUMMYFUNCTION("""COMPUTED_VALUE"""),157.0)</f>
        <v>157</v>
      </c>
      <c r="H364" s="7">
        <f>IFERROR(__xludf.DUMMYFUNCTION("""COMPUTED_VALUE"""),43.32490445859873)</f>
        <v>43.32490446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IFERROR(__xludf.DUMMYFUNCTION("""COMPUTED_VALUE"""),2.0)</f>
        <v>2</v>
      </c>
      <c r="E365" s="7">
        <f>IFERROR(__xludf.DUMMYFUNCTION("""COMPUTED_VALUE"""),6392.65)</f>
        <v>6392.65</v>
      </c>
      <c r="F365" s="7">
        <f>IFERROR(__xludf.DUMMYFUNCTION("""COMPUTED_VALUE"""),6734.02)</f>
        <v>6734.02</v>
      </c>
      <c r="G365" s="6">
        <f>IFERROR(__xludf.DUMMYFUNCTION("""COMPUTED_VALUE"""),148.0)</f>
        <v>148</v>
      </c>
      <c r="H365" s="7">
        <f>IFERROR(__xludf.DUMMYFUNCTION("""COMPUTED_VALUE"""),45.50013513513514)</f>
        <v>45.50013514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IFERROR(__xludf.DUMMYFUNCTION("""COMPUTED_VALUE"""),1.0)</f>
        <v>1</v>
      </c>
      <c r="E366" s="7">
        <f>IFERROR(__xludf.DUMMYFUNCTION("""COMPUTED_VALUE"""),6740.64)</f>
        <v>6740.64</v>
      </c>
      <c r="F366" s="7">
        <f>IFERROR(__xludf.DUMMYFUNCTION("""COMPUTED_VALUE"""),5114.51)</f>
        <v>5114.51</v>
      </c>
      <c r="G366" s="6">
        <f>IFERROR(__xludf.DUMMYFUNCTION("""COMPUTED_VALUE"""),100.0)</f>
        <v>100</v>
      </c>
      <c r="H366" s="7">
        <f>IFERROR(__xludf.DUMMYFUNCTION("""COMPUTED_VALUE"""),51.1451)</f>
        <v>51.1451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IFERROR(__xludf.DUMMYFUNCTION("""COMPUTED_VALUE"""),2.0)</f>
        <v>2</v>
      </c>
      <c r="E367" s="7">
        <f>IFERROR(__xludf.DUMMYFUNCTION("""COMPUTED_VALUE"""),6255.94)</f>
        <v>6255.94</v>
      </c>
      <c r="F367" s="7">
        <f>IFERROR(__xludf.DUMMYFUNCTION("""COMPUTED_VALUE"""),9631.0)</f>
        <v>9631</v>
      </c>
      <c r="G367" s="6">
        <f>IFERROR(__xludf.DUMMYFUNCTION("""COMPUTED_VALUE"""),186.0)</f>
        <v>186</v>
      </c>
      <c r="H367" s="7">
        <f>IFERROR(__xludf.DUMMYFUNCTION("""COMPUTED_VALUE"""),51.77956989247312)</f>
        <v>51.77956989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IFERROR(__xludf.DUMMYFUNCTION("""COMPUTED_VALUE"""),1.0)</f>
        <v>1</v>
      </c>
      <c r="E368" s="7">
        <f>IFERROR(__xludf.DUMMYFUNCTION("""COMPUTED_VALUE"""),6348.41)</f>
        <v>6348.41</v>
      </c>
      <c r="F368" s="7">
        <f>IFERROR(__xludf.DUMMYFUNCTION("""COMPUTED_VALUE"""),9468.0)</f>
        <v>9468</v>
      </c>
      <c r="G368" s="6">
        <f>IFERROR(__xludf.DUMMYFUNCTION("""COMPUTED_VALUE"""),195.0)</f>
        <v>195</v>
      </c>
      <c r="H368" s="7">
        <f>IFERROR(__xludf.DUMMYFUNCTION("""COMPUTED_VALUE"""),48.55384615384615)</f>
        <v>48.55384615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IFERROR(__xludf.DUMMYFUNCTION("""COMPUTED_VALUE"""),2.0)</f>
        <v>2</v>
      </c>
      <c r="E369" s="7">
        <f>IFERROR(__xludf.DUMMYFUNCTION("""COMPUTED_VALUE"""),7476.84)</f>
        <v>7476.84</v>
      </c>
      <c r="F369" s="7">
        <f>IFERROR(__xludf.DUMMYFUNCTION("""COMPUTED_VALUE"""),8582.5)</f>
        <v>8582.5</v>
      </c>
      <c r="G369" s="6">
        <f>IFERROR(__xludf.DUMMYFUNCTION("""COMPUTED_VALUE"""),177.0)</f>
        <v>177</v>
      </c>
      <c r="H369" s="7">
        <f>IFERROR(__xludf.DUMMYFUNCTION("""COMPUTED_VALUE"""),48.48870056497175)</f>
        <v>48.48870056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IFERROR(__xludf.DUMMYFUNCTION("""COMPUTED_VALUE"""),1.0)</f>
        <v>1</v>
      </c>
      <c r="E370" s="7">
        <f>IFERROR(__xludf.DUMMYFUNCTION("""COMPUTED_VALUE"""),6128.0)</f>
        <v>6128</v>
      </c>
      <c r="F370" s="7">
        <f>IFERROR(__xludf.DUMMYFUNCTION("""COMPUTED_VALUE"""),8525.5)</f>
        <v>8525.5</v>
      </c>
      <c r="G370" s="6">
        <f>IFERROR(__xludf.DUMMYFUNCTION("""COMPUTED_VALUE"""),191.0)</f>
        <v>191</v>
      </c>
      <c r="H370" s="7">
        <f>IFERROR(__xludf.DUMMYFUNCTION("""COMPUTED_VALUE"""),44.63612565445026)</f>
        <v>44.63612565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IFERROR(__xludf.DUMMYFUNCTION("""COMPUTED_VALUE"""),2.0)</f>
        <v>2</v>
      </c>
      <c r="E371" s="7">
        <f>IFERROR(__xludf.DUMMYFUNCTION("""COMPUTED_VALUE"""),5896.46)</f>
        <v>5896.46</v>
      </c>
      <c r="F371" s="7">
        <f>IFERROR(__xludf.DUMMYFUNCTION("""COMPUTED_VALUE"""),6503.0)</f>
        <v>6503</v>
      </c>
      <c r="G371" s="6">
        <f>IFERROR(__xludf.DUMMYFUNCTION("""COMPUTED_VALUE"""),142.0)</f>
        <v>142</v>
      </c>
      <c r="H371" s="7">
        <f>IFERROR(__xludf.DUMMYFUNCTION("""COMPUTED_VALUE"""),45.79577464788732)</f>
        <v>45.79577465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IFERROR(__xludf.DUMMYFUNCTION("""COMPUTED_VALUE"""),1.0)</f>
        <v>1</v>
      </c>
      <c r="E372" s="7">
        <f>IFERROR(__xludf.DUMMYFUNCTION("""COMPUTED_VALUE"""),6145.1)</f>
        <v>6145.1</v>
      </c>
      <c r="F372" s="7">
        <f>IFERROR(__xludf.DUMMYFUNCTION("""COMPUTED_VALUE"""),6038.5)</f>
        <v>6038.5</v>
      </c>
      <c r="G372" s="6">
        <f>IFERROR(__xludf.DUMMYFUNCTION("""COMPUTED_VALUE"""),139.0)</f>
        <v>139</v>
      </c>
      <c r="H372" s="7">
        <f>IFERROR(__xludf.DUMMYFUNCTION("""COMPUTED_VALUE"""),43.44244604316547)</f>
        <v>43.44244604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IFERROR(__xludf.DUMMYFUNCTION("""COMPUTED_VALUE"""),2.0)</f>
        <v>2</v>
      </c>
      <c r="E373" s="7">
        <f>IFERROR(__xludf.DUMMYFUNCTION("""COMPUTED_VALUE"""),5931.27)</f>
        <v>5931.27</v>
      </c>
      <c r="F373" s="7">
        <f>IFERROR(__xludf.DUMMYFUNCTION("""COMPUTED_VALUE"""),7892.4)</f>
        <v>7892.4</v>
      </c>
      <c r="G373" s="6">
        <f>IFERROR(__xludf.DUMMYFUNCTION("""COMPUTED_VALUE"""),162.0)</f>
        <v>162</v>
      </c>
      <c r="H373" s="7">
        <f>IFERROR(__xludf.DUMMYFUNCTION("""COMPUTED_VALUE"""),48.718518518518515)</f>
        <v>48.71851852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IFERROR(__xludf.DUMMYFUNCTION("""COMPUTED_VALUE"""),1.0)</f>
        <v>1</v>
      </c>
      <c r="E374" s="7">
        <f>IFERROR(__xludf.DUMMYFUNCTION("""COMPUTED_VALUE"""),6255.94)</f>
        <v>6255.94</v>
      </c>
      <c r="F374" s="7">
        <f>IFERROR(__xludf.DUMMYFUNCTION("""COMPUTED_VALUE"""),6856.5)</f>
        <v>6856.5</v>
      </c>
      <c r="G374" s="6">
        <f>IFERROR(__xludf.DUMMYFUNCTION("""COMPUTED_VALUE"""),168.0)</f>
        <v>168</v>
      </c>
      <c r="H374" s="7">
        <f>IFERROR(__xludf.DUMMYFUNCTION("""COMPUTED_VALUE"""),40.8125)</f>
        <v>40.8125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IFERROR(__xludf.DUMMYFUNCTION("""COMPUTED_VALUE"""),2.0)</f>
        <v>2</v>
      </c>
      <c r="E375" s="7">
        <f>IFERROR(__xludf.DUMMYFUNCTION("""COMPUTED_VALUE"""),6348.41)</f>
        <v>6348.41</v>
      </c>
      <c r="F375" s="7">
        <f>IFERROR(__xludf.DUMMYFUNCTION("""COMPUTED_VALUE"""),6757.01)</f>
        <v>6757.01</v>
      </c>
      <c r="G375" s="6">
        <f>IFERROR(__xludf.DUMMYFUNCTION("""COMPUTED_VALUE"""),150.0)</f>
        <v>150</v>
      </c>
      <c r="H375" s="7">
        <f>IFERROR(__xludf.DUMMYFUNCTION("""COMPUTED_VALUE"""),45.046733333333336)</f>
        <v>45.04673333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IFERROR(__xludf.DUMMYFUNCTION("""COMPUTED_VALUE"""),1.0)</f>
        <v>1</v>
      </c>
      <c r="E376" s="7">
        <f>IFERROR(__xludf.DUMMYFUNCTION("""COMPUTED_VALUE"""),7476.84)</f>
        <v>7476.84</v>
      </c>
      <c r="F376" s="7">
        <f>IFERROR(__xludf.DUMMYFUNCTION("""COMPUTED_VALUE"""),6886.5)</f>
        <v>6886.5</v>
      </c>
      <c r="G376" s="6">
        <f>IFERROR(__xludf.DUMMYFUNCTION("""COMPUTED_VALUE"""),161.0)</f>
        <v>161</v>
      </c>
      <c r="H376" s="7">
        <f>IFERROR(__xludf.DUMMYFUNCTION("""COMPUTED_VALUE"""),42.77329192546584)</f>
        <v>42.77329193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IFERROR(__xludf.DUMMYFUNCTION("""COMPUTED_VALUE"""),2.0)</f>
        <v>2</v>
      </c>
      <c r="E377" s="7">
        <f>IFERROR(__xludf.DUMMYFUNCTION("""COMPUTED_VALUE"""),6128.0)</f>
        <v>6128</v>
      </c>
      <c r="F377" s="7">
        <f>IFERROR(__xludf.DUMMYFUNCTION("""COMPUTED_VALUE"""),5798.01)</f>
        <v>5798.01</v>
      </c>
      <c r="G377" s="6">
        <f>IFERROR(__xludf.DUMMYFUNCTION("""COMPUTED_VALUE"""),123.0)</f>
        <v>123</v>
      </c>
      <c r="H377" s="7">
        <f>IFERROR(__xludf.DUMMYFUNCTION("""COMPUTED_VALUE"""),47.13829268292683)</f>
        <v>47.13829268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IFERROR(__xludf.DUMMYFUNCTION("""COMPUTED_VALUE"""),1.0)</f>
        <v>1</v>
      </c>
      <c r="E378" s="7">
        <f>IFERROR(__xludf.DUMMYFUNCTION("""COMPUTED_VALUE"""),5896.46)</f>
        <v>5896.46</v>
      </c>
      <c r="F378" s="7">
        <f>IFERROR(__xludf.DUMMYFUNCTION("""COMPUTED_VALUE"""),5939.01)</f>
        <v>5939.01</v>
      </c>
      <c r="G378" s="6">
        <f>IFERROR(__xludf.DUMMYFUNCTION("""COMPUTED_VALUE"""),130.0)</f>
        <v>130</v>
      </c>
      <c r="H378" s="7">
        <f>IFERROR(__xludf.DUMMYFUNCTION("""COMPUTED_VALUE"""),45.68469230769231)</f>
        <v>45.68469231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IFERROR(__xludf.DUMMYFUNCTION("""COMPUTED_VALUE"""),2.0)</f>
        <v>2</v>
      </c>
      <c r="E379" s="7">
        <f>IFERROR(__xludf.DUMMYFUNCTION("""COMPUTED_VALUE"""),6145.1)</f>
        <v>6145.1</v>
      </c>
      <c r="F379" s="7">
        <f>IFERROR(__xludf.DUMMYFUNCTION("""COMPUTED_VALUE"""),6528.5)</f>
        <v>6528.5</v>
      </c>
      <c r="G379" s="6">
        <f>IFERROR(__xludf.DUMMYFUNCTION("""COMPUTED_VALUE"""),143.0)</f>
        <v>143</v>
      </c>
      <c r="H379" s="7">
        <f>IFERROR(__xludf.DUMMYFUNCTION("""COMPUTED_VALUE"""),45.65384615384615)</f>
        <v>45.65384615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IFERROR(__xludf.DUMMYFUNCTION("""COMPUTED_VALUE"""),1.0)</f>
        <v>1</v>
      </c>
      <c r="E380" s="7">
        <f>IFERROR(__xludf.DUMMYFUNCTION("""COMPUTED_VALUE"""),5931.27)</f>
        <v>5931.27</v>
      </c>
      <c r="F380" s="7">
        <f>IFERROR(__xludf.DUMMYFUNCTION("""COMPUTED_VALUE"""),6646.0)</f>
        <v>6646</v>
      </c>
      <c r="G380" s="6">
        <f>IFERROR(__xludf.DUMMYFUNCTION("""COMPUTED_VALUE"""),144.0)</f>
        <v>144</v>
      </c>
      <c r="H380" s="7">
        <f>IFERROR(__xludf.DUMMYFUNCTION("""COMPUTED_VALUE"""),46.15277777777778)</f>
        <v>46.15277778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IFERROR(__xludf.DUMMYFUNCTION("""COMPUTED_VALUE"""),2.0)</f>
        <v>2</v>
      </c>
      <c r="E381" s="7">
        <f>IFERROR(__xludf.DUMMYFUNCTION("""COMPUTED_VALUE"""),6255.94)</f>
        <v>6255.94</v>
      </c>
      <c r="F381" s="7">
        <f>IFERROR(__xludf.DUMMYFUNCTION("""COMPUTED_VALUE"""),6006.55)</f>
        <v>6006.55</v>
      </c>
      <c r="G381" s="6">
        <f>IFERROR(__xludf.DUMMYFUNCTION("""COMPUTED_VALUE"""),131.0)</f>
        <v>131</v>
      </c>
      <c r="H381" s="7">
        <f>IFERROR(__xludf.DUMMYFUNCTION("""COMPUTED_VALUE"""),45.851526717557256)</f>
        <v>45.85152672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IFERROR(__xludf.DUMMYFUNCTION("""COMPUTED_VALUE"""),1.0)</f>
        <v>1</v>
      </c>
      <c r="E382" s="7">
        <f>IFERROR(__xludf.DUMMYFUNCTION("""COMPUTED_VALUE"""),6348.41)</f>
        <v>6348.41</v>
      </c>
      <c r="F382" s="7">
        <f>IFERROR(__xludf.DUMMYFUNCTION("""COMPUTED_VALUE"""),5715.51)</f>
        <v>5715.51</v>
      </c>
      <c r="G382" s="6">
        <f>IFERROR(__xludf.DUMMYFUNCTION("""COMPUTED_VALUE"""),140.0)</f>
        <v>140</v>
      </c>
      <c r="H382" s="7">
        <f>IFERROR(__xludf.DUMMYFUNCTION("""COMPUTED_VALUE"""),40.82507142857143)</f>
        <v>40.82507143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IFERROR(__xludf.DUMMYFUNCTION("""COMPUTED_VALUE"""),2.0)</f>
        <v>2</v>
      </c>
      <c r="E383" s="7">
        <f>IFERROR(__xludf.DUMMYFUNCTION("""COMPUTED_VALUE"""),7476.84)</f>
        <v>7476.84</v>
      </c>
      <c r="F383" s="7">
        <f>IFERROR(__xludf.DUMMYFUNCTION("""COMPUTED_VALUE"""),6488.01)</f>
        <v>6488.01</v>
      </c>
      <c r="G383" s="6">
        <f>IFERROR(__xludf.DUMMYFUNCTION("""COMPUTED_VALUE"""),151.0)</f>
        <v>151</v>
      </c>
      <c r="H383" s="7">
        <f>IFERROR(__xludf.DUMMYFUNCTION("""COMPUTED_VALUE"""),42.966953642384105)</f>
        <v>42.96695364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IFERROR(__xludf.DUMMYFUNCTION("""COMPUTED_VALUE"""),1.0)</f>
        <v>1</v>
      </c>
      <c r="E384" s="7">
        <f>IFERROR(__xludf.DUMMYFUNCTION("""COMPUTED_VALUE"""),6128.0)</f>
        <v>6128</v>
      </c>
      <c r="F384" s="7">
        <f>IFERROR(__xludf.DUMMYFUNCTION("""COMPUTED_VALUE"""),5325.01)</f>
        <v>5325.01</v>
      </c>
      <c r="G384" s="6">
        <f>IFERROR(__xludf.DUMMYFUNCTION("""COMPUTED_VALUE"""),117.0)</f>
        <v>117</v>
      </c>
      <c r="H384" s="7">
        <f>IFERROR(__xludf.DUMMYFUNCTION("""COMPUTED_VALUE"""),45.512905982905984)</f>
        <v>45.51290598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IFERROR(__xludf.DUMMYFUNCTION("""COMPUTED_VALUE"""),2.0)</f>
        <v>2</v>
      </c>
      <c r="E385" s="7">
        <f>IFERROR(__xludf.DUMMYFUNCTION("""COMPUTED_VALUE"""),5896.46)</f>
        <v>5896.46</v>
      </c>
      <c r="F385" s="7">
        <f>IFERROR(__xludf.DUMMYFUNCTION("""COMPUTED_VALUE"""),5553.01)</f>
        <v>5553.01</v>
      </c>
      <c r="G385" s="6">
        <f>IFERROR(__xludf.DUMMYFUNCTION("""COMPUTED_VALUE"""),126.0)</f>
        <v>126</v>
      </c>
      <c r="H385" s="7">
        <f>IFERROR(__xludf.DUMMYFUNCTION("""COMPUTED_VALUE"""),44.071507936507935)</f>
        <v>44.07150794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IFERROR(__xludf.DUMMYFUNCTION("""COMPUTED_VALUE"""),1.0)</f>
        <v>1</v>
      </c>
      <c r="E386" s="7">
        <f>IFERROR(__xludf.DUMMYFUNCTION("""COMPUTED_VALUE"""),6145.1)</f>
        <v>6145.1</v>
      </c>
      <c r="F386" s="7">
        <f>IFERROR(__xludf.DUMMYFUNCTION("""COMPUTED_VALUE"""),5663.0)</f>
        <v>5663</v>
      </c>
      <c r="G386" s="6">
        <f>IFERROR(__xludf.DUMMYFUNCTION("""COMPUTED_VALUE"""),110.0)</f>
        <v>110</v>
      </c>
      <c r="H386" s="7">
        <f>IFERROR(__xludf.DUMMYFUNCTION("""COMPUTED_VALUE"""),51.481818181818184)</f>
        <v>51.48181818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IFERROR(__xludf.DUMMYFUNCTION("""COMPUTED_VALUE"""),2.0)</f>
        <v>2</v>
      </c>
      <c r="E387" s="7">
        <f>IFERROR(__xludf.DUMMYFUNCTION("""COMPUTED_VALUE"""),5931.27)</f>
        <v>5931.27</v>
      </c>
      <c r="F387" s="7">
        <f>IFERROR(__xludf.DUMMYFUNCTION("""COMPUTED_VALUE"""),6482.0)</f>
        <v>6482</v>
      </c>
      <c r="G387" s="6">
        <f>IFERROR(__xludf.DUMMYFUNCTION("""COMPUTED_VALUE"""),148.0)</f>
        <v>148</v>
      </c>
      <c r="H387" s="7">
        <f>IFERROR(__xludf.DUMMYFUNCTION("""COMPUTED_VALUE"""),43.7972972972973)</f>
        <v>43.7972973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IFERROR(__xludf.DUMMYFUNCTION("""COMPUTED_VALUE"""),1.0)</f>
        <v>1</v>
      </c>
      <c r="E388" s="7">
        <f>IFERROR(__xludf.DUMMYFUNCTION("""COMPUTED_VALUE"""),6255.94)</f>
        <v>6255.94</v>
      </c>
      <c r="F388" s="7">
        <f>IFERROR(__xludf.DUMMYFUNCTION("""COMPUTED_VALUE"""),5394.0)</f>
        <v>5394</v>
      </c>
      <c r="G388" s="6">
        <f>IFERROR(__xludf.DUMMYFUNCTION("""COMPUTED_VALUE"""),116.0)</f>
        <v>116</v>
      </c>
      <c r="H388" s="7">
        <f>IFERROR(__xludf.DUMMYFUNCTION("""COMPUTED_VALUE"""),46.5)</f>
        <v>46.5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IFERROR(__xludf.DUMMYFUNCTION("""COMPUTED_VALUE"""),2.0)</f>
        <v>2</v>
      </c>
      <c r="E389" s="7">
        <f>IFERROR(__xludf.DUMMYFUNCTION("""COMPUTED_VALUE"""),6348.41)</f>
        <v>6348.41</v>
      </c>
      <c r="F389" s="7">
        <f>IFERROR(__xludf.DUMMYFUNCTION("""COMPUTED_VALUE"""),7535.51)</f>
        <v>7535.51</v>
      </c>
      <c r="G389" s="6">
        <f>IFERROR(__xludf.DUMMYFUNCTION("""COMPUTED_VALUE"""),151.0)</f>
        <v>151</v>
      </c>
      <c r="H389" s="7">
        <f>IFERROR(__xludf.DUMMYFUNCTION("""COMPUTED_VALUE"""),49.90403973509934)</f>
        <v>49.90403974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IFERROR(__xludf.DUMMYFUNCTION("""COMPUTED_VALUE"""),1.0)</f>
        <v>1</v>
      </c>
      <c r="E390" s="7">
        <f>IFERROR(__xludf.DUMMYFUNCTION("""COMPUTED_VALUE"""),7476.84)</f>
        <v>7476.84</v>
      </c>
      <c r="F390" s="7">
        <f>IFERROR(__xludf.DUMMYFUNCTION("""COMPUTED_VALUE"""),7588.0)</f>
        <v>7588</v>
      </c>
      <c r="G390" s="6">
        <f>IFERROR(__xludf.DUMMYFUNCTION("""COMPUTED_VALUE"""),159.0)</f>
        <v>159</v>
      </c>
      <c r="H390" s="7">
        <f>IFERROR(__xludf.DUMMYFUNCTION("""COMPUTED_VALUE"""),47.723270440251575)</f>
        <v>47.72327044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IFERROR(__xludf.DUMMYFUNCTION("""COMPUTED_VALUE"""),2.0)</f>
        <v>2</v>
      </c>
      <c r="E391" s="7">
        <f>IFERROR(__xludf.DUMMYFUNCTION("""COMPUTED_VALUE"""),6128.0)</f>
        <v>6128</v>
      </c>
      <c r="F391" s="7">
        <f>IFERROR(__xludf.DUMMYFUNCTION("""COMPUTED_VALUE"""),5265.5)</f>
        <v>5265.5</v>
      </c>
      <c r="G391" s="6">
        <f>IFERROR(__xludf.DUMMYFUNCTION("""COMPUTED_VALUE"""),113.0)</f>
        <v>113</v>
      </c>
      <c r="H391" s="7">
        <f>IFERROR(__xludf.DUMMYFUNCTION("""COMPUTED_VALUE"""),46.597345132743364)</f>
        <v>46.59734513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IFERROR(__xludf.DUMMYFUNCTION("""COMPUTED_VALUE"""),1.0)</f>
        <v>1</v>
      </c>
      <c r="E392" s="7">
        <f>IFERROR(__xludf.DUMMYFUNCTION("""COMPUTED_VALUE"""),5896.46)</f>
        <v>5896.46</v>
      </c>
      <c r="F392" s="7">
        <f>IFERROR(__xludf.DUMMYFUNCTION("""COMPUTED_VALUE"""),5575.0)</f>
        <v>5575</v>
      </c>
      <c r="G392" s="6">
        <f>IFERROR(__xludf.DUMMYFUNCTION("""COMPUTED_VALUE"""),136.0)</f>
        <v>136</v>
      </c>
      <c r="H392" s="7">
        <f>IFERROR(__xludf.DUMMYFUNCTION("""COMPUTED_VALUE"""),40.99264705882353)</f>
        <v>40.99264706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IFERROR(__xludf.DUMMYFUNCTION("""COMPUTED_VALUE"""),2.0)</f>
        <v>2</v>
      </c>
      <c r="E393" s="7">
        <f>IFERROR(__xludf.DUMMYFUNCTION("""COMPUTED_VALUE"""),6145.1)</f>
        <v>6145.1</v>
      </c>
      <c r="F393" s="7">
        <f>IFERROR(__xludf.DUMMYFUNCTION("""COMPUTED_VALUE"""),5777.0)</f>
        <v>5777</v>
      </c>
      <c r="G393" s="6">
        <f>IFERROR(__xludf.DUMMYFUNCTION("""COMPUTED_VALUE"""),130.0)</f>
        <v>130</v>
      </c>
      <c r="H393" s="7">
        <f>IFERROR(__xludf.DUMMYFUNCTION("""COMPUTED_VALUE"""),44.43846153846154)</f>
        <v>44.43846154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IFERROR(__xludf.DUMMYFUNCTION("""COMPUTED_VALUE"""),1.0)</f>
        <v>1</v>
      </c>
      <c r="E394" s="7">
        <f>IFERROR(__xludf.DUMMYFUNCTION("""COMPUTED_VALUE"""),5931.27)</f>
        <v>5931.27</v>
      </c>
      <c r="F394" s="7">
        <f>IFERROR(__xludf.DUMMYFUNCTION("""COMPUTED_VALUE"""),5705.01)</f>
        <v>5705.01</v>
      </c>
      <c r="G394" s="6">
        <f>IFERROR(__xludf.DUMMYFUNCTION("""COMPUTED_VALUE"""),133.0)</f>
        <v>133</v>
      </c>
      <c r="H394" s="7">
        <f>IFERROR(__xludf.DUMMYFUNCTION("""COMPUTED_VALUE"""),42.89481203007519)</f>
        <v>42.89481203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IFERROR(__xludf.DUMMYFUNCTION("""COMPUTED_VALUE"""),2.0)</f>
        <v>2</v>
      </c>
      <c r="E395" s="7">
        <f>IFERROR(__xludf.DUMMYFUNCTION("""COMPUTED_VALUE"""),6255.94)</f>
        <v>6255.94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IFERROR(__xludf.DUMMYFUNCTION("""COMPUTED_VALUE"""),1.0)</f>
        <v>1</v>
      </c>
      <c r="E396" s="7">
        <f>IFERROR(__xludf.DUMMYFUNCTION("""COMPUTED_VALUE"""),6348.41)</f>
        <v>6348.41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IFERROR(__xludf.DUMMYFUNCTION("""COMPUTED_VALUE"""),2.0)</f>
        <v>2</v>
      </c>
      <c r="E397" s="7">
        <f>IFERROR(__xludf.DUMMYFUNCTION("""COMPUTED_VALUE"""),7476.84)</f>
        <v>7476.84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