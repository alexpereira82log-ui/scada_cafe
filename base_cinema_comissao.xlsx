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IFERROR(__xludf.DUMMYFUNCTION("IMPORTRANGE(""https://docs.google.com/spreadsheets/d/1POsjPVrSf7cI9l6RV9YTekpgPrIXrtJUSYTfH7IdCBw/edit?gid=1929580256#gid=1929580256"",""Fevereiro!A1:P32"")"),"Data")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IFERROR(__xludf.DUMMYFUNCTION("""COMPUTED_VALUE"""),"Fábio")</f>
        <v>Fábio</v>
      </c>
      <c r="I1" s="1" t="str">
        <f>IFERROR(__xludf.DUMMYFUNCTION("""COMPUTED_VALUE"""),"Fátima")</f>
        <v>Fátima</v>
      </c>
      <c r="J1" s="1" t="str">
        <f>IFERROR(__xludf.DUMMYFUNCTION("""COMPUTED_VALUE"""),"Jessyca")</f>
        <v>Jessyca</v>
      </c>
      <c r="K1" s="2" t="str">
        <f>IFERROR(__xludf.DUMMYFUNCTION("""COMPUTED_VALUE"""),"Jesiana")</f>
        <v>Jesiana</v>
      </c>
      <c r="L1" s="2" t="str">
        <f>IFERROR(__xludf.DUMMYFUNCTION("""COMPUTED_VALUE"""),"Alexandro")</f>
        <v>Alexandro</v>
      </c>
      <c r="M1" s="2" t="str">
        <f>IFERROR(__xludf.DUMMYFUNCTION("""COMPUTED_VALUE"""),"Naiane")</f>
        <v>Naiane</v>
      </c>
      <c r="N1" s="1" t="str">
        <f>IFERROR(__xludf.DUMMYFUNCTION("""COMPUTED_VALUE"""),"Colaboradores")</f>
        <v>Colaboradores</v>
      </c>
      <c r="O1" s="1"/>
      <c r="P1" s="1"/>
    </row>
    <row r="2">
      <c r="A2" s="3">
        <f>IFERROR(__xludf.DUMMYFUNCTION("""COMPUTED_VALUE"""),46054.0)</f>
        <v>46054</v>
      </c>
      <c r="B2" s="4">
        <f>IFERROR(__xludf.DUMMYFUNCTION("""COMPUTED_VALUE"""),576.85)</f>
        <v>576.85</v>
      </c>
      <c r="C2" s="4">
        <f>IFERROR(__xludf.DUMMYFUNCTION("""COMPUTED_VALUE"""),51.275555555555556)</f>
        <v>51.27555556</v>
      </c>
      <c r="D2" s="4">
        <f>IFERROR(__xludf.DUMMYFUNCTION("""COMPUTED_VALUE"""),51.275555555555556)</f>
        <v>51.27555556</v>
      </c>
      <c r="E2" s="5">
        <f>IFERROR(__xludf.DUMMYFUNCTION("""COMPUTED_VALUE"""),51.275555555555556)</f>
        <v>51.27555556</v>
      </c>
      <c r="F2" s="5">
        <f>IFERROR(__xludf.DUMMYFUNCTION("""COMPUTED_VALUE"""),51.275555555555556)</f>
        <v>51.27555556</v>
      </c>
      <c r="G2" s="5">
        <f>IFERROR(__xludf.DUMMYFUNCTION("""COMPUTED_VALUE"""),51.275555555555556)</f>
        <v>51.27555556</v>
      </c>
      <c r="H2" s="5">
        <f>IFERROR(__xludf.DUMMYFUNCTION("""COMPUTED_VALUE"""),51.275555555555556)</f>
        <v>51.27555556</v>
      </c>
      <c r="I2" s="5">
        <f>IFERROR(__xludf.DUMMYFUNCTION("""COMPUTED_VALUE"""),51.275555555555556)</f>
        <v>51.27555556</v>
      </c>
      <c r="J2" s="5">
        <f>IFERROR(__xludf.DUMMYFUNCTION("""COMPUTED_VALUE"""),51.275555555555556)</f>
        <v>51.27555556</v>
      </c>
      <c r="K2" s="5">
        <f>IFERROR(__xludf.DUMMYFUNCTION("""COMPUTED_VALUE"""),51.275555555555556)</f>
        <v>51.27555556</v>
      </c>
      <c r="L2" s="5">
        <f>IFERROR(__xludf.DUMMYFUNCTION("""COMPUTED_VALUE"""),51.275555555555556)</f>
        <v>51.27555556</v>
      </c>
      <c r="M2" s="5">
        <f>IFERROR(__xludf.DUMMYFUNCTION("""COMPUTED_VALUE"""),51.275555555555556)</f>
        <v>51.27555556</v>
      </c>
      <c r="N2" s="6">
        <f>IFERROR(__xludf.DUMMYFUNCTION("""COMPUTED_VALUE"""),9.0)</f>
        <v>9</v>
      </c>
    </row>
    <row r="3">
      <c r="A3" s="3">
        <f>IFERROR(__xludf.DUMMYFUNCTION("""COMPUTED_VALUE"""),46055.0)</f>
        <v>46055</v>
      </c>
      <c r="B3" s="4">
        <f>IFERROR(__xludf.DUMMYFUNCTION("""COMPUTED_VALUE"""),190.3)</f>
        <v>190.3</v>
      </c>
      <c r="C3" s="4">
        <f>IFERROR(__xludf.DUMMYFUNCTION("""COMPUTED_VALUE"""),16.915555555555557)</f>
        <v>16.91555556</v>
      </c>
      <c r="D3" s="4">
        <f>IFERROR(__xludf.DUMMYFUNCTION("""COMPUTED_VALUE"""),16.915555555555557)</f>
        <v>16.91555556</v>
      </c>
      <c r="E3" s="5">
        <f>IFERROR(__xludf.DUMMYFUNCTION("""COMPUTED_VALUE"""),16.915555555555557)</f>
        <v>16.91555556</v>
      </c>
      <c r="F3" s="5">
        <f>IFERROR(__xludf.DUMMYFUNCTION("""COMPUTED_VALUE"""),16.915555555555557)</f>
        <v>16.91555556</v>
      </c>
      <c r="G3" s="5">
        <f>IFERROR(__xludf.DUMMYFUNCTION("""COMPUTED_VALUE"""),16.915555555555557)</f>
        <v>16.91555556</v>
      </c>
      <c r="H3" s="5">
        <f>IFERROR(__xludf.DUMMYFUNCTION("""COMPUTED_VALUE"""),16.915555555555557)</f>
        <v>16.91555556</v>
      </c>
      <c r="I3" s="5">
        <f>IFERROR(__xludf.DUMMYFUNCTION("""COMPUTED_VALUE"""),16.915555555555557)</f>
        <v>16.91555556</v>
      </c>
      <c r="J3" s="5">
        <f>IFERROR(__xludf.DUMMYFUNCTION("""COMPUTED_VALUE"""),16.915555555555557)</f>
        <v>16.91555556</v>
      </c>
      <c r="K3" s="5">
        <f>IFERROR(__xludf.DUMMYFUNCTION("""COMPUTED_VALUE"""),16.915555555555557)</f>
        <v>16.91555556</v>
      </c>
      <c r="L3" s="5">
        <f>IFERROR(__xludf.DUMMYFUNCTION("""COMPUTED_VALUE"""),16.915555555555557)</f>
        <v>16.91555556</v>
      </c>
      <c r="M3" s="5">
        <f>IFERROR(__xludf.DUMMYFUNCTION("""COMPUTED_VALUE"""),16.915555555555557)</f>
        <v>16.91555556</v>
      </c>
      <c r="N3" s="6">
        <f>IFERROR(__xludf.DUMMYFUNCTION("""COMPUTED_VALUE"""),9.0)</f>
        <v>9</v>
      </c>
    </row>
    <row r="4">
      <c r="A4" s="3">
        <f>IFERROR(__xludf.DUMMYFUNCTION("""COMPUTED_VALUE"""),46056.0)</f>
        <v>46056</v>
      </c>
      <c r="B4" s="4">
        <f>IFERROR(__xludf.DUMMYFUNCTION("""COMPUTED_VALUE"""),233.3)</f>
        <v>233.3</v>
      </c>
      <c r="C4" s="4">
        <f>IFERROR(__xludf.DUMMYFUNCTION("""COMPUTED_VALUE"""),20.73777777777778)</f>
        <v>20.73777778</v>
      </c>
      <c r="D4" s="4">
        <f>IFERROR(__xludf.DUMMYFUNCTION("""COMPUTED_VALUE"""),20.73777777777778)</f>
        <v>20.73777778</v>
      </c>
      <c r="E4" s="5">
        <f>IFERROR(__xludf.DUMMYFUNCTION("""COMPUTED_VALUE"""),20.73777777777778)</f>
        <v>20.73777778</v>
      </c>
      <c r="F4" s="5">
        <f>IFERROR(__xludf.DUMMYFUNCTION("""COMPUTED_VALUE"""),20.73777777777778)</f>
        <v>20.73777778</v>
      </c>
      <c r="G4" s="5">
        <f>IFERROR(__xludf.DUMMYFUNCTION("""COMPUTED_VALUE"""),20.73777777777778)</f>
        <v>20.73777778</v>
      </c>
      <c r="H4" s="5">
        <f>IFERROR(__xludf.DUMMYFUNCTION("""COMPUTED_VALUE"""),20.73777777777778)</f>
        <v>20.73777778</v>
      </c>
      <c r="I4" s="5">
        <f>IFERROR(__xludf.DUMMYFUNCTION("""COMPUTED_VALUE"""),20.73777777777778)</f>
        <v>20.73777778</v>
      </c>
      <c r="J4" s="5">
        <f>IFERROR(__xludf.DUMMYFUNCTION("""COMPUTED_VALUE"""),20.73777777777778)</f>
        <v>20.73777778</v>
      </c>
      <c r="K4" s="5">
        <f>IFERROR(__xludf.DUMMYFUNCTION("""COMPUTED_VALUE"""),20.73777777777778)</f>
        <v>20.73777778</v>
      </c>
      <c r="L4" s="5">
        <f>IFERROR(__xludf.DUMMYFUNCTION("""COMPUTED_VALUE"""),20.73777777777778)</f>
        <v>20.73777778</v>
      </c>
      <c r="M4" s="5">
        <f>IFERROR(__xludf.DUMMYFUNCTION("""COMPUTED_VALUE"""),20.73777777777778)</f>
        <v>20.73777778</v>
      </c>
      <c r="N4" s="6">
        <f>IFERROR(__xludf.DUMMYFUNCTION("""COMPUTED_VALUE"""),9.0)</f>
        <v>9</v>
      </c>
    </row>
    <row r="5">
      <c r="A5" s="3">
        <f>IFERROR(__xludf.DUMMYFUNCTION("""COMPUTED_VALUE"""),46057.0)</f>
        <v>46057</v>
      </c>
      <c r="B5" s="4">
        <f>IFERROR(__xludf.DUMMYFUNCTION("""COMPUTED_VALUE"""),231.55)</f>
        <v>231.55</v>
      </c>
      <c r="C5" s="4">
        <f>IFERROR(__xludf.DUMMYFUNCTION("""COMPUTED_VALUE"""),20.58222222222222)</f>
        <v>20.58222222</v>
      </c>
      <c r="D5" s="4">
        <f>IFERROR(__xludf.DUMMYFUNCTION("""COMPUTED_VALUE"""),20.58222222222222)</f>
        <v>20.58222222</v>
      </c>
      <c r="E5" s="5">
        <f>IFERROR(__xludf.DUMMYFUNCTION("""COMPUTED_VALUE"""),20.58222222222222)</f>
        <v>20.58222222</v>
      </c>
      <c r="F5" s="5">
        <f>IFERROR(__xludf.DUMMYFUNCTION("""COMPUTED_VALUE"""),20.58222222222222)</f>
        <v>20.58222222</v>
      </c>
      <c r="G5" s="5">
        <f>IFERROR(__xludf.DUMMYFUNCTION("""COMPUTED_VALUE"""),20.58222222222222)</f>
        <v>20.58222222</v>
      </c>
      <c r="H5" s="5">
        <f>IFERROR(__xludf.DUMMYFUNCTION("""COMPUTED_VALUE"""),20.58222222222222)</f>
        <v>20.58222222</v>
      </c>
      <c r="I5" s="5">
        <f>IFERROR(__xludf.DUMMYFUNCTION("""COMPUTED_VALUE"""),20.58222222222222)</f>
        <v>20.58222222</v>
      </c>
      <c r="J5" s="5">
        <f>IFERROR(__xludf.DUMMYFUNCTION("""COMPUTED_VALUE"""),20.58222222222222)</f>
        <v>20.58222222</v>
      </c>
      <c r="K5" s="5">
        <f>IFERROR(__xludf.DUMMYFUNCTION("""COMPUTED_VALUE"""),20.58222222222222)</f>
        <v>20.58222222</v>
      </c>
      <c r="L5" s="5">
        <f>IFERROR(__xludf.DUMMYFUNCTION("""COMPUTED_VALUE"""),20.58222222222222)</f>
        <v>20.58222222</v>
      </c>
      <c r="M5" s="5">
        <f>IFERROR(__xludf.DUMMYFUNCTION("""COMPUTED_VALUE"""),20.58222222222222)</f>
        <v>20.58222222</v>
      </c>
      <c r="N5" s="6">
        <f>IFERROR(__xludf.DUMMYFUNCTION("""COMPUTED_VALUE"""),9.0)</f>
        <v>9</v>
      </c>
    </row>
    <row r="6">
      <c r="A6" s="3">
        <f>IFERROR(__xludf.DUMMYFUNCTION("""COMPUTED_VALUE"""),46058.0)</f>
        <v>46058</v>
      </c>
      <c r="B6" s="4">
        <f>IFERROR(__xludf.DUMMYFUNCTION("""COMPUTED_VALUE"""),282.0)</f>
        <v>282</v>
      </c>
      <c r="C6" s="4">
        <f>IFERROR(__xludf.DUMMYFUNCTION("""COMPUTED_VALUE"""),25.066666666666666)</f>
        <v>25.06666667</v>
      </c>
      <c r="D6" s="4">
        <f>IFERROR(__xludf.DUMMYFUNCTION("""COMPUTED_VALUE"""),25.066666666666666)</f>
        <v>25.06666667</v>
      </c>
      <c r="E6" s="5">
        <f>IFERROR(__xludf.DUMMYFUNCTION("""COMPUTED_VALUE"""),25.066666666666666)</f>
        <v>25.06666667</v>
      </c>
      <c r="F6" s="5">
        <f>IFERROR(__xludf.DUMMYFUNCTION("""COMPUTED_VALUE"""),25.066666666666666)</f>
        <v>25.06666667</v>
      </c>
      <c r="G6" s="5">
        <f>IFERROR(__xludf.DUMMYFUNCTION("""COMPUTED_VALUE"""),25.066666666666666)</f>
        <v>25.06666667</v>
      </c>
      <c r="H6" s="5">
        <f>IFERROR(__xludf.DUMMYFUNCTION("""COMPUTED_VALUE"""),25.066666666666666)</f>
        <v>25.06666667</v>
      </c>
      <c r="I6" s="5">
        <f>IFERROR(__xludf.DUMMYFUNCTION("""COMPUTED_VALUE"""),25.066666666666666)</f>
        <v>25.06666667</v>
      </c>
      <c r="J6" s="5">
        <f>IFERROR(__xludf.DUMMYFUNCTION("""COMPUTED_VALUE"""),25.066666666666666)</f>
        <v>25.06666667</v>
      </c>
      <c r="K6" s="5">
        <f>IFERROR(__xludf.DUMMYFUNCTION("""COMPUTED_VALUE"""),25.066666666666666)</f>
        <v>25.06666667</v>
      </c>
      <c r="L6" s="5">
        <f>IFERROR(__xludf.DUMMYFUNCTION("""COMPUTED_VALUE"""),25.066666666666666)</f>
        <v>25.06666667</v>
      </c>
      <c r="M6" s="5">
        <f>IFERROR(__xludf.DUMMYFUNCTION("""COMPUTED_VALUE"""),25.066666666666666)</f>
        <v>25.06666667</v>
      </c>
      <c r="N6" s="6">
        <f>IFERROR(__xludf.DUMMYFUNCTION("""COMPUTED_VALUE"""),9.0)</f>
        <v>9</v>
      </c>
    </row>
    <row r="7">
      <c r="A7" s="3">
        <f>IFERROR(__xludf.DUMMYFUNCTION("""COMPUTED_VALUE"""),46059.0)</f>
        <v>46059</v>
      </c>
      <c r="B7" s="4">
        <f>IFERROR(__xludf.DUMMYFUNCTION("""COMPUTED_VALUE"""),258.25)</f>
        <v>258.25</v>
      </c>
      <c r="C7" s="4">
        <f>IFERROR(__xludf.DUMMYFUNCTION("""COMPUTED_VALUE"""),22.955555555555556)</f>
        <v>22.95555556</v>
      </c>
      <c r="D7" s="4">
        <f>IFERROR(__xludf.DUMMYFUNCTION("""COMPUTED_VALUE"""),22.955555555555556)</f>
        <v>22.95555556</v>
      </c>
      <c r="E7" s="5">
        <f>IFERROR(__xludf.DUMMYFUNCTION("""COMPUTED_VALUE"""),22.955555555555556)</f>
        <v>22.95555556</v>
      </c>
      <c r="F7" s="5">
        <f>IFERROR(__xludf.DUMMYFUNCTION("""COMPUTED_VALUE"""),22.955555555555556)</f>
        <v>22.95555556</v>
      </c>
      <c r="G7" s="5">
        <f>IFERROR(__xludf.DUMMYFUNCTION("""COMPUTED_VALUE"""),22.955555555555556)</f>
        <v>22.95555556</v>
      </c>
      <c r="H7" s="5">
        <f>IFERROR(__xludf.DUMMYFUNCTION("""COMPUTED_VALUE"""),22.955555555555556)</f>
        <v>22.95555556</v>
      </c>
      <c r="I7" s="5">
        <f>IFERROR(__xludf.DUMMYFUNCTION("""COMPUTED_VALUE"""),22.955555555555556)</f>
        <v>22.95555556</v>
      </c>
      <c r="J7" s="5">
        <f>IFERROR(__xludf.DUMMYFUNCTION("""COMPUTED_VALUE"""),22.955555555555556)</f>
        <v>22.95555556</v>
      </c>
      <c r="K7" s="5">
        <f>IFERROR(__xludf.DUMMYFUNCTION("""COMPUTED_VALUE"""),22.955555555555556)</f>
        <v>22.95555556</v>
      </c>
      <c r="L7" s="5">
        <f>IFERROR(__xludf.DUMMYFUNCTION("""COMPUTED_VALUE"""),22.955555555555556)</f>
        <v>22.95555556</v>
      </c>
      <c r="M7" s="5">
        <f>IFERROR(__xludf.DUMMYFUNCTION("""COMPUTED_VALUE"""),22.955555555555556)</f>
        <v>22.95555556</v>
      </c>
      <c r="N7" s="6">
        <f>IFERROR(__xludf.DUMMYFUNCTION("""COMPUTED_VALUE"""),9.0)</f>
        <v>9</v>
      </c>
    </row>
    <row r="8">
      <c r="A8" s="3">
        <f>IFERROR(__xludf.DUMMYFUNCTION("""COMPUTED_VALUE"""),46060.0)</f>
        <v>46060</v>
      </c>
      <c r="B8" s="4">
        <f>IFERROR(__xludf.DUMMYFUNCTION("""COMPUTED_VALUE"""),476.95)</f>
        <v>476.95</v>
      </c>
      <c r="C8" s="4">
        <f>IFERROR(__xludf.DUMMYFUNCTION("""COMPUTED_VALUE"""),42.39555555555555)</f>
        <v>42.39555556</v>
      </c>
      <c r="D8" s="4">
        <f>IFERROR(__xludf.DUMMYFUNCTION("""COMPUTED_VALUE"""),42.39555555555555)</f>
        <v>42.39555556</v>
      </c>
      <c r="E8" s="5">
        <f>IFERROR(__xludf.DUMMYFUNCTION("""COMPUTED_VALUE"""),42.39555555555555)</f>
        <v>42.39555556</v>
      </c>
      <c r="F8" s="5">
        <f>IFERROR(__xludf.DUMMYFUNCTION("""COMPUTED_VALUE"""),42.39555555555555)</f>
        <v>42.39555556</v>
      </c>
      <c r="G8" s="5">
        <f>IFERROR(__xludf.DUMMYFUNCTION("""COMPUTED_VALUE"""),42.39555555555555)</f>
        <v>42.39555556</v>
      </c>
      <c r="H8" s="5">
        <f>IFERROR(__xludf.DUMMYFUNCTION("""COMPUTED_VALUE"""),42.39555555555555)</f>
        <v>42.39555556</v>
      </c>
      <c r="I8" s="5">
        <f>IFERROR(__xludf.DUMMYFUNCTION("""COMPUTED_VALUE"""),42.39555555555555)</f>
        <v>42.39555556</v>
      </c>
      <c r="J8" s="5">
        <f>IFERROR(__xludf.DUMMYFUNCTION("""COMPUTED_VALUE"""),42.39555555555555)</f>
        <v>42.39555556</v>
      </c>
      <c r="K8" s="5">
        <f>IFERROR(__xludf.DUMMYFUNCTION("""COMPUTED_VALUE"""),42.39555555555555)</f>
        <v>42.39555556</v>
      </c>
      <c r="L8" s="5">
        <f>IFERROR(__xludf.DUMMYFUNCTION("""COMPUTED_VALUE"""),42.39555555555555)</f>
        <v>42.39555556</v>
      </c>
      <c r="M8" s="5">
        <f>IFERROR(__xludf.DUMMYFUNCTION("""COMPUTED_VALUE"""),42.39555555555555)</f>
        <v>42.39555556</v>
      </c>
      <c r="N8" s="6">
        <f>IFERROR(__xludf.DUMMYFUNCTION("""COMPUTED_VALUE"""),9.0)</f>
        <v>9</v>
      </c>
    </row>
    <row r="9">
      <c r="A9" s="3">
        <f>IFERROR(__xludf.DUMMYFUNCTION("""COMPUTED_VALUE"""),46061.0)</f>
        <v>46061</v>
      </c>
      <c r="B9" s="4">
        <f>IFERROR(__xludf.DUMMYFUNCTION("""COMPUTED_VALUE"""),670.0)</f>
        <v>670</v>
      </c>
      <c r="C9" s="4">
        <f>IFERROR(__xludf.DUMMYFUNCTION("""COMPUTED_VALUE"""),59.55555555555556)</f>
        <v>59.55555556</v>
      </c>
      <c r="D9" s="4">
        <f>IFERROR(__xludf.DUMMYFUNCTION("""COMPUTED_VALUE"""),59.55555555555556)</f>
        <v>59.55555556</v>
      </c>
      <c r="E9" s="5">
        <f>IFERROR(__xludf.DUMMYFUNCTION("""COMPUTED_VALUE"""),59.55555555555556)</f>
        <v>59.55555556</v>
      </c>
      <c r="F9" s="5">
        <f>IFERROR(__xludf.DUMMYFUNCTION("""COMPUTED_VALUE"""),59.55555555555556)</f>
        <v>59.55555556</v>
      </c>
      <c r="G9" s="5">
        <f>IFERROR(__xludf.DUMMYFUNCTION("""COMPUTED_VALUE"""),59.55555555555556)</f>
        <v>59.55555556</v>
      </c>
      <c r="H9" s="5">
        <f>IFERROR(__xludf.DUMMYFUNCTION("""COMPUTED_VALUE"""),59.55555555555556)</f>
        <v>59.55555556</v>
      </c>
      <c r="I9" s="5">
        <f>IFERROR(__xludf.DUMMYFUNCTION("""COMPUTED_VALUE"""),59.55555555555556)</f>
        <v>59.55555556</v>
      </c>
      <c r="J9" s="5">
        <f>IFERROR(__xludf.DUMMYFUNCTION("""COMPUTED_VALUE"""),59.55555555555556)</f>
        <v>59.55555556</v>
      </c>
      <c r="K9" s="5">
        <f>IFERROR(__xludf.DUMMYFUNCTION("""COMPUTED_VALUE"""),59.55555555555556)</f>
        <v>59.55555556</v>
      </c>
      <c r="L9" s="5">
        <f>IFERROR(__xludf.DUMMYFUNCTION("""COMPUTED_VALUE"""),59.55555555555556)</f>
        <v>59.55555556</v>
      </c>
      <c r="M9" s="5">
        <f>IFERROR(__xludf.DUMMYFUNCTION("""COMPUTED_VALUE"""),59.55555555555556)</f>
        <v>59.55555556</v>
      </c>
      <c r="N9" s="6">
        <f>IFERROR(__xludf.DUMMYFUNCTION("""COMPUTED_VALUE"""),9.0)</f>
        <v>9</v>
      </c>
    </row>
    <row r="10">
      <c r="A10" s="3">
        <f>IFERROR(__xludf.DUMMYFUNCTION("""COMPUTED_VALUE"""),46062.0)</f>
        <v>46062</v>
      </c>
      <c r="B10" s="4">
        <f>IFERROR(__xludf.DUMMYFUNCTION("""COMPUTED_VALUE"""),355.45)</f>
        <v>355.45</v>
      </c>
      <c r="C10" s="4">
        <f>IFERROR(__xludf.DUMMYFUNCTION("""COMPUTED_VALUE"""),31.595555555555553)</f>
        <v>31.59555556</v>
      </c>
      <c r="D10" s="4">
        <f>IFERROR(__xludf.DUMMYFUNCTION("""COMPUTED_VALUE"""),31.595555555555553)</f>
        <v>31.59555556</v>
      </c>
      <c r="E10" s="5">
        <f>IFERROR(__xludf.DUMMYFUNCTION("""COMPUTED_VALUE"""),31.595555555555553)</f>
        <v>31.59555556</v>
      </c>
      <c r="F10" s="5">
        <f>IFERROR(__xludf.DUMMYFUNCTION("""COMPUTED_VALUE"""),31.595555555555553)</f>
        <v>31.59555556</v>
      </c>
      <c r="G10" s="5">
        <f>IFERROR(__xludf.DUMMYFUNCTION("""COMPUTED_VALUE"""),31.595555555555553)</f>
        <v>31.59555556</v>
      </c>
      <c r="H10" s="5">
        <f>IFERROR(__xludf.DUMMYFUNCTION("""COMPUTED_VALUE"""),31.595555555555553)</f>
        <v>31.59555556</v>
      </c>
      <c r="I10" s="5">
        <f>IFERROR(__xludf.DUMMYFUNCTION("""COMPUTED_VALUE"""),31.595555555555553)</f>
        <v>31.59555556</v>
      </c>
      <c r="J10" s="5">
        <f>IFERROR(__xludf.DUMMYFUNCTION("""COMPUTED_VALUE"""),31.595555555555553)</f>
        <v>31.59555556</v>
      </c>
      <c r="K10" s="5">
        <f>IFERROR(__xludf.DUMMYFUNCTION("""COMPUTED_VALUE"""),31.595555555555553)</f>
        <v>31.59555556</v>
      </c>
      <c r="L10" s="5">
        <f>IFERROR(__xludf.DUMMYFUNCTION("""COMPUTED_VALUE"""),31.595555555555553)</f>
        <v>31.59555556</v>
      </c>
      <c r="M10" s="5">
        <f>IFERROR(__xludf.DUMMYFUNCTION("""COMPUTED_VALUE"""),31.595555555555553)</f>
        <v>31.59555556</v>
      </c>
      <c r="N10" s="6">
        <f>IFERROR(__xludf.DUMMYFUNCTION("""COMPUTED_VALUE"""),9.0)</f>
        <v>9</v>
      </c>
    </row>
    <row r="11">
      <c r="A11" s="3">
        <f>IFERROR(__xludf.DUMMYFUNCTION("""COMPUTED_VALUE"""),46063.0)</f>
        <v>46063</v>
      </c>
      <c r="B11" s="4">
        <f>IFERROR(__xludf.DUMMYFUNCTION("""COMPUTED_VALUE"""),296.1)</f>
        <v>296.1</v>
      </c>
      <c r="C11" s="4">
        <f>IFERROR(__xludf.DUMMYFUNCTION("""COMPUTED_VALUE"""),26.320000000000004)</f>
        <v>26.32</v>
      </c>
      <c r="D11" s="4">
        <f>IFERROR(__xludf.DUMMYFUNCTION("""COMPUTED_VALUE"""),26.320000000000004)</f>
        <v>26.32</v>
      </c>
      <c r="E11" s="5">
        <f>IFERROR(__xludf.DUMMYFUNCTION("""COMPUTED_VALUE"""),26.320000000000004)</f>
        <v>26.32</v>
      </c>
      <c r="F11" s="5">
        <f>IFERROR(__xludf.DUMMYFUNCTION("""COMPUTED_VALUE"""),26.320000000000004)</f>
        <v>26.32</v>
      </c>
      <c r="G11" s="5">
        <f>IFERROR(__xludf.DUMMYFUNCTION("""COMPUTED_VALUE"""),26.320000000000004)</f>
        <v>26.32</v>
      </c>
      <c r="H11" s="5">
        <f>IFERROR(__xludf.DUMMYFUNCTION("""COMPUTED_VALUE"""),26.320000000000004)</f>
        <v>26.32</v>
      </c>
      <c r="I11" s="5">
        <f>IFERROR(__xludf.DUMMYFUNCTION("""COMPUTED_VALUE"""),26.320000000000004)</f>
        <v>26.32</v>
      </c>
      <c r="J11" s="5">
        <f>IFERROR(__xludf.DUMMYFUNCTION("""COMPUTED_VALUE"""),26.320000000000004)</f>
        <v>26.32</v>
      </c>
      <c r="K11" s="5">
        <f>IFERROR(__xludf.DUMMYFUNCTION("""COMPUTED_VALUE"""),26.320000000000004)</f>
        <v>26.32</v>
      </c>
      <c r="L11" s="5">
        <f>IFERROR(__xludf.DUMMYFUNCTION("""COMPUTED_VALUE"""),26.320000000000004)</f>
        <v>26.32</v>
      </c>
      <c r="M11" s="5">
        <f>IFERROR(__xludf.DUMMYFUNCTION("""COMPUTED_VALUE"""),26.320000000000004)</f>
        <v>26.32</v>
      </c>
      <c r="N11" s="6">
        <f>IFERROR(__xludf.DUMMYFUNCTION("""COMPUTED_VALUE"""),9.0)</f>
        <v>9</v>
      </c>
    </row>
    <row r="12">
      <c r="A12" s="3">
        <f>IFERROR(__xludf.DUMMYFUNCTION("""COMPUTED_VALUE"""),46064.0)</f>
        <v>46064</v>
      </c>
      <c r="B12" s="4">
        <f>IFERROR(__xludf.DUMMYFUNCTION("""COMPUTED_VALUE"""),425.3)</f>
        <v>425.3</v>
      </c>
      <c r="C12" s="4">
        <f>IFERROR(__xludf.DUMMYFUNCTION("""COMPUTED_VALUE"""),37.80444444444445)</f>
        <v>37.80444444</v>
      </c>
      <c r="D12" s="4">
        <f>IFERROR(__xludf.DUMMYFUNCTION("""COMPUTED_VALUE"""),37.80444444444445)</f>
        <v>37.80444444</v>
      </c>
      <c r="E12" s="5">
        <f>IFERROR(__xludf.DUMMYFUNCTION("""COMPUTED_VALUE"""),37.80444444444445)</f>
        <v>37.80444444</v>
      </c>
      <c r="F12" s="5">
        <f>IFERROR(__xludf.DUMMYFUNCTION("""COMPUTED_VALUE"""),37.80444444444445)</f>
        <v>37.80444444</v>
      </c>
      <c r="G12" s="5">
        <f>IFERROR(__xludf.DUMMYFUNCTION("""COMPUTED_VALUE"""),37.80444444444445)</f>
        <v>37.80444444</v>
      </c>
      <c r="H12" s="5">
        <f>IFERROR(__xludf.DUMMYFUNCTION("""COMPUTED_VALUE"""),37.80444444444445)</f>
        <v>37.80444444</v>
      </c>
      <c r="I12" s="5">
        <f>IFERROR(__xludf.DUMMYFUNCTION("""COMPUTED_VALUE"""),37.80444444444445)</f>
        <v>37.80444444</v>
      </c>
      <c r="J12" s="5">
        <f>IFERROR(__xludf.DUMMYFUNCTION("""COMPUTED_VALUE"""),37.80444444444445)</f>
        <v>37.80444444</v>
      </c>
      <c r="K12" s="5">
        <f>IFERROR(__xludf.DUMMYFUNCTION("""COMPUTED_VALUE"""),37.80444444444445)</f>
        <v>37.80444444</v>
      </c>
      <c r="L12" s="5">
        <f>IFERROR(__xludf.DUMMYFUNCTION("""COMPUTED_VALUE"""),37.80444444444445)</f>
        <v>37.80444444</v>
      </c>
      <c r="M12" s="5">
        <f>IFERROR(__xludf.DUMMYFUNCTION("""COMPUTED_VALUE"""),37.80444444444445)</f>
        <v>37.80444444</v>
      </c>
      <c r="N12" s="6">
        <f>IFERROR(__xludf.DUMMYFUNCTION("""COMPUTED_VALUE"""),9.0)</f>
        <v>9</v>
      </c>
    </row>
    <row r="13">
      <c r="A13" s="3">
        <f>IFERROR(__xludf.DUMMYFUNCTION("""COMPUTED_VALUE"""),46065.0)</f>
        <v>46065</v>
      </c>
      <c r="B13" s="4">
        <f>IFERROR(__xludf.DUMMYFUNCTION("""COMPUTED_VALUE"""),117.0)</f>
        <v>117</v>
      </c>
      <c r="C13" s="4">
        <f>IFERROR(__xludf.DUMMYFUNCTION("""COMPUTED_VALUE"""),10.4)</f>
        <v>10.4</v>
      </c>
      <c r="D13" s="4">
        <f>IFERROR(__xludf.DUMMYFUNCTION("""COMPUTED_VALUE"""),10.4)</f>
        <v>10.4</v>
      </c>
      <c r="E13" s="5">
        <f>IFERROR(__xludf.DUMMYFUNCTION("""COMPUTED_VALUE"""),10.4)</f>
        <v>10.4</v>
      </c>
      <c r="F13" s="5">
        <f>IFERROR(__xludf.DUMMYFUNCTION("""COMPUTED_VALUE"""),10.4)</f>
        <v>10.4</v>
      </c>
      <c r="G13" s="5">
        <f>IFERROR(__xludf.DUMMYFUNCTION("""COMPUTED_VALUE"""),10.4)</f>
        <v>10.4</v>
      </c>
      <c r="H13" s="5">
        <f>IFERROR(__xludf.DUMMYFUNCTION("""COMPUTED_VALUE"""),10.4)</f>
        <v>10.4</v>
      </c>
      <c r="I13" s="5">
        <f>IFERROR(__xludf.DUMMYFUNCTION("""COMPUTED_VALUE"""),10.4)</f>
        <v>10.4</v>
      </c>
      <c r="J13" s="5">
        <f>IFERROR(__xludf.DUMMYFUNCTION("""COMPUTED_VALUE"""),10.4)</f>
        <v>10.4</v>
      </c>
      <c r="K13" s="5">
        <f>IFERROR(__xludf.DUMMYFUNCTION("""COMPUTED_VALUE"""),10.4)</f>
        <v>10.4</v>
      </c>
      <c r="L13" s="5">
        <f>IFERROR(__xludf.DUMMYFUNCTION("""COMPUTED_VALUE"""),10.4)</f>
        <v>10.4</v>
      </c>
      <c r="M13" s="5">
        <f>IFERROR(__xludf.DUMMYFUNCTION("""COMPUTED_VALUE"""),10.4)</f>
        <v>10.4</v>
      </c>
      <c r="N13" s="6">
        <f>IFERROR(__xludf.DUMMYFUNCTION("""COMPUTED_VALUE"""),9.0)</f>
        <v>9</v>
      </c>
    </row>
    <row r="14">
      <c r="A14" s="3">
        <f>IFERROR(__xludf.DUMMYFUNCTION("""COMPUTED_VALUE"""),46066.0)</f>
        <v>46066</v>
      </c>
      <c r="B14" s="4">
        <f>IFERROR(__xludf.DUMMYFUNCTION("""COMPUTED_VALUE"""),135.8)</f>
        <v>135.8</v>
      </c>
      <c r="C14" s="4">
        <f>IFERROR(__xludf.DUMMYFUNCTION("""COMPUTED_VALUE"""),12.071111111111112)</f>
        <v>12.07111111</v>
      </c>
      <c r="D14" s="4">
        <f>IFERROR(__xludf.DUMMYFUNCTION("""COMPUTED_VALUE"""),12.071111111111112)</f>
        <v>12.07111111</v>
      </c>
      <c r="E14" s="5">
        <f>IFERROR(__xludf.DUMMYFUNCTION("""COMPUTED_VALUE"""),12.071111111111112)</f>
        <v>12.07111111</v>
      </c>
      <c r="F14" s="5">
        <f>IFERROR(__xludf.DUMMYFUNCTION("""COMPUTED_VALUE"""),12.071111111111112)</f>
        <v>12.07111111</v>
      </c>
      <c r="G14" s="5">
        <f>IFERROR(__xludf.DUMMYFUNCTION("""COMPUTED_VALUE"""),12.071111111111112)</f>
        <v>12.07111111</v>
      </c>
      <c r="H14" s="5">
        <f>IFERROR(__xludf.DUMMYFUNCTION("""COMPUTED_VALUE"""),12.071111111111112)</f>
        <v>12.07111111</v>
      </c>
      <c r="I14" s="5">
        <f>IFERROR(__xludf.DUMMYFUNCTION("""COMPUTED_VALUE"""),12.071111111111112)</f>
        <v>12.07111111</v>
      </c>
      <c r="J14" s="5">
        <f>IFERROR(__xludf.DUMMYFUNCTION("""COMPUTED_VALUE"""),12.071111111111112)</f>
        <v>12.07111111</v>
      </c>
      <c r="K14" s="5">
        <f>IFERROR(__xludf.DUMMYFUNCTION("""COMPUTED_VALUE"""),12.071111111111112)</f>
        <v>12.07111111</v>
      </c>
      <c r="L14" s="5">
        <f>IFERROR(__xludf.DUMMYFUNCTION("""COMPUTED_VALUE"""),12.071111111111112)</f>
        <v>12.07111111</v>
      </c>
      <c r="M14" s="5">
        <f>IFERROR(__xludf.DUMMYFUNCTION("""COMPUTED_VALUE"""),12.071111111111112)</f>
        <v>12.07111111</v>
      </c>
      <c r="N14" s="6">
        <f>IFERROR(__xludf.DUMMYFUNCTION("""COMPUTED_VALUE"""),9.0)</f>
        <v>9</v>
      </c>
    </row>
    <row r="15">
      <c r="A15" s="3">
        <f>IFERROR(__xludf.DUMMYFUNCTION("""COMPUTED_VALUE"""),46067.0)</f>
        <v>46067</v>
      </c>
      <c r="B15" s="4">
        <f>IFERROR(__xludf.DUMMYFUNCTION("""COMPUTED_VALUE"""),355.0)</f>
        <v>355</v>
      </c>
      <c r="C15" s="4">
        <f>IFERROR(__xludf.DUMMYFUNCTION("""COMPUTED_VALUE"""),31.555555555555554)</f>
        <v>31.55555556</v>
      </c>
      <c r="D15" s="4">
        <f>IFERROR(__xludf.DUMMYFUNCTION("""COMPUTED_VALUE"""),31.555555555555554)</f>
        <v>31.55555556</v>
      </c>
      <c r="E15" s="5">
        <f>IFERROR(__xludf.DUMMYFUNCTION("""COMPUTED_VALUE"""),31.555555555555554)</f>
        <v>31.55555556</v>
      </c>
      <c r="F15" s="5">
        <f>IFERROR(__xludf.DUMMYFUNCTION("""COMPUTED_VALUE"""),31.555555555555554)</f>
        <v>31.55555556</v>
      </c>
      <c r="G15" s="5">
        <f>IFERROR(__xludf.DUMMYFUNCTION("""COMPUTED_VALUE"""),31.555555555555554)</f>
        <v>31.55555556</v>
      </c>
      <c r="H15" s="5">
        <f>IFERROR(__xludf.DUMMYFUNCTION("""COMPUTED_VALUE"""),31.555555555555554)</f>
        <v>31.55555556</v>
      </c>
      <c r="I15" s="5">
        <f>IFERROR(__xludf.DUMMYFUNCTION("""COMPUTED_VALUE"""),31.555555555555554)</f>
        <v>31.55555556</v>
      </c>
      <c r="J15" s="5">
        <f>IFERROR(__xludf.DUMMYFUNCTION("""COMPUTED_VALUE"""),31.555555555555554)</f>
        <v>31.55555556</v>
      </c>
      <c r="K15" s="5">
        <f>IFERROR(__xludf.DUMMYFUNCTION("""COMPUTED_VALUE"""),31.555555555555554)</f>
        <v>31.55555556</v>
      </c>
      <c r="L15" s="5">
        <f>IFERROR(__xludf.DUMMYFUNCTION("""COMPUTED_VALUE"""),31.555555555555554)</f>
        <v>31.55555556</v>
      </c>
      <c r="M15" s="5">
        <f>IFERROR(__xludf.DUMMYFUNCTION("""COMPUTED_VALUE"""),31.555555555555554)</f>
        <v>31.55555556</v>
      </c>
      <c r="N15" s="6">
        <f>IFERROR(__xludf.DUMMYFUNCTION("""COMPUTED_VALUE"""),9.0)</f>
        <v>9</v>
      </c>
    </row>
    <row r="16">
      <c r="A16" s="3">
        <f>IFERROR(__xludf.DUMMYFUNCTION("""COMPUTED_VALUE"""),46068.0)</f>
        <v>46068</v>
      </c>
      <c r="B16" s="4" t="str">
        <f>IFERROR(__xludf.DUMMYFUNCTION("""COMPUTED_VALUE"""),"  ")</f>
        <v/>
      </c>
      <c r="C16" s="4">
        <f>IFERROR(__xludf.DUMMYFUNCTION("""COMPUTED_VALUE"""),0.0)</f>
        <v>0</v>
      </c>
      <c r="D16" s="4">
        <f>IFERROR(__xludf.DUMMYFUNCTION("""COMPUTED_VALUE"""),0.0)</f>
        <v>0</v>
      </c>
      <c r="E16" s="5">
        <f>IFERROR(__xludf.DUMMYFUNCTION("""COMPUTED_VALUE"""),0.0)</f>
        <v>0</v>
      </c>
      <c r="F16" s="5">
        <f>IFERROR(__xludf.DUMMYFUNCTION("""COMPUTED_VALUE"""),0.0)</f>
        <v>0</v>
      </c>
      <c r="G16" s="5">
        <f>IFERROR(__xludf.DUMMYFUNCTION("""COMPUTED_VALUE"""),0.0)</f>
        <v>0</v>
      </c>
      <c r="H16" s="5">
        <f>IFERROR(__xludf.DUMMYFUNCTION("""COMPUTED_VALUE"""),0.0)</f>
        <v>0</v>
      </c>
      <c r="I16" s="5">
        <f>IFERROR(__xludf.DUMMYFUNCTION("""COMPUTED_VALUE"""),0.0)</f>
        <v>0</v>
      </c>
      <c r="J16" s="5">
        <f>IFERROR(__xludf.DUMMYFUNCTION("""COMPUTED_VALUE"""),0.0)</f>
        <v>0</v>
      </c>
      <c r="K16" s="5">
        <f>IFERROR(__xludf.DUMMYFUNCTION("""COMPUTED_VALUE"""),0.0)</f>
        <v>0</v>
      </c>
      <c r="L16" s="5">
        <f>IFERROR(__xludf.DUMMYFUNCTION("""COMPUTED_VALUE"""),0.0)</f>
        <v>0</v>
      </c>
      <c r="M16" s="5">
        <f>IFERROR(__xludf.DUMMYFUNCTION("""COMPUTED_VALUE"""),0.0)</f>
        <v>0</v>
      </c>
      <c r="N16" s="6">
        <f>IFERROR(__xludf.DUMMYFUNCTION("""COMPUTED_VALUE"""),9.0)</f>
        <v>9</v>
      </c>
    </row>
    <row r="17">
      <c r="A17" s="3">
        <f>IFERROR(__xludf.DUMMYFUNCTION("""COMPUTED_VALUE"""),46069.0)</f>
        <v>46069</v>
      </c>
      <c r="B17" s="4" t="str">
        <f>IFERROR(__xludf.DUMMYFUNCTION("""COMPUTED_VALUE"""),"  ")</f>
        <v/>
      </c>
      <c r="C17" s="4">
        <f>IFERROR(__xludf.DUMMYFUNCTION("""COMPUTED_VALUE"""),0.0)</f>
        <v>0</v>
      </c>
      <c r="D17" s="4">
        <f>IFERROR(__xludf.DUMMYFUNCTION("""COMPUTED_VALUE"""),0.0)</f>
        <v>0</v>
      </c>
      <c r="E17" s="5">
        <f>IFERROR(__xludf.DUMMYFUNCTION("""COMPUTED_VALUE"""),0.0)</f>
        <v>0</v>
      </c>
      <c r="F17" s="5">
        <f>IFERROR(__xludf.DUMMYFUNCTION("""COMPUTED_VALUE"""),0.0)</f>
        <v>0</v>
      </c>
      <c r="G17" s="5">
        <f>IFERROR(__xludf.DUMMYFUNCTION("""COMPUTED_VALUE"""),0.0)</f>
        <v>0</v>
      </c>
      <c r="H17" s="5">
        <f>IFERROR(__xludf.DUMMYFUNCTION("""COMPUTED_VALUE"""),0.0)</f>
        <v>0</v>
      </c>
      <c r="I17" s="5">
        <f>IFERROR(__xludf.DUMMYFUNCTION("""COMPUTED_VALUE"""),0.0)</f>
        <v>0</v>
      </c>
      <c r="J17" s="5">
        <f>IFERROR(__xludf.DUMMYFUNCTION("""COMPUTED_VALUE"""),0.0)</f>
        <v>0</v>
      </c>
      <c r="K17" s="5">
        <f>IFERROR(__xludf.DUMMYFUNCTION("""COMPUTED_VALUE"""),0.0)</f>
        <v>0</v>
      </c>
      <c r="L17" s="5">
        <f>IFERROR(__xludf.DUMMYFUNCTION("""COMPUTED_VALUE"""),0.0)</f>
        <v>0</v>
      </c>
      <c r="M17" s="5">
        <f>IFERROR(__xludf.DUMMYFUNCTION("""COMPUTED_VALUE"""),0.0)</f>
        <v>0</v>
      </c>
      <c r="N17" s="6">
        <f>IFERROR(__xludf.DUMMYFUNCTION("""COMPUTED_VALUE"""),9.0)</f>
        <v>9</v>
      </c>
    </row>
    <row r="18">
      <c r="A18" s="3">
        <f>IFERROR(__xludf.DUMMYFUNCTION("""COMPUTED_VALUE"""),46070.0)</f>
        <v>46070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>
        <f>IFERROR(__xludf.DUMMYFUNCTION("""COMPUTED_VALUE"""),0.0)</f>
        <v>0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6">
        <f>IFERROR(__xludf.DUMMYFUNCTION("""COMPUTED_VALUE"""),9.0)</f>
        <v>9</v>
      </c>
    </row>
    <row r="19">
      <c r="A19" s="3">
        <f>IFERROR(__xludf.DUMMYFUNCTION("""COMPUTED_VALUE"""),46071.0)</f>
        <v>46071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>
        <f>IFERROR(__xludf.DUMMYFUNCTION("""COMPUTED_VALUE"""),0.0)</f>
        <v>0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6">
        <f>IFERROR(__xludf.DUMMYFUNCTION("""COMPUTED_VALUE"""),9.0)</f>
        <v>9</v>
      </c>
    </row>
    <row r="20">
      <c r="A20" s="3">
        <f>IFERROR(__xludf.DUMMYFUNCTION("""COMPUTED_VALUE"""),46072.0)</f>
        <v>46072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>
        <f>IFERROR(__xludf.DUMMYFUNCTION("""COMPUTED_VALUE"""),0.0)</f>
        <v>0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6">
        <f>IFERROR(__xludf.DUMMYFUNCTION("""COMPUTED_VALUE"""),9.0)</f>
        <v>9</v>
      </c>
    </row>
    <row r="21">
      <c r="A21" s="3">
        <f>IFERROR(__xludf.DUMMYFUNCTION("""COMPUTED_VALUE"""),46073.0)</f>
        <v>46073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>
        <f>IFERROR(__xludf.DUMMYFUNCTION("""COMPUTED_VALUE"""),0.0)</f>
        <v>0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6">
        <f>IFERROR(__xludf.DUMMYFUNCTION("""COMPUTED_VALUE"""),9.0)</f>
        <v>9</v>
      </c>
    </row>
    <row r="22">
      <c r="A22" s="3">
        <f>IFERROR(__xludf.DUMMYFUNCTION("""COMPUTED_VALUE"""),46074.0)</f>
        <v>46074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>
        <f>IFERROR(__xludf.DUMMYFUNCTION("""COMPUTED_VALUE"""),0.0)</f>
        <v>0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6">
        <f>IFERROR(__xludf.DUMMYFUNCTION("""COMPUTED_VALUE"""),9.0)</f>
        <v>9</v>
      </c>
    </row>
    <row r="23">
      <c r="A23" s="3">
        <f>IFERROR(__xludf.DUMMYFUNCTION("""COMPUTED_VALUE"""),46075.0)</f>
        <v>46075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>
        <f>IFERROR(__xludf.DUMMYFUNCTION("""COMPUTED_VALUE"""),0.0)</f>
        <v>0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6">
        <f>IFERROR(__xludf.DUMMYFUNCTION("""COMPUTED_VALUE"""),9.0)</f>
        <v>9</v>
      </c>
    </row>
    <row r="24">
      <c r="A24" s="3">
        <f>IFERROR(__xludf.DUMMYFUNCTION("""COMPUTED_VALUE"""),46076.0)</f>
        <v>46076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6">
        <f>IFERROR(__xludf.DUMMYFUNCTION("""COMPUTED_VALUE"""),9.0)</f>
        <v>9</v>
      </c>
    </row>
    <row r="25">
      <c r="A25" s="3">
        <f>IFERROR(__xludf.DUMMYFUNCTION("""COMPUTED_VALUE"""),46077.0)</f>
        <v>46077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6">
        <f>IFERROR(__xludf.DUMMYFUNCTION("""COMPUTED_VALUE"""),9.0)</f>
        <v>9</v>
      </c>
    </row>
    <row r="26">
      <c r="A26" s="3">
        <f>IFERROR(__xludf.DUMMYFUNCTION("""COMPUTED_VALUE"""),46078.0)</f>
        <v>46078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6">
        <f>IFERROR(__xludf.DUMMYFUNCTION("""COMPUTED_VALUE"""),9.0)</f>
        <v>9</v>
      </c>
    </row>
    <row r="27">
      <c r="A27" s="3">
        <f>IFERROR(__xludf.DUMMYFUNCTION("""COMPUTED_VALUE"""),46079.0)</f>
        <v>46079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6">
        <f>IFERROR(__xludf.DUMMYFUNCTION("""COMPUTED_VALUE"""),9.0)</f>
        <v>9</v>
      </c>
    </row>
    <row r="28">
      <c r="A28" s="3">
        <f>IFERROR(__xludf.DUMMYFUNCTION("""COMPUTED_VALUE"""),46080.0)</f>
        <v>46080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6">
        <f>IFERROR(__xludf.DUMMYFUNCTION("""COMPUTED_VALUE"""),9.0)</f>
        <v>9</v>
      </c>
    </row>
    <row r="29">
      <c r="A29" s="3">
        <f>IFERROR(__xludf.DUMMYFUNCTION("""COMPUTED_VALUE"""),46081.0)</f>
        <v>46081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6">
        <f>IFERROR(__xludf.DUMMYFUNCTION("""COMPUTED_VALUE"""),9.0)</f>
        <v>9</v>
      </c>
    </row>
    <row r="30">
      <c r="A30" s="6"/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6">
        <f>IFERROR(__xludf.DUMMYFUNCTION("""COMPUTED_VALUE"""),9.0)</f>
        <v>9</v>
      </c>
    </row>
    <row r="31">
      <c r="A31" s="6"/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6">
        <f>IFERROR(__xludf.DUMMYFUNCTION("""COMPUTED_VALUE"""),9.0)</f>
        <v>9</v>
      </c>
    </row>
    <row r="32">
      <c r="A32" s="6"/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6">
        <f>IFERROR(__xludf.DUMMYFUNCTION("""COMPUTED_VALUE"""),9.0)</f>
        <v>9</v>
      </c>
    </row>
  </sheetData>
  <drawing r:id="rId1"/>
</worksheet>
</file>