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>
        <f>IFERROR(__xludf.DUMMYFUNCTION("""COMPUTED_VALUE"""),309.55)</f>
        <v>309.55</v>
      </c>
      <c r="C21" s="4">
        <f>IFERROR(__xludf.DUMMYFUNCTION("""COMPUTED_VALUE"""),22.512727272727272)</f>
        <v>22.51272727</v>
      </c>
      <c r="D21" s="4">
        <f>IFERROR(__xludf.DUMMYFUNCTION("""COMPUTED_VALUE"""),22.512727272727272)</f>
        <v>22.51272727</v>
      </c>
      <c r="E21" s="5">
        <f>IFERROR(__xludf.DUMMYFUNCTION("""COMPUTED_VALUE"""),22.512727272727272)</f>
        <v>22.51272727</v>
      </c>
      <c r="F21" s="5">
        <f>IFERROR(__xludf.DUMMYFUNCTION("""COMPUTED_VALUE"""),22.512727272727272)</f>
        <v>22.51272727</v>
      </c>
      <c r="G21" s="5">
        <f>IFERROR(__xludf.DUMMYFUNCTION("""COMPUTED_VALUE"""),22.512727272727272)</f>
        <v>22.51272727</v>
      </c>
      <c r="H21" s="5">
        <f>IFERROR(__xludf.DUMMYFUNCTION("""COMPUTED_VALUE"""),22.512727272727272)</f>
        <v>22.51272727</v>
      </c>
      <c r="I21" s="5">
        <f>IFERROR(__xludf.DUMMYFUNCTION("""COMPUTED_VALUE"""),22.512727272727272)</f>
        <v>22.51272727</v>
      </c>
      <c r="J21" s="5">
        <f>IFERROR(__xludf.DUMMYFUNCTION("""COMPUTED_VALUE"""),22.512727272727272)</f>
        <v>22.51272727</v>
      </c>
      <c r="K21" s="5">
        <f>IFERROR(__xludf.DUMMYFUNCTION("""COMPUTED_VALUE"""),22.512727272727272)</f>
        <v>22.51272727</v>
      </c>
      <c r="L21" s="5">
        <f>IFERROR(__xludf.DUMMYFUNCTION("""COMPUTED_VALUE"""),22.512727272727272)</f>
        <v>22.51272727</v>
      </c>
      <c r="M21" s="5">
        <f>IFERROR(__xludf.DUMMYFUNCTION("""COMPUTED_VALUE"""),22.512727272727272)</f>
        <v>22.51272727</v>
      </c>
      <c r="N21" s="5">
        <f>IFERROR(__xludf.DUMMYFUNCTION("""COMPUTED_VALUE"""),22.512727272727272)</f>
        <v>22.51272727</v>
      </c>
      <c r="O21" s="5">
        <f>IFERROR(__xludf.DUMMYFUNCTION("""COMPUTED_VALUE"""),22.512727272727272)</f>
        <v>22.51272727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>
        <f>IFERROR(__xludf.DUMMYFUNCTION("""COMPUTED_VALUE"""),272.5)</f>
        <v>272.5</v>
      </c>
      <c r="C22" s="4">
        <f>IFERROR(__xludf.DUMMYFUNCTION("""COMPUTED_VALUE"""),19.81818181818182)</f>
        <v>19.81818182</v>
      </c>
      <c r="D22" s="4">
        <f>IFERROR(__xludf.DUMMYFUNCTION("""COMPUTED_VALUE"""),19.81818181818182)</f>
        <v>19.81818182</v>
      </c>
      <c r="E22" s="5">
        <f>IFERROR(__xludf.DUMMYFUNCTION("""COMPUTED_VALUE"""),19.81818181818182)</f>
        <v>19.81818182</v>
      </c>
      <c r="F22" s="5">
        <f>IFERROR(__xludf.DUMMYFUNCTION("""COMPUTED_VALUE"""),19.81818181818182)</f>
        <v>19.81818182</v>
      </c>
      <c r="G22" s="5">
        <f>IFERROR(__xludf.DUMMYFUNCTION("""COMPUTED_VALUE"""),19.81818181818182)</f>
        <v>19.81818182</v>
      </c>
      <c r="H22" s="5">
        <f>IFERROR(__xludf.DUMMYFUNCTION("""COMPUTED_VALUE"""),19.81818181818182)</f>
        <v>19.81818182</v>
      </c>
      <c r="I22" s="5">
        <f>IFERROR(__xludf.DUMMYFUNCTION("""COMPUTED_VALUE"""),19.81818181818182)</f>
        <v>19.81818182</v>
      </c>
      <c r="J22" s="5">
        <f>IFERROR(__xludf.DUMMYFUNCTION("""COMPUTED_VALUE"""),19.81818181818182)</f>
        <v>19.81818182</v>
      </c>
      <c r="K22" s="5">
        <f>IFERROR(__xludf.DUMMYFUNCTION("""COMPUTED_VALUE"""),19.81818181818182)</f>
        <v>19.81818182</v>
      </c>
      <c r="L22" s="5">
        <f>IFERROR(__xludf.DUMMYFUNCTION("""COMPUTED_VALUE"""),19.81818181818182)</f>
        <v>19.81818182</v>
      </c>
      <c r="M22" s="5">
        <f>IFERROR(__xludf.DUMMYFUNCTION("""COMPUTED_VALUE"""),19.81818181818182)</f>
        <v>19.81818182</v>
      </c>
      <c r="N22" s="5">
        <f>IFERROR(__xludf.DUMMYFUNCTION("""COMPUTED_VALUE"""),19.81818181818182)</f>
        <v>19.81818182</v>
      </c>
      <c r="O22" s="5">
        <f>IFERROR(__xludf.DUMMYFUNCTION("""COMPUTED_VALUE"""),19.81818181818182)</f>
        <v>19.81818182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>
        <f>IFERROR(__xludf.DUMMYFUNCTION("""COMPUTED_VALUE"""),211.45)</f>
        <v>211.45</v>
      </c>
      <c r="C23" s="4">
        <f>IFERROR(__xludf.DUMMYFUNCTION("""COMPUTED_VALUE"""),16.916)</f>
        <v>16.916</v>
      </c>
      <c r="D23" s="4">
        <f>IFERROR(__xludf.DUMMYFUNCTION("""COMPUTED_VALUE"""),16.916)</f>
        <v>16.916</v>
      </c>
      <c r="E23" s="5">
        <f>IFERROR(__xludf.DUMMYFUNCTION("""COMPUTED_VALUE"""),16.916)</f>
        <v>16.916</v>
      </c>
      <c r="F23" s="5">
        <f>IFERROR(__xludf.DUMMYFUNCTION("""COMPUTED_VALUE"""),16.916)</f>
        <v>16.916</v>
      </c>
      <c r="G23" s="5">
        <f>IFERROR(__xludf.DUMMYFUNCTION("""COMPUTED_VALUE"""),16.916)</f>
        <v>16.916</v>
      </c>
      <c r="H23" s="5">
        <f>IFERROR(__xludf.DUMMYFUNCTION("""COMPUTED_VALUE"""),16.916)</f>
        <v>16.916</v>
      </c>
      <c r="I23" s="5">
        <f>IFERROR(__xludf.DUMMYFUNCTION("""COMPUTED_VALUE"""),16.916)</f>
        <v>16.916</v>
      </c>
      <c r="J23" s="5">
        <f>IFERROR(__xludf.DUMMYFUNCTION("""COMPUTED_VALUE"""),16.916)</f>
        <v>16.916</v>
      </c>
      <c r="K23" s="5">
        <f>IFERROR(__xludf.DUMMYFUNCTION("""COMPUTED_VALUE"""),16.916)</f>
        <v>16.916</v>
      </c>
      <c r="L23" s="5">
        <f>IFERROR(__xludf.DUMMYFUNCTION("""COMPUTED_VALUE"""),16.916)</f>
        <v>16.916</v>
      </c>
      <c r="M23" s="5">
        <f>IFERROR(__xludf.DUMMYFUNCTION("""COMPUTED_VALUE"""),16.916)</f>
        <v>16.916</v>
      </c>
      <c r="N23" s="5" t="str">
        <f>IFERROR(__xludf.DUMMYFUNCTION("""COMPUTED_VALUE"""),"x")</f>
        <v>x</v>
      </c>
      <c r="O23" s="5">
        <f>IFERROR(__xludf.DUMMYFUNCTION("""COMPUTED_VALUE"""),16.916)</f>
        <v>16.916</v>
      </c>
      <c r="P23" s="1">
        <f>IFERROR(__xludf.DUMMYFUNCTION("""COMPUTED_VALUE"""),10.0)</f>
        <v>10</v>
      </c>
    </row>
    <row r="24">
      <c r="A24" s="3">
        <f>IFERROR(__xludf.DUMMYFUNCTION("""COMPUTED_VALUE"""),46014.0)</f>
        <v>46014</v>
      </c>
      <c r="B24" s="4">
        <f>IFERROR(__xludf.DUMMYFUNCTION("""COMPUTED_VALUE"""),110.95)</f>
        <v>110.95</v>
      </c>
      <c r="C24" s="4">
        <f>IFERROR(__xludf.DUMMYFUNCTION("""COMPUTED_VALUE"""),11.095)</f>
        <v>11.095</v>
      </c>
      <c r="D24" s="4">
        <f>IFERROR(__xludf.DUMMYFUNCTION("""COMPUTED_VALUE"""),11.095)</f>
        <v>11.095</v>
      </c>
      <c r="E24" s="5">
        <f>IFERROR(__xludf.DUMMYFUNCTION("""COMPUTED_VALUE"""),11.095)</f>
        <v>11.095</v>
      </c>
      <c r="F24" s="5">
        <f>IFERROR(__xludf.DUMMYFUNCTION("""COMPUTED_VALUE"""),11.095)</f>
        <v>11.095</v>
      </c>
      <c r="G24" s="5" t="str">
        <f>IFERROR(__xludf.DUMMYFUNCTION("""COMPUTED_VALUE"""),"x")</f>
        <v>x</v>
      </c>
      <c r="H24" s="5">
        <f>IFERROR(__xludf.DUMMYFUNCTION("""COMPUTED_VALUE"""),11.095)</f>
        <v>11.095</v>
      </c>
      <c r="I24" s="5">
        <f>IFERROR(__xludf.DUMMYFUNCTION("""COMPUTED_VALUE"""),11.095)</f>
        <v>11.095</v>
      </c>
      <c r="J24" s="5">
        <f>IFERROR(__xludf.DUMMYFUNCTION("""COMPUTED_VALUE"""),11.095)</f>
        <v>11.095</v>
      </c>
      <c r="K24" s="5">
        <f>IFERROR(__xludf.DUMMYFUNCTION("""COMPUTED_VALUE"""),11.095)</f>
        <v>11.095</v>
      </c>
      <c r="L24" s="5">
        <f>IFERROR(__xludf.DUMMYFUNCTION("""COMPUTED_VALUE"""),11.095)</f>
        <v>11.095</v>
      </c>
      <c r="M24" s="5">
        <f>IFERROR(__xludf.DUMMYFUNCTION("""COMPUTED_VALUE"""),11.095)</f>
        <v>11.095</v>
      </c>
      <c r="N24" s="5" t="str">
        <f>IFERROR(__xludf.DUMMYFUNCTION("""COMPUTED_VALUE"""),"x")</f>
        <v>x</v>
      </c>
      <c r="O24" s="5" t="str">
        <f>IFERROR(__xludf.DUMMYFUNCTION("""COMPUTED_VALUE"""),"x")</f>
        <v>x</v>
      </c>
      <c r="P24" s="1">
        <f>IFERROR(__xludf.DUMMYFUNCTION("""COMPUTED_VALUE"""),8.0)</f>
        <v>8</v>
      </c>
    </row>
    <row r="25">
      <c r="A25" s="3">
        <f>IFERROR(__xludf.DUMMYFUNCTION("""COMPUTED_VALUE"""),46015.0)</f>
        <v>46015</v>
      </c>
      <c r="B25" s="4">
        <f>IFERROR(__xludf.DUMMYFUNCTION("""COMPUTED_VALUE"""),0.0)</f>
        <v>0</v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 t="str">
        <f>IFERROR(__xludf.DUMMYFUNCTION("""COMPUTED_VALUE"""),"x")</f>
        <v>x</v>
      </c>
      <c r="P25" s="1">
        <f>IFERROR(__xludf.DUMMYFUNCTION("""COMPUTED_VALUE"""),10.0)</f>
        <v>10</v>
      </c>
    </row>
    <row r="26">
      <c r="A26" s="3">
        <f>IFERROR(__xludf.DUMMYFUNCTION("""COMPUTED_VALUE"""),46016.0)</f>
        <v>46016</v>
      </c>
      <c r="B26" s="4">
        <f>IFERROR(__xludf.DUMMYFUNCTION("""COMPUTED_VALUE"""),88.0)</f>
        <v>88</v>
      </c>
      <c r="C26" s="4">
        <f>IFERROR(__xludf.DUMMYFUNCTION("""COMPUTED_VALUE"""),7.040000000000001)</f>
        <v>7.04</v>
      </c>
      <c r="D26" s="4">
        <f>IFERROR(__xludf.DUMMYFUNCTION("""COMPUTED_VALUE"""),7.040000000000001)</f>
        <v>7.04</v>
      </c>
      <c r="E26" s="5">
        <f>IFERROR(__xludf.DUMMYFUNCTION("""COMPUTED_VALUE"""),7.040000000000001)</f>
        <v>7.04</v>
      </c>
      <c r="F26" s="5">
        <f>IFERROR(__xludf.DUMMYFUNCTION("""COMPUTED_VALUE"""),7.040000000000001)</f>
        <v>7.04</v>
      </c>
      <c r="G26" s="5">
        <f>IFERROR(__xludf.DUMMYFUNCTION("""COMPUTED_VALUE"""),7.040000000000001)</f>
        <v>7.04</v>
      </c>
      <c r="H26" s="5">
        <f>IFERROR(__xludf.DUMMYFUNCTION("""COMPUTED_VALUE"""),7.040000000000001)</f>
        <v>7.04</v>
      </c>
      <c r="I26" s="5">
        <f>IFERROR(__xludf.DUMMYFUNCTION("""COMPUTED_VALUE"""),7.040000000000001)</f>
        <v>7.04</v>
      </c>
      <c r="J26" s="5">
        <f>IFERROR(__xludf.DUMMYFUNCTION("""COMPUTED_VALUE"""),7.040000000000001)</f>
        <v>7.04</v>
      </c>
      <c r="K26" s="5">
        <f>IFERROR(__xludf.DUMMYFUNCTION("""COMPUTED_VALUE"""),7.040000000000001)</f>
        <v>7.04</v>
      </c>
      <c r="L26" s="5">
        <f>IFERROR(__xludf.DUMMYFUNCTION("""COMPUTED_VALUE"""),7.040000000000001)</f>
        <v>7.04</v>
      </c>
      <c r="M26" s="5">
        <f>IFERROR(__xludf.DUMMYFUNCTION("""COMPUTED_VALUE"""),7.040000000000001)</f>
        <v>7.04</v>
      </c>
      <c r="N26" s="5">
        <f>IFERROR(__xludf.DUMMYFUNCTION("""COMPUTED_VALUE"""),7.040000000000001)</f>
        <v>7.04</v>
      </c>
      <c r="O26" s="5" t="str">
        <f>IFERROR(__xludf.DUMMYFUNCTION("""COMPUTED_VALUE"""),"x")</f>
        <v>x</v>
      </c>
      <c r="P26" s="1">
        <f>IFERROR(__xludf.DUMMYFUNCTION("""COMPUTED_VALUE"""),10.0)</f>
        <v>10</v>
      </c>
    </row>
    <row r="27">
      <c r="A27" s="3">
        <f>IFERROR(__xludf.DUMMYFUNCTION("""COMPUTED_VALUE"""),46017.0)</f>
        <v>46017</v>
      </c>
      <c r="B27" s="4">
        <f>IFERROR(__xludf.DUMMYFUNCTION("""COMPUTED_VALUE"""),192.75)</f>
        <v>192.75</v>
      </c>
      <c r="C27" s="4">
        <f>IFERROR(__xludf.DUMMYFUNCTION("""COMPUTED_VALUE"""),15.419999999999998)</f>
        <v>15.42</v>
      </c>
      <c r="D27" s="4">
        <f>IFERROR(__xludf.DUMMYFUNCTION("""COMPUTED_VALUE"""),15.419999999999998)</f>
        <v>15.42</v>
      </c>
      <c r="E27" s="5">
        <f>IFERROR(__xludf.DUMMYFUNCTION("""COMPUTED_VALUE"""),15.419999999999998)</f>
        <v>15.42</v>
      </c>
      <c r="F27" s="5">
        <f>IFERROR(__xludf.DUMMYFUNCTION("""COMPUTED_VALUE"""),15.419999999999998)</f>
        <v>15.42</v>
      </c>
      <c r="G27" s="5">
        <f>IFERROR(__xludf.DUMMYFUNCTION("""COMPUTED_VALUE"""),15.419999999999998)</f>
        <v>15.42</v>
      </c>
      <c r="H27" s="5">
        <f>IFERROR(__xludf.DUMMYFUNCTION("""COMPUTED_VALUE"""),15.419999999999998)</f>
        <v>15.42</v>
      </c>
      <c r="I27" s="5">
        <f>IFERROR(__xludf.DUMMYFUNCTION("""COMPUTED_VALUE"""),15.419999999999998)</f>
        <v>15.42</v>
      </c>
      <c r="J27" s="5">
        <f>IFERROR(__xludf.DUMMYFUNCTION("""COMPUTED_VALUE"""),15.419999999999998)</f>
        <v>15.42</v>
      </c>
      <c r="K27" s="5">
        <f>IFERROR(__xludf.DUMMYFUNCTION("""COMPUTED_VALUE"""),15.419999999999998)</f>
        <v>15.42</v>
      </c>
      <c r="L27" s="5">
        <f>IFERROR(__xludf.DUMMYFUNCTION("""COMPUTED_VALUE"""),15.419999999999998)</f>
        <v>15.42</v>
      </c>
      <c r="M27" s="5">
        <f>IFERROR(__xludf.DUMMYFUNCTION("""COMPUTED_VALUE"""),15.419999999999998)</f>
        <v>15.42</v>
      </c>
      <c r="N27" s="5">
        <f>IFERROR(__xludf.DUMMYFUNCTION("""COMPUTED_VALUE"""),15.419999999999998)</f>
        <v>15.42</v>
      </c>
      <c r="O27" s="5" t="str">
        <f>IFERROR(__xludf.DUMMYFUNCTION("""COMPUTED_VALUE"""),"x")</f>
        <v>x</v>
      </c>
      <c r="P27" s="1">
        <f>IFERROR(__xludf.DUMMYFUNCTION("""COMPUTED_VALUE"""),10.0)</f>
        <v>10</v>
      </c>
    </row>
    <row r="28">
      <c r="A28" s="3">
        <f>IFERROR(__xludf.DUMMYFUNCTION("""COMPUTED_VALUE"""),46018.0)</f>
        <v>46018</v>
      </c>
      <c r="B28" s="4">
        <f>IFERROR(__xludf.DUMMYFUNCTION("""COMPUTED_VALUE"""),262.2)</f>
        <v>262.2</v>
      </c>
      <c r="C28" s="4">
        <f>IFERROR(__xludf.DUMMYFUNCTION("""COMPUTED_VALUE"""),20.976)</f>
        <v>20.976</v>
      </c>
      <c r="D28" s="4">
        <f>IFERROR(__xludf.DUMMYFUNCTION("""COMPUTED_VALUE"""),20.976)</f>
        <v>20.976</v>
      </c>
      <c r="E28" s="5">
        <f>IFERROR(__xludf.DUMMYFUNCTION("""COMPUTED_VALUE"""),20.976)</f>
        <v>20.976</v>
      </c>
      <c r="F28" s="5">
        <f>IFERROR(__xludf.DUMMYFUNCTION("""COMPUTED_VALUE"""),20.976)</f>
        <v>20.976</v>
      </c>
      <c r="G28" s="5">
        <f>IFERROR(__xludf.DUMMYFUNCTION("""COMPUTED_VALUE"""),20.976)</f>
        <v>20.976</v>
      </c>
      <c r="H28" s="5">
        <f>IFERROR(__xludf.DUMMYFUNCTION("""COMPUTED_VALUE"""),20.976)</f>
        <v>20.976</v>
      </c>
      <c r="I28" s="5">
        <f>IFERROR(__xludf.DUMMYFUNCTION("""COMPUTED_VALUE"""),20.976)</f>
        <v>20.976</v>
      </c>
      <c r="J28" s="5">
        <f>IFERROR(__xludf.DUMMYFUNCTION("""COMPUTED_VALUE"""),20.976)</f>
        <v>20.976</v>
      </c>
      <c r="K28" s="5">
        <f>IFERROR(__xludf.DUMMYFUNCTION("""COMPUTED_VALUE"""),20.976)</f>
        <v>20.976</v>
      </c>
      <c r="L28" s="5">
        <f>IFERROR(__xludf.DUMMYFUNCTION("""COMPUTED_VALUE"""),20.976)</f>
        <v>20.976</v>
      </c>
      <c r="M28" s="5">
        <f>IFERROR(__xludf.DUMMYFUNCTION("""COMPUTED_VALUE"""),20.976)</f>
        <v>20.976</v>
      </c>
      <c r="N28" s="5">
        <f>IFERROR(__xludf.DUMMYFUNCTION("""COMPUTED_VALUE"""),20.976)</f>
        <v>20.976</v>
      </c>
      <c r="O28" s="5" t="str">
        <f>IFERROR(__xludf.DUMMYFUNCTION("""COMPUTED_VALUE"""),"x")</f>
        <v>x</v>
      </c>
      <c r="P28" s="1">
        <f>IFERROR(__xludf.DUMMYFUNCTION("""COMPUTED_VALUE"""),10.0)</f>
        <v>10</v>
      </c>
    </row>
    <row r="29">
      <c r="A29" s="3">
        <f>IFERROR(__xludf.DUMMYFUNCTION("""COMPUTED_VALUE"""),46019.0)</f>
        <v>46019</v>
      </c>
      <c r="B29" s="4">
        <f>IFERROR(__xludf.DUMMYFUNCTION("""COMPUTED_VALUE"""),348.15)</f>
        <v>348.15</v>
      </c>
      <c r="C29" s="4">
        <f>IFERROR(__xludf.DUMMYFUNCTION("""COMPUTED_VALUE"""),27.851999999999997)</f>
        <v>27.852</v>
      </c>
      <c r="D29" s="4">
        <f>IFERROR(__xludf.DUMMYFUNCTION("""COMPUTED_VALUE"""),27.851999999999997)</f>
        <v>27.852</v>
      </c>
      <c r="E29" s="5">
        <f>IFERROR(__xludf.DUMMYFUNCTION("""COMPUTED_VALUE"""),27.851999999999997)</f>
        <v>27.852</v>
      </c>
      <c r="F29" s="5">
        <f>IFERROR(__xludf.DUMMYFUNCTION("""COMPUTED_VALUE"""),27.851999999999997)</f>
        <v>27.852</v>
      </c>
      <c r="G29" s="5">
        <f>IFERROR(__xludf.DUMMYFUNCTION("""COMPUTED_VALUE"""),27.851999999999997)</f>
        <v>27.852</v>
      </c>
      <c r="H29" s="5">
        <f>IFERROR(__xludf.DUMMYFUNCTION("""COMPUTED_VALUE"""),27.851999999999997)</f>
        <v>27.852</v>
      </c>
      <c r="I29" s="5">
        <f>IFERROR(__xludf.DUMMYFUNCTION("""COMPUTED_VALUE"""),27.851999999999997)</f>
        <v>27.852</v>
      </c>
      <c r="J29" s="5">
        <f>IFERROR(__xludf.DUMMYFUNCTION("""COMPUTED_VALUE"""),27.851999999999997)</f>
        <v>27.852</v>
      </c>
      <c r="K29" s="5">
        <f>IFERROR(__xludf.DUMMYFUNCTION("""COMPUTED_VALUE"""),27.851999999999997)</f>
        <v>27.852</v>
      </c>
      <c r="L29" s="5">
        <f>IFERROR(__xludf.DUMMYFUNCTION("""COMPUTED_VALUE"""),27.851999999999997)</f>
        <v>27.852</v>
      </c>
      <c r="M29" s="5">
        <f>IFERROR(__xludf.DUMMYFUNCTION("""COMPUTED_VALUE"""),27.851999999999997)</f>
        <v>27.852</v>
      </c>
      <c r="N29" s="5">
        <f>IFERROR(__xludf.DUMMYFUNCTION("""COMPUTED_VALUE"""),27.851999999999997)</f>
        <v>27.852</v>
      </c>
      <c r="O29" s="5" t="str">
        <f>IFERROR(__xludf.DUMMYFUNCTION("""COMPUTED_VALUE"""),"x")</f>
        <v>x</v>
      </c>
      <c r="P29" s="1">
        <f>IFERROR(__xludf.DUMMYFUNCTION("""COMPUTED_VALUE"""),10.0)</f>
        <v>10</v>
      </c>
    </row>
    <row r="30">
      <c r="A30" s="3">
        <f>IFERROR(__xludf.DUMMYFUNCTION("""COMPUTED_VALUE"""),46020.0)</f>
        <v>46020</v>
      </c>
      <c r="B30" s="4">
        <f>IFERROR(__xludf.DUMMYFUNCTION("""COMPUTED_VALUE"""),288.2)</f>
        <v>288.2</v>
      </c>
      <c r="C30" s="4">
        <f>IFERROR(__xludf.DUMMYFUNCTION("""COMPUTED_VALUE"""),28.82)</f>
        <v>28.82</v>
      </c>
      <c r="D30" s="4">
        <f>IFERROR(__xludf.DUMMYFUNCTION("""COMPUTED_VALUE"""),28.82)</f>
        <v>28.82</v>
      </c>
      <c r="E30" s="5">
        <f>IFERROR(__xludf.DUMMYFUNCTION("""COMPUTED_VALUE"""),28.82)</f>
        <v>28.82</v>
      </c>
      <c r="F30" s="5" t="str">
        <f>IFERROR(__xludf.DUMMYFUNCTION("""COMPUTED_VALUE"""),"x")</f>
        <v>x</v>
      </c>
      <c r="G30" s="5">
        <f>IFERROR(__xludf.DUMMYFUNCTION("""COMPUTED_VALUE"""),28.82)</f>
        <v>28.82</v>
      </c>
      <c r="H30" s="5" t="str">
        <f>IFERROR(__xludf.DUMMYFUNCTION("""COMPUTED_VALUE"""),"x")</f>
        <v>x</v>
      </c>
      <c r="I30" s="5">
        <f>IFERROR(__xludf.DUMMYFUNCTION("""COMPUTED_VALUE"""),28.82)</f>
        <v>28.82</v>
      </c>
      <c r="J30" s="5">
        <f>IFERROR(__xludf.DUMMYFUNCTION("""COMPUTED_VALUE"""),28.82)</f>
        <v>28.82</v>
      </c>
      <c r="K30" s="5">
        <f>IFERROR(__xludf.DUMMYFUNCTION("""COMPUTED_VALUE"""),28.82)</f>
        <v>28.82</v>
      </c>
      <c r="L30" s="5">
        <f>IFERROR(__xludf.DUMMYFUNCTION("""COMPUTED_VALUE"""),28.82)</f>
        <v>28.82</v>
      </c>
      <c r="M30" s="5">
        <f>IFERROR(__xludf.DUMMYFUNCTION("""COMPUTED_VALUE"""),28.82)</f>
        <v>28.82</v>
      </c>
      <c r="N30" s="5">
        <f>IFERROR(__xludf.DUMMYFUNCTION("""COMPUTED_VALUE"""),28.82)</f>
        <v>28.82</v>
      </c>
      <c r="O30" s="5" t="str">
        <f>IFERROR(__xludf.DUMMYFUNCTION("""COMPUTED_VALUE"""),"x")</f>
        <v>x</v>
      </c>
      <c r="P30" s="1">
        <f>IFERROR(__xludf.DUMMYFUNCTION("""COMPUTED_VALUE"""),8.0)</f>
        <v>8</v>
      </c>
    </row>
    <row r="31">
      <c r="A31" s="3">
        <f>IFERROR(__xludf.DUMMYFUNCTION("""COMPUTED_VALUE"""),46021.0)</f>
        <v>46021</v>
      </c>
      <c r="B31" s="4">
        <f>IFERROR(__xludf.DUMMYFUNCTION("""COMPUTED_VALUE"""),218.55)</f>
        <v>218.55</v>
      </c>
      <c r="C31" s="4">
        <f>IFERROR(__xludf.DUMMYFUNCTION("""COMPUTED_VALUE"""),21.855)</f>
        <v>21.855</v>
      </c>
      <c r="D31" s="4">
        <f>IFERROR(__xludf.DUMMYFUNCTION("""COMPUTED_VALUE"""),21.855)</f>
        <v>21.855</v>
      </c>
      <c r="E31" s="5">
        <f>IFERROR(__xludf.DUMMYFUNCTION("""COMPUTED_VALUE"""),21.855)</f>
        <v>21.855</v>
      </c>
      <c r="F31" s="5" t="str">
        <f>IFERROR(__xludf.DUMMYFUNCTION("""COMPUTED_VALUE"""),"x")</f>
        <v>x</v>
      </c>
      <c r="G31" s="5">
        <f>IFERROR(__xludf.DUMMYFUNCTION("""COMPUTED_VALUE"""),21.855)</f>
        <v>21.855</v>
      </c>
      <c r="H31" s="5" t="str">
        <f>IFERROR(__xludf.DUMMYFUNCTION("""COMPUTED_VALUE"""),"x")</f>
        <v>x</v>
      </c>
      <c r="I31" s="5">
        <f>IFERROR(__xludf.DUMMYFUNCTION("""COMPUTED_VALUE"""),21.855)</f>
        <v>21.855</v>
      </c>
      <c r="J31" s="5">
        <f>IFERROR(__xludf.DUMMYFUNCTION("""COMPUTED_VALUE"""),21.855)</f>
        <v>21.855</v>
      </c>
      <c r="K31" s="5">
        <f>IFERROR(__xludf.DUMMYFUNCTION("""COMPUTED_VALUE"""),21.855)</f>
        <v>21.855</v>
      </c>
      <c r="L31" s="5">
        <f>IFERROR(__xludf.DUMMYFUNCTION("""COMPUTED_VALUE"""),21.855)</f>
        <v>21.855</v>
      </c>
      <c r="M31" s="5">
        <f>IFERROR(__xludf.DUMMYFUNCTION("""COMPUTED_VALUE"""),21.855)</f>
        <v>21.855</v>
      </c>
      <c r="N31" s="5">
        <f>IFERROR(__xludf.DUMMYFUNCTION("""COMPUTED_VALUE"""),21.855)</f>
        <v>21.855</v>
      </c>
      <c r="O31" s="5" t="str">
        <f>IFERROR(__xludf.DUMMYFUNCTION("""COMPUTED_VALUE"""),"x")</f>
        <v>x</v>
      </c>
      <c r="P31" s="1">
        <f>IFERROR(__xludf.DUMMYFUNCTION("""COMPUTED_VALUE"""),8.0)</f>
        <v>8</v>
      </c>
    </row>
    <row r="32">
      <c r="A32" s="3">
        <f>IFERROR(__xludf.DUMMYFUNCTION("""COMPUTED_VALUE"""),46022.0)</f>
        <v>46022</v>
      </c>
      <c r="B32" s="4">
        <f>IFERROR(__xludf.DUMMYFUNCTION("""COMPUTED_VALUE"""),0.0)</f>
        <v>0</v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 t="str">
        <f>IFERROR(__xludf.DUMMYFUNCTION("""COMPUTED_VALUE"""),"x")</f>
        <v>x</v>
      </c>
      <c r="P32" s="1">
        <f>IFERROR(__xludf.DUMMYFUNCTION("""COMPUTED_VALUE"""),10.0)</f>
        <v>10</v>
      </c>
    </row>
  </sheetData>
  <drawing r:id="rId1"/>
</worksheet>
</file>