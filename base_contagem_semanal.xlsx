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"/>
    <numFmt numFmtId="165" formatCode="0.000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" xfId="0" applyFont="1" applyNumberFormat="1"/>
    <xf borderId="0" fillId="0" fontId="1" numFmtId="164" xfId="0" applyFont="1" applyNumberFormat="1"/>
    <xf borderId="0" fillId="0" fontId="1" numFmtId="165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IFERROR(__xludf.DUMMYFUNCTION("IMPORTRANGE(""https://docs.google.com/spreadsheets/d/15-t0ohJM1pWQpK6y9PcraAhFg4D9ywS-v_JG9CNmywA/edit?gid=1385808625#gid=1385808625"",""Contagem!A2:T"")"),"EST")</f>
        <v>EST</v>
      </c>
      <c r="B1" s="1" t="str">
        <f>IFERROR(__xludf.DUMMYFUNCTION("""COMPUTED_VALUE"""),"L J")</f>
        <v>L J</v>
      </c>
      <c r="C1" s="1" t="str">
        <f>IFERROR(__xludf.DUMMYFUNCTION("""COMPUTED_VALUE"""),"E+L
unid")</f>
        <v>E+L
unid</v>
      </c>
      <c r="D1" s="1" t="str">
        <f>IFERROR(__xludf.DUMMYFUNCTION("""COMPUTED_VALUE"""),"Fornecedor")</f>
        <v>Fornecedor</v>
      </c>
      <c r="E1" s="1" t="str">
        <f>IFERROR(__xludf.DUMMYFUNCTION("""COMPUTED_VALUE"""),"Produto")</f>
        <v>Produto</v>
      </c>
      <c r="F1" s="1" t="str">
        <f>IFERROR(__xludf.DUMMYFUNCTION("""COMPUTED_VALUE"""),"Emb")</f>
        <v>Emb</v>
      </c>
      <c r="G1" s="1" t="str">
        <f>IFERROR(__xludf.DUMMYFUNCTION("""COMPUTED_VALUE"""),"Qtd/Emb")</f>
        <v>Qtd/Emb</v>
      </c>
      <c r="H1" s="1" t="str">
        <f>IFERROR(__xludf.DUMMYFUNCTION("""COMPUTED_VALUE"""),"Total")</f>
        <v>Total</v>
      </c>
      <c r="I1" s="1" t="str">
        <f>IFERROR(__xludf.DUMMYFUNCTION("""COMPUTED_VALUE"""),"Pedido")</f>
        <v>Pedido</v>
      </c>
      <c r="J1" s="1" t="str">
        <f>IFERROR(__xludf.DUMMYFUNCTION("""COMPUTED_VALUE"""),"Vendido (Degust)")</f>
        <v>Vendido (Degust)</v>
      </c>
      <c r="K1" s="1" t="str">
        <f>IFERROR(__xludf.DUMMYFUNCTION("""COMPUTED_VALUE"""),"Ped")</f>
        <v>Ped</v>
      </c>
      <c r="L1" s="1"/>
      <c r="M1" s="1" t="str">
        <f>IFERROR(__xludf.DUMMYFUNCTION("""COMPUTED_VALUE"""),"Relatório Degust")</f>
        <v>Relatório Degust</v>
      </c>
      <c r="N1" s="1"/>
      <c r="O1" s="1" t="str">
        <f>IFERROR(__xludf.DUMMYFUNCTION("""COMPUTED_VALUE"""),"Pedido Pendente")</f>
        <v>Pedido Pendente</v>
      </c>
      <c r="P1" s="1"/>
      <c r="Q1" s="1"/>
      <c r="R1" s="1" t="str">
        <f>IFERROR(__xludf.DUMMYFUNCTION("""COMPUTED_VALUE"""),"Variável produto")</f>
        <v>Variável produto</v>
      </c>
      <c r="S1" s="1"/>
      <c r="T1" s="1" t="str">
        <f>IFERROR(__xludf.DUMMYFUNCTION("""COMPUTED_VALUE"""),"Validação Cadastro item")</f>
        <v>Validação Cadastro item</v>
      </c>
    </row>
    <row r="2">
      <c r="A2" s="1"/>
      <c r="B2" s="1"/>
      <c r="C2" s="1" t="str">
        <f>IFERROR(__xludf.DUMMYFUNCTION("""COMPUTED_VALUE"""),"-")</f>
        <v>-</v>
      </c>
      <c r="D2" s="1" t="str">
        <f>IFERROR(__xludf.DUMMYFUNCTION("""COMPUTED_VALUE"""),"BOTAFOGO E GELO")</f>
        <v>BOTAFOGO E GELO</v>
      </c>
      <c r="E2" s="1" t="str">
        <f>IFERROR(__xludf.DUMMYFUNCTION("""COMPUTED_VALUE"""),"AGUA TONICA LATA")</f>
        <v>AGUA TONICA LATA</v>
      </c>
      <c r="F2" s="1" t="str">
        <f>IFERROR(__xludf.DUMMYFUNCTION("""COMPUTED_VALUE"""),"CX")</f>
        <v>CX</v>
      </c>
      <c r="G2" s="2">
        <f>IFERROR(__xludf.DUMMYFUNCTION("""COMPUTED_VALUE"""),12.0)</f>
        <v>12</v>
      </c>
      <c r="H2" s="2">
        <f>IFERROR(__xludf.DUMMYFUNCTION("""COMPUTED_VALUE"""),0.0)</f>
        <v>0</v>
      </c>
      <c r="I2" s="1"/>
      <c r="J2" s="2">
        <f>IFERROR(__xludf.DUMMYFUNCTION("""COMPUTED_VALUE"""),1.0)</f>
        <v>1</v>
      </c>
      <c r="K2" s="2">
        <f>IFERROR(__xludf.DUMMYFUNCTION("""COMPUTED_VALUE"""),0.0)</f>
        <v>0</v>
      </c>
      <c r="L2" s="1"/>
      <c r="M2" s="3">
        <f>IFERROR(__xludf.DUMMYFUNCTION("""COMPUTED_VALUE"""),13.0)</f>
        <v>13</v>
      </c>
      <c r="N2" s="1"/>
      <c r="O2" s="2" t="str">
        <f>IFERROR(__xludf.DUMMYFUNCTION("""COMPUTED_VALUE"""),"")</f>
        <v/>
      </c>
      <c r="P2" s="2">
        <f>IFERROR(__xludf.DUMMYFUNCTION("""COMPUTED_VALUE"""),1.0)</f>
        <v>1</v>
      </c>
      <c r="Q2" s="1"/>
      <c r="R2" s="1"/>
      <c r="S2" s="1"/>
      <c r="T2" s="1">
        <f>IFERROR(__xludf.DUMMYFUNCTION("""COMPUTED_VALUE"""),188.0)</f>
        <v>188</v>
      </c>
    </row>
    <row r="3">
      <c r="A3" s="1"/>
      <c r="B3" s="1"/>
      <c r="C3" s="1" t="str">
        <f>IFERROR(__xludf.DUMMYFUNCTION("""COMPUTED_VALUE"""),"-")</f>
        <v>-</v>
      </c>
      <c r="D3" s="1" t="str">
        <f>IFERROR(__xludf.DUMMYFUNCTION("""COMPUTED_VALUE"""),"BOTAFOGO E GELO")</f>
        <v>BOTAFOGO E GELO</v>
      </c>
      <c r="E3" s="1" t="str">
        <f>IFERROR(__xludf.DUMMYFUNCTION("""COMPUTED_VALUE"""),"CERVEJA HEINEKEN LG NECK")</f>
        <v>CERVEJA HEINEKEN LG NECK</v>
      </c>
      <c r="F3" s="1" t="str">
        <f>IFERROR(__xludf.DUMMYFUNCTION("""COMPUTED_VALUE"""),"CX")</f>
        <v>CX</v>
      </c>
      <c r="G3" s="2">
        <f>IFERROR(__xludf.DUMMYFUNCTION("""COMPUTED_VALUE"""),24.0)</f>
        <v>24</v>
      </c>
      <c r="H3" s="2">
        <f>IFERROR(__xludf.DUMMYFUNCTION("""COMPUTED_VALUE"""),0.0)</f>
        <v>0</v>
      </c>
      <c r="I3" s="1"/>
      <c r="J3" s="2">
        <f>IFERROR(__xludf.DUMMYFUNCTION("""COMPUTED_VALUE"""),2.0)</f>
        <v>2</v>
      </c>
      <c r="K3" s="2">
        <f>IFERROR(__xludf.DUMMYFUNCTION("""COMPUTED_VALUE"""),0.0)</f>
        <v>0</v>
      </c>
      <c r="L3" s="1"/>
      <c r="M3" s="3">
        <f>IFERROR(__xludf.DUMMYFUNCTION("""COMPUTED_VALUE"""),56.0)</f>
        <v>56</v>
      </c>
      <c r="N3" s="1"/>
      <c r="O3" s="2" t="str">
        <f>IFERROR(__xludf.DUMMYFUNCTION("""COMPUTED_VALUE"""),"")</f>
        <v/>
      </c>
      <c r="P3" s="2">
        <f>IFERROR(__xludf.DUMMYFUNCTION("""COMPUTED_VALUE"""),2.0)</f>
        <v>2</v>
      </c>
      <c r="Q3" s="1"/>
      <c r="R3" s="1"/>
      <c r="S3" s="1"/>
      <c r="T3" s="1">
        <f>IFERROR(__xludf.DUMMYFUNCTION("""COMPUTED_VALUE"""),485.0)</f>
        <v>485</v>
      </c>
    </row>
    <row r="4">
      <c r="A4" s="1"/>
      <c r="B4" s="1"/>
      <c r="C4" s="1" t="str">
        <f>IFERROR(__xludf.DUMMYFUNCTION("""COMPUTED_VALUE"""),"-")</f>
        <v>-</v>
      </c>
      <c r="D4" s="1" t="str">
        <f>IFERROR(__xludf.DUMMYFUNCTION("""COMPUTED_VALUE"""),"BOTAFOGO E GELO")</f>
        <v>BOTAFOGO E GELO</v>
      </c>
      <c r="E4" s="1" t="str">
        <f>IFERROR(__xludf.DUMMYFUNCTION("""COMPUTED_VALUE"""),"COCA COLA LATA")</f>
        <v>COCA COLA LATA</v>
      </c>
      <c r="F4" s="1" t="str">
        <f>IFERROR(__xludf.DUMMYFUNCTION("""COMPUTED_VALUE"""),"CX")</f>
        <v>CX</v>
      </c>
      <c r="G4" s="2">
        <f>IFERROR(__xludf.DUMMYFUNCTION("""COMPUTED_VALUE"""),12.0)</f>
        <v>12</v>
      </c>
      <c r="H4" s="2">
        <f>IFERROR(__xludf.DUMMYFUNCTION("""COMPUTED_VALUE"""),0.0)</f>
        <v>0</v>
      </c>
      <c r="I4" s="1"/>
      <c r="J4" s="2">
        <f>IFERROR(__xludf.DUMMYFUNCTION("""COMPUTED_VALUE"""),6.0)</f>
        <v>6</v>
      </c>
      <c r="K4" s="2">
        <f>IFERROR(__xludf.DUMMYFUNCTION("""COMPUTED_VALUE"""),0.0)</f>
        <v>0</v>
      </c>
      <c r="L4" s="1"/>
      <c r="M4" s="3">
        <f>IFERROR(__xludf.DUMMYFUNCTION("""COMPUTED_VALUE"""),73.0)</f>
        <v>73</v>
      </c>
      <c r="N4" s="1"/>
      <c r="O4" s="2" t="str">
        <f>IFERROR(__xludf.DUMMYFUNCTION("""COMPUTED_VALUE"""),"")</f>
        <v/>
      </c>
      <c r="P4" s="2">
        <f>IFERROR(__xludf.DUMMYFUNCTION("""COMPUTED_VALUE"""),6.0)</f>
        <v>6</v>
      </c>
      <c r="Q4" s="1"/>
      <c r="R4" s="1"/>
      <c r="S4" s="1"/>
      <c r="T4" s="1">
        <f>IFERROR(__xludf.DUMMYFUNCTION("""COMPUTED_VALUE"""),177.0)</f>
        <v>177</v>
      </c>
    </row>
    <row r="5">
      <c r="A5" s="1"/>
      <c r="B5" s="1"/>
      <c r="C5" s="1" t="str">
        <f>IFERROR(__xludf.DUMMYFUNCTION("""COMPUTED_VALUE"""),"-")</f>
        <v>-</v>
      </c>
      <c r="D5" s="1" t="str">
        <f>IFERROR(__xludf.DUMMYFUNCTION("""COMPUTED_VALUE"""),"BOTAFOGO E GELO")</f>
        <v>BOTAFOGO E GELO</v>
      </c>
      <c r="E5" s="1" t="str">
        <f>IFERROR(__xludf.DUMMYFUNCTION("""COMPUTED_VALUE"""),"COCA COLA ZERO LATA")</f>
        <v>COCA COLA ZERO LATA</v>
      </c>
      <c r="F5" s="1" t="str">
        <f>IFERROR(__xludf.DUMMYFUNCTION("""COMPUTED_VALUE"""),"CX")</f>
        <v>CX</v>
      </c>
      <c r="G5" s="2">
        <f>IFERROR(__xludf.DUMMYFUNCTION("""COMPUTED_VALUE"""),12.0)</f>
        <v>12</v>
      </c>
      <c r="H5" s="2">
        <f>IFERROR(__xludf.DUMMYFUNCTION("""COMPUTED_VALUE"""),0.0)</f>
        <v>0</v>
      </c>
      <c r="I5" s="1"/>
      <c r="J5" s="2">
        <f>IFERROR(__xludf.DUMMYFUNCTION("""COMPUTED_VALUE"""),11.0)</f>
        <v>11</v>
      </c>
      <c r="K5" s="2">
        <f>IFERROR(__xludf.DUMMYFUNCTION("""COMPUTED_VALUE"""),0.0)</f>
        <v>0</v>
      </c>
      <c r="L5" s="1"/>
      <c r="M5" s="3">
        <f>IFERROR(__xludf.DUMMYFUNCTION("""COMPUTED_VALUE"""),128.0)</f>
        <v>128</v>
      </c>
      <c r="N5" s="1"/>
      <c r="O5" s="2" t="str">
        <f>IFERROR(__xludf.DUMMYFUNCTION("""COMPUTED_VALUE"""),"")</f>
        <v/>
      </c>
      <c r="P5" s="2">
        <f>IFERROR(__xludf.DUMMYFUNCTION("""COMPUTED_VALUE"""),11.0)</f>
        <v>11</v>
      </c>
      <c r="Q5" s="1"/>
      <c r="R5" s="1"/>
      <c r="S5" s="1"/>
      <c r="T5" s="1">
        <f>IFERROR(__xludf.DUMMYFUNCTION("""COMPUTED_VALUE"""),178.0)</f>
        <v>178</v>
      </c>
    </row>
    <row r="6">
      <c r="A6" s="1"/>
      <c r="B6" s="1"/>
      <c r="C6" s="1" t="str">
        <f>IFERROR(__xludf.DUMMYFUNCTION("""COMPUTED_VALUE"""),"-")</f>
        <v>-</v>
      </c>
      <c r="D6" s="1" t="str">
        <f>IFERROR(__xludf.DUMMYFUNCTION("""COMPUTED_VALUE"""),"BOTAFOGO E GELO")</f>
        <v>BOTAFOGO E GELO</v>
      </c>
      <c r="E6" s="1" t="str">
        <f>IFERROR(__xludf.DUMMYFUNCTION("""COMPUTED_VALUE"""),"GUARANA LATA")</f>
        <v>GUARANA LATA</v>
      </c>
      <c r="F6" s="1" t="str">
        <f>IFERROR(__xludf.DUMMYFUNCTION("""COMPUTED_VALUE"""),"CX")</f>
        <v>CX</v>
      </c>
      <c r="G6" s="2">
        <f>IFERROR(__xludf.DUMMYFUNCTION("""COMPUTED_VALUE"""),12.0)</f>
        <v>12</v>
      </c>
      <c r="H6" s="2">
        <f>IFERROR(__xludf.DUMMYFUNCTION("""COMPUTED_VALUE"""),0.0)</f>
        <v>0</v>
      </c>
      <c r="I6" s="1"/>
      <c r="J6" s="2">
        <f>IFERROR(__xludf.DUMMYFUNCTION("""COMPUTED_VALUE"""),2.0)</f>
        <v>2</v>
      </c>
      <c r="K6" s="2">
        <f>IFERROR(__xludf.DUMMYFUNCTION("""COMPUTED_VALUE"""),0.0)</f>
        <v>0</v>
      </c>
      <c r="L6" s="1"/>
      <c r="M6" s="3">
        <f>IFERROR(__xludf.DUMMYFUNCTION("""COMPUTED_VALUE"""),20.0)</f>
        <v>20</v>
      </c>
      <c r="N6" s="1"/>
      <c r="O6" s="2" t="str">
        <f>IFERROR(__xludf.DUMMYFUNCTION("""COMPUTED_VALUE"""),"")</f>
        <v/>
      </c>
      <c r="P6" s="2">
        <f>IFERROR(__xludf.DUMMYFUNCTION("""COMPUTED_VALUE"""),2.0)</f>
        <v>2</v>
      </c>
      <c r="Q6" s="1"/>
      <c r="R6" s="1"/>
      <c r="S6" s="1"/>
      <c r="T6" s="1">
        <f>IFERROR(__xludf.DUMMYFUNCTION("""COMPUTED_VALUE"""),182.0)</f>
        <v>182</v>
      </c>
    </row>
    <row r="7">
      <c r="A7" s="1"/>
      <c r="B7" s="1"/>
      <c r="C7" s="1" t="str">
        <f>IFERROR(__xludf.DUMMYFUNCTION("""COMPUTED_VALUE"""),"-")</f>
        <v>-</v>
      </c>
      <c r="D7" s="1" t="str">
        <f>IFERROR(__xludf.DUMMYFUNCTION("""COMPUTED_VALUE"""),"BOTAFOGO E GELO")</f>
        <v>BOTAFOGO E GELO</v>
      </c>
      <c r="E7" s="1" t="str">
        <f>IFERROR(__xludf.DUMMYFUNCTION("""COMPUTED_VALUE"""),"GUARANA ZERO LATA")</f>
        <v>GUARANA ZERO LATA</v>
      </c>
      <c r="F7" s="1" t="str">
        <f>IFERROR(__xludf.DUMMYFUNCTION("""COMPUTED_VALUE"""),"CX")</f>
        <v>CX</v>
      </c>
      <c r="G7" s="2">
        <f>IFERROR(__xludf.DUMMYFUNCTION("""COMPUTED_VALUE"""),12.0)</f>
        <v>12</v>
      </c>
      <c r="H7" s="2">
        <f>IFERROR(__xludf.DUMMYFUNCTION("""COMPUTED_VALUE"""),0.0)</f>
        <v>0</v>
      </c>
      <c r="I7" s="1"/>
      <c r="J7" s="2">
        <f>IFERROR(__xludf.DUMMYFUNCTION("""COMPUTED_VALUE"""),2.0)</f>
        <v>2</v>
      </c>
      <c r="K7" s="2">
        <f>IFERROR(__xludf.DUMMYFUNCTION("""COMPUTED_VALUE"""),0.0)</f>
        <v>0</v>
      </c>
      <c r="L7" s="1"/>
      <c r="M7" s="3">
        <f>IFERROR(__xludf.DUMMYFUNCTION("""COMPUTED_VALUE"""),22.0)</f>
        <v>22</v>
      </c>
      <c r="N7" s="1"/>
      <c r="O7" s="2" t="str">
        <f>IFERROR(__xludf.DUMMYFUNCTION("""COMPUTED_VALUE"""),"")</f>
        <v/>
      </c>
      <c r="P7" s="2">
        <f>IFERROR(__xludf.DUMMYFUNCTION("""COMPUTED_VALUE"""),2.0)</f>
        <v>2</v>
      </c>
      <c r="Q7" s="1"/>
      <c r="R7" s="1"/>
      <c r="S7" s="1"/>
      <c r="T7" s="1">
        <f>IFERROR(__xludf.DUMMYFUNCTION("""COMPUTED_VALUE"""),183.0)</f>
        <v>183</v>
      </c>
    </row>
    <row r="8">
      <c r="A8" s="1"/>
      <c r="B8" s="1"/>
      <c r="C8" s="1" t="str">
        <f>IFERROR(__xludf.DUMMYFUNCTION("""COMPUTED_VALUE"""),"-")</f>
        <v>-</v>
      </c>
      <c r="D8" s="1" t="str">
        <f>IFERROR(__xludf.DUMMYFUNCTION("""COMPUTED_VALUE"""),"UNIQUE - PEDIDO TODO DIA 15")</f>
        <v>UNIQUE - PEDIDO TODO DIA 15</v>
      </c>
      <c r="E8" s="1" t="str">
        <f>IFERROR(__xludf.DUMMYFUNCTION("""COMPUTED_VALUE"""),"BLEND 1KG")</f>
        <v>BLEND 1KG</v>
      </c>
      <c r="F8" s="1" t="str">
        <f>IFERROR(__xludf.DUMMYFUNCTION("""COMPUTED_VALUE"""),"PCT")</f>
        <v>PCT</v>
      </c>
      <c r="G8" s="2">
        <f>IFERROR(__xludf.DUMMYFUNCTION("""COMPUTED_VALUE"""),1.0)</f>
        <v>1</v>
      </c>
      <c r="H8" s="2">
        <f>IFERROR(__xludf.DUMMYFUNCTION("""COMPUTED_VALUE"""),0.0)</f>
        <v>0</v>
      </c>
      <c r="I8" s="1"/>
      <c r="J8" s="2">
        <f>IFERROR(__xludf.DUMMYFUNCTION("""COMPUTED_VALUE"""),25.0)</f>
        <v>25</v>
      </c>
      <c r="K8" s="2">
        <f>IFERROR(__xludf.DUMMYFUNCTION("""COMPUTED_VALUE"""),0.0)</f>
        <v>0</v>
      </c>
      <c r="L8" s="1"/>
      <c r="M8" s="3">
        <f>IFERROR(__xludf.DUMMYFUNCTION("""COMPUTED_VALUE"""),24.7398)</f>
        <v>24.7398</v>
      </c>
      <c r="N8" s="1"/>
      <c r="O8" s="2" t="str">
        <f>IFERROR(__xludf.DUMMYFUNCTION("""COMPUTED_VALUE"""),"")</f>
        <v/>
      </c>
      <c r="P8" s="2">
        <f>IFERROR(__xludf.DUMMYFUNCTION("""COMPUTED_VALUE"""),25.0)</f>
        <v>25</v>
      </c>
      <c r="Q8" s="1"/>
      <c r="R8" s="1"/>
      <c r="S8" s="1"/>
      <c r="T8" s="1">
        <f>IFERROR(__xludf.DUMMYFUNCTION("""COMPUTED_VALUE"""),1149.0)</f>
        <v>1149</v>
      </c>
    </row>
    <row r="9">
      <c r="A9" s="1"/>
      <c r="B9" s="1"/>
      <c r="C9" s="1" t="str">
        <f>IFERROR(__xludf.DUMMYFUNCTION("""COMPUTED_VALUE"""),"-")</f>
        <v>-</v>
      </c>
      <c r="D9" s="1" t="str">
        <f>IFERROR(__xludf.DUMMYFUNCTION("""COMPUTED_VALUE"""),"UNIQUE - PEDIDO TODO DIA 15")</f>
        <v>UNIQUE - PEDIDO TODO DIA 15</v>
      </c>
      <c r="E9" s="1" t="str">
        <f>IFERROR(__xludf.DUMMYFUNCTION("""COMPUTED_VALUE"""),"BLEND 250G")</f>
        <v>BLEND 250G</v>
      </c>
      <c r="F9" s="1" t="str">
        <f>IFERROR(__xludf.DUMMYFUNCTION("""COMPUTED_VALUE"""),"PCT")</f>
        <v>PCT</v>
      </c>
      <c r="G9" s="4">
        <f>IFERROR(__xludf.DUMMYFUNCTION("""COMPUTED_VALUE"""),0.25)</f>
        <v>0.25</v>
      </c>
      <c r="H9" s="2">
        <f>IFERROR(__xludf.DUMMYFUNCTION("""COMPUTED_VALUE"""),0.0)</f>
        <v>0</v>
      </c>
      <c r="I9" s="1"/>
      <c r="J9" s="2">
        <f>IFERROR(__xludf.DUMMYFUNCTION("""COMPUTED_VALUE"""),7.0)</f>
        <v>7</v>
      </c>
      <c r="K9" s="2">
        <f>IFERROR(__xludf.DUMMYFUNCTION("""COMPUTED_VALUE"""),0.0)</f>
        <v>0</v>
      </c>
      <c r="L9" s="1"/>
      <c r="M9" s="3">
        <f>IFERROR(__xludf.DUMMYFUNCTION("""COMPUTED_VALUE"""),1.625)</f>
        <v>1.625</v>
      </c>
      <c r="N9" s="1"/>
      <c r="O9" s="2" t="str">
        <f>IFERROR(__xludf.DUMMYFUNCTION("""COMPUTED_VALUE"""),"")</f>
        <v/>
      </c>
      <c r="P9" s="2">
        <f>IFERROR(__xludf.DUMMYFUNCTION("""COMPUTED_VALUE"""),7.0)</f>
        <v>7</v>
      </c>
      <c r="Q9" s="1"/>
      <c r="R9" s="1"/>
      <c r="S9" s="1"/>
      <c r="T9" s="1">
        <f>IFERROR(__xludf.DUMMYFUNCTION("""COMPUTED_VALUE"""),662.0)</f>
        <v>662</v>
      </c>
    </row>
    <row r="10">
      <c r="A10" s="1"/>
      <c r="B10" s="1"/>
      <c r="C10" s="1" t="str">
        <f>IFERROR(__xludf.DUMMYFUNCTION("""COMPUTED_VALUE"""),"-")</f>
        <v>-</v>
      </c>
      <c r="D10" s="1" t="str">
        <f>IFERROR(__xludf.DUMMYFUNCTION("""COMPUTED_VALUE"""),"UNIQUE - PEDIDO TODO DIA 15")</f>
        <v>UNIQUE - PEDIDO TODO DIA 15</v>
      </c>
      <c r="E10" s="1" t="str">
        <f>IFERROR(__xludf.DUMMYFUNCTION("""COMPUTED_VALUE"""),"B. VERMELHO 250G")</f>
        <v>B. VERMELHO 250G</v>
      </c>
      <c r="F10" s="1" t="str">
        <f>IFERROR(__xludf.DUMMYFUNCTION("""COMPUTED_VALUE"""),"PCT")</f>
        <v>PCT</v>
      </c>
      <c r="G10" s="4">
        <f>IFERROR(__xludf.DUMMYFUNCTION("""COMPUTED_VALUE"""),0.25)</f>
        <v>0.25</v>
      </c>
      <c r="H10" s="2">
        <f>IFERROR(__xludf.DUMMYFUNCTION("""COMPUTED_VALUE"""),0.0)</f>
        <v>0</v>
      </c>
      <c r="I10" s="1"/>
      <c r="J10" s="2">
        <f>IFERROR(__xludf.DUMMYFUNCTION("""COMPUTED_VALUE"""),5.0)</f>
        <v>5</v>
      </c>
      <c r="K10" s="2">
        <f>IFERROR(__xludf.DUMMYFUNCTION("""COMPUTED_VALUE"""),0.0)</f>
        <v>0</v>
      </c>
      <c r="L10" s="1"/>
      <c r="M10" s="3">
        <f>IFERROR(__xludf.DUMMYFUNCTION("""COMPUTED_VALUE"""),1.34)</f>
        <v>1.34</v>
      </c>
      <c r="N10" s="1"/>
      <c r="O10" s="2" t="str">
        <f>IFERROR(__xludf.DUMMYFUNCTION("""COMPUTED_VALUE"""),"")</f>
        <v/>
      </c>
      <c r="P10" s="2">
        <f>IFERROR(__xludf.DUMMYFUNCTION("""COMPUTED_VALUE"""),5.0)</f>
        <v>5</v>
      </c>
      <c r="Q10" s="1"/>
      <c r="R10" s="1"/>
      <c r="S10" s="1"/>
      <c r="T10" s="1">
        <f>IFERROR(__xludf.DUMMYFUNCTION("""COMPUTED_VALUE"""),723.0)</f>
        <v>723</v>
      </c>
    </row>
    <row r="11">
      <c r="A11" s="1"/>
      <c r="B11" s="1"/>
      <c r="C11" s="1" t="str">
        <f>IFERROR(__xludf.DUMMYFUNCTION("""COMPUTED_VALUE"""),"-")</f>
        <v>-</v>
      </c>
      <c r="D11" s="1" t="str">
        <f>IFERROR(__xludf.DUMMYFUNCTION("""COMPUTED_VALUE"""),"UNIQUE - PEDIDO TODO DIA 15")</f>
        <v>UNIQUE - PEDIDO TODO DIA 15</v>
      </c>
      <c r="E11" s="1" t="str">
        <f>IFERROR(__xludf.DUMMYFUNCTION("""COMPUTED_VALUE"""),"B. AMARELO 250G")</f>
        <v>B. AMARELO 250G</v>
      </c>
      <c r="F11" s="1" t="str">
        <f>IFERROR(__xludf.DUMMYFUNCTION("""COMPUTED_VALUE"""),"PCT")</f>
        <v>PCT</v>
      </c>
      <c r="G11" s="4">
        <f>IFERROR(__xludf.DUMMYFUNCTION("""COMPUTED_VALUE"""),0.25)</f>
        <v>0.25</v>
      </c>
      <c r="H11" s="2">
        <f>IFERROR(__xludf.DUMMYFUNCTION("""COMPUTED_VALUE"""),0.0)</f>
        <v>0</v>
      </c>
      <c r="I11" s="1"/>
      <c r="J11" s="2">
        <f>IFERROR(__xludf.DUMMYFUNCTION("""COMPUTED_VALUE"""),2.0)</f>
        <v>2</v>
      </c>
      <c r="K11" s="2">
        <f>IFERROR(__xludf.DUMMYFUNCTION("""COMPUTED_VALUE"""),0.0)</f>
        <v>0</v>
      </c>
      <c r="L11" s="1"/>
      <c r="M11" s="3">
        <f>IFERROR(__xludf.DUMMYFUNCTION("""COMPUTED_VALUE"""),0.505)</f>
        <v>0.505</v>
      </c>
      <c r="N11" s="1"/>
      <c r="O11" s="2" t="str">
        <f>IFERROR(__xludf.DUMMYFUNCTION("""COMPUTED_VALUE"""),"")</f>
        <v/>
      </c>
      <c r="P11" s="2">
        <f>IFERROR(__xludf.DUMMYFUNCTION("""COMPUTED_VALUE"""),2.0)</f>
        <v>2</v>
      </c>
      <c r="Q11" s="1"/>
      <c r="R11" s="1"/>
      <c r="S11" s="1"/>
      <c r="T11" s="1">
        <f>IFERROR(__xludf.DUMMYFUNCTION("""COMPUTED_VALUE"""),725.0)</f>
        <v>725</v>
      </c>
    </row>
    <row r="12">
      <c r="A12" s="1"/>
      <c r="B12" s="1"/>
      <c r="C12" s="1" t="str">
        <f>IFERROR(__xludf.DUMMYFUNCTION("""COMPUTED_VALUE"""),"-")</f>
        <v>-</v>
      </c>
      <c r="D12" s="1" t="str">
        <f>IFERROR(__xludf.DUMMYFUNCTION("""COMPUTED_VALUE"""),"UNIQUE - PEDIDO TODO DIA 15")</f>
        <v>UNIQUE - PEDIDO TODO DIA 15</v>
      </c>
      <c r="E12" s="1" t="str">
        <f>IFERROR(__xludf.DUMMYFUNCTION("""COMPUTED_VALUE"""),"DESCAFEINADO 250G")</f>
        <v>DESCAFEINADO 250G</v>
      </c>
      <c r="F12" s="1" t="str">
        <f>IFERROR(__xludf.DUMMYFUNCTION("""COMPUTED_VALUE"""),"PCT")</f>
        <v>PCT</v>
      </c>
      <c r="G12" s="4">
        <f>IFERROR(__xludf.DUMMYFUNCTION("""COMPUTED_VALUE"""),0.25)</f>
        <v>0.25</v>
      </c>
      <c r="H12" s="2">
        <f>IFERROR(__xludf.DUMMYFUNCTION("""COMPUTED_VALUE"""),0.0)</f>
        <v>0</v>
      </c>
      <c r="I12" s="1"/>
      <c r="J12" s="2">
        <f>IFERROR(__xludf.DUMMYFUNCTION("""COMPUTED_VALUE"""),1.0)</f>
        <v>1</v>
      </c>
      <c r="K12" s="2">
        <f>IFERROR(__xludf.DUMMYFUNCTION("""COMPUTED_VALUE"""),0.0)</f>
        <v>0</v>
      </c>
      <c r="L12" s="1"/>
      <c r="M12" s="3">
        <f>IFERROR(__xludf.DUMMYFUNCTION("""COMPUTED_VALUE"""),0.33)</f>
        <v>0.33</v>
      </c>
      <c r="N12" s="1"/>
      <c r="O12" s="2" t="str">
        <f>IFERROR(__xludf.DUMMYFUNCTION("""COMPUTED_VALUE"""),"")</f>
        <v/>
      </c>
      <c r="P12" s="2">
        <f>IFERROR(__xludf.DUMMYFUNCTION("""COMPUTED_VALUE"""),1.0)</f>
        <v>1</v>
      </c>
      <c r="Q12" s="1"/>
      <c r="R12" s="1"/>
      <c r="S12" s="1"/>
      <c r="T12" s="1">
        <f>IFERROR(__xludf.DUMMYFUNCTION("""COMPUTED_VALUE"""),722.0)</f>
        <v>722</v>
      </c>
    </row>
    <row r="13">
      <c r="A13" s="1"/>
      <c r="B13" s="1"/>
      <c r="C13" s="1" t="str">
        <f>IFERROR(__xludf.DUMMYFUNCTION("""COMPUTED_VALUE"""),"-")</f>
        <v>-</v>
      </c>
      <c r="D13" s="1" t="str">
        <f>IFERROR(__xludf.DUMMYFUNCTION("""COMPUTED_VALUE"""),"UNIQUE - PEDIDO TODO DIA 15")</f>
        <v>UNIQUE - PEDIDO TODO DIA 15</v>
      </c>
      <c r="E13" s="1" t="str">
        <f>IFERROR(__xludf.DUMMYFUNCTION("""COMPUTED_VALUE"""),"SCADA EDIÇÃO ESPECIAL")</f>
        <v>SCADA EDIÇÃO ESPECIAL</v>
      </c>
      <c r="F13" s="1" t="str">
        <f>IFERROR(__xludf.DUMMYFUNCTION("""COMPUTED_VALUE"""),"PCT")</f>
        <v>PCT</v>
      </c>
      <c r="G13" s="4">
        <f>IFERROR(__xludf.DUMMYFUNCTION("""COMPUTED_VALUE"""),0.25)</f>
        <v>0.25</v>
      </c>
      <c r="H13" s="2">
        <f>IFERROR(__xludf.DUMMYFUNCTION("""COMPUTED_VALUE"""),0.0)</f>
        <v>0</v>
      </c>
      <c r="I13" s="1"/>
      <c r="J13" s="2">
        <f>IFERROR(__xludf.DUMMYFUNCTION("""COMPUTED_VALUE"""),1.0)</f>
        <v>1</v>
      </c>
      <c r="K13" s="2">
        <f>IFERROR(__xludf.DUMMYFUNCTION("""COMPUTED_VALUE"""),0.0)</f>
        <v>0</v>
      </c>
      <c r="L13" s="1"/>
      <c r="M13" s="3">
        <f>IFERROR(__xludf.DUMMYFUNCTION("""COMPUTED_VALUE"""),0.135)</f>
        <v>0.135</v>
      </c>
      <c r="N13" s="1"/>
      <c r="O13" s="2" t="str">
        <f>IFERROR(__xludf.DUMMYFUNCTION("""COMPUTED_VALUE"""),"")</f>
        <v/>
      </c>
      <c r="P13" s="2">
        <f>IFERROR(__xludf.DUMMYFUNCTION("""COMPUTED_VALUE"""),1.0)</f>
        <v>1</v>
      </c>
      <c r="Q13" s="1"/>
      <c r="R13" s="1"/>
      <c r="S13" s="1"/>
      <c r="T13" s="1">
        <f>IFERROR(__xludf.DUMMYFUNCTION("""COMPUTED_VALUE"""),930.0)</f>
        <v>930</v>
      </c>
    </row>
    <row r="14">
      <c r="A14" s="1"/>
      <c r="B14" s="1"/>
      <c r="C14" s="1" t="str">
        <f>IFERROR(__xludf.DUMMYFUNCTION("""COMPUTED_VALUE"""),"-")</f>
        <v>-</v>
      </c>
      <c r="D14" s="1" t="str">
        <f>IFERROR(__xludf.DUMMYFUNCTION("""COMPUTED_VALUE"""),"DO PÉ AO POTE")</f>
        <v>DO PÉ AO POTE</v>
      </c>
      <c r="E14" s="1" t="str">
        <f>IFERROR(__xludf.DUMMYFUNCTION("""COMPUTED_VALUE"""),"DOCE DE LEITE ORGANICO")</f>
        <v>DOCE DE LEITE ORGANICO</v>
      </c>
      <c r="F14" s="1" t="str">
        <f>IFERROR(__xludf.DUMMYFUNCTION("""COMPUTED_VALUE"""),"CX")</f>
        <v>CX</v>
      </c>
      <c r="G14" s="2">
        <f>IFERROR(__xludf.DUMMYFUNCTION("""COMPUTED_VALUE"""),12.0)</f>
        <v>12</v>
      </c>
      <c r="H14" s="2">
        <f>IFERROR(__xludf.DUMMYFUNCTION("""COMPUTED_VALUE"""),0.0)</f>
        <v>0</v>
      </c>
      <c r="I14" s="1"/>
      <c r="J14" s="2">
        <f>IFERROR(__xludf.DUMMYFUNCTION("""COMPUTED_VALUE"""),0.0)</f>
        <v>0</v>
      </c>
      <c r="K14" s="2">
        <f>IFERROR(__xludf.DUMMYFUNCTION("""COMPUTED_VALUE"""),0.0)</f>
        <v>0</v>
      </c>
      <c r="L14" s="1"/>
      <c r="M14" s="3">
        <f>IFERROR(__xludf.DUMMYFUNCTION("""COMPUTED_VALUE"""),3.0)</f>
        <v>3</v>
      </c>
      <c r="N14" s="1"/>
      <c r="O14" s="2" t="str">
        <f>IFERROR(__xludf.DUMMYFUNCTION("""COMPUTED_VALUE"""),"")</f>
        <v/>
      </c>
      <c r="P14" s="2">
        <f>IFERROR(__xludf.DUMMYFUNCTION("""COMPUTED_VALUE"""),0.0)</f>
        <v>0</v>
      </c>
      <c r="Q14" s="1"/>
      <c r="R14" s="1"/>
      <c r="S14" s="1"/>
      <c r="T14" s="1">
        <f>IFERROR(__xludf.DUMMYFUNCTION("""COMPUTED_VALUE"""),1113.0)</f>
        <v>1113</v>
      </c>
    </row>
    <row r="15">
      <c r="A15" s="1"/>
      <c r="B15" s="1"/>
      <c r="C15" s="1" t="str">
        <f>IFERROR(__xludf.DUMMYFUNCTION("""COMPUTED_VALUE"""),"-")</f>
        <v>-</v>
      </c>
      <c r="D15" s="1" t="str">
        <f>IFERROR(__xludf.DUMMYFUNCTION("""COMPUTED_VALUE"""),"GIGIO - PEDIDO MÍN. 400,00 (RIBEIRO)")</f>
        <v>GIGIO - PEDIDO MÍN. 400,00 (RIBEIRO)</v>
      </c>
      <c r="E15" s="1" t="str">
        <f>IFERROR(__xludf.DUMMYFUNCTION("""COMPUTED_VALUE"""),"CHOCOLATE EUROPEU KERRY")</f>
        <v>CHOCOLATE EUROPEU KERRY</v>
      </c>
      <c r="F15" s="1" t="str">
        <f>IFERROR(__xludf.DUMMYFUNCTION("""COMPUTED_VALUE"""),"PT")</f>
        <v>PT</v>
      </c>
      <c r="G15" s="4">
        <f>IFERROR(__xludf.DUMMYFUNCTION("""COMPUTED_VALUE"""),0.9)</f>
        <v>0.9</v>
      </c>
      <c r="H15" s="2">
        <f>IFERROR(__xludf.DUMMYFUNCTION("""COMPUTED_VALUE"""),0.0)</f>
        <v>0</v>
      </c>
      <c r="I15" s="1"/>
      <c r="J15" s="2">
        <f>IFERROR(__xludf.DUMMYFUNCTION("""COMPUTED_VALUE"""),4.0)</f>
        <v>4</v>
      </c>
      <c r="K15" s="2">
        <f>IFERROR(__xludf.DUMMYFUNCTION("""COMPUTED_VALUE"""),0.0)</f>
        <v>0</v>
      </c>
      <c r="L15" s="1"/>
      <c r="M15" s="3">
        <f>IFERROR(__xludf.DUMMYFUNCTION("""COMPUTED_VALUE"""),3.877)</f>
        <v>3.877</v>
      </c>
      <c r="N15" s="1"/>
      <c r="O15" s="2" t="str">
        <f>IFERROR(__xludf.DUMMYFUNCTION("""COMPUTED_VALUE"""),"")</f>
        <v/>
      </c>
      <c r="P15" s="2">
        <f>IFERROR(__xludf.DUMMYFUNCTION("""COMPUTED_VALUE"""),4.0)</f>
        <v>4</v>
      </c>
      <c r="Q15" s="1"/>
      <c r="R15" s="1"/>
      <c r="S15" s="1"/>
      <c r="T15" s="1">
        <f>IFERROR(__xludf.DUMMYFUNCTION("""COMPUTED_VALUE"""),441.0)</f>
        <v>441</v>
      </c>
    </row>
    <row r="16">
      <c r="A16" s="1"/>
      <c r="B16" s="1"/>
      <c r="C16" s="1" t="str">
        <f>IFERROR(__xludf.DUMMYFUNCTION("""COMPUTED_VALUE"""),"-")</f>
        <v>-</v>
      </c>
      <c r="D16" s="1" t="str">
        <f>IFERROR(__xludf.DUMMYFUNCTION("""COMPUTED_VALUE"""),"GIGIO - PEDIDO MÍN. 400,00 (RIBEIRO)")</f>
        <v>GIGIO - PEDIDO MÍN. 400,00 (RIBEIRO)</v>
      </c>
      <c r="E16" s="1" t="str">
        <f>IFERROR(__xludf.DUMMYFUNCTION("""COMPUTED_VALUE"""),"CAPPUCCINO TRADICIONAL DA VINCI")</f>
        <v>CAPPUCCINO TRADICIONAL DA VINCI</v>
      </c>
      <c r="F16" s="1" t="str">
        <f>IFERROR(__xludf.DUMMYFUNCTION("""COMPUTED_VALUE"""),"PCT")</f>
        <v>PCT</v>
      </c>
      <c r="G16" s="4">
        <f>IFERROR(__xludf.DUMMYFUNCTION("""COMPUTED_VALUE"""),1.0)</f>
        <v>1</v>
      </c>
      <c r="H16" s="2">
        <f>IFERROR(__xludf.DUMMYFUNCTION("""COMPUTED_VALUE"""),0.0)</f>
        <v>0</v>
      </c>
      <c r="I16" s="1"/>
      <c r="J16" s="2">
        <f>IFERROR(__xludf.DUMMYFUNCTION("""COMPUTED_VALUE"""),8.0)</f>
        <v>8</v>
      </c>
      <c r="K16" s="2">
        <f>IFERROR(__xludf.DUMMYFUNCTION("""COMPUTED_VALUE"""),0.0)</f>
        <v>0</v>
      </c>
      <c r="L16" s="1"/>
      <c r="M16" s="3">
        <f>IFERROR(__xludf.DUMMYFUNCTION("""COMPUTED_VALUE"""),7.86)</f>
        <v>7.86</v>
      </c>
      <c r="N16" s="1"/>
      <c r="O16" s="2" t="str">
        <f>IFERROR(__xludf.DUMMYFUNCTION("""COMPUTED_VALUE"""),"")</f>
        <v/>
      </c>
      <c r="P16" s="2">
        <f>IFERROR(__xludf.DUMMYFUNCTION("""COMPUTED_VALUE"""),8.0)</f>
        <v>8</v>
      </c>
      <c r="Q16" s="1"/>
      <c r="R16" s="1"/>
      <c r="S16" s="1"/>
      <c r="T16" s="1">
        <f>IFERROR(__xludf.DUMMYFUNCTION("""COMPUTED_VALUE"""),2.0)</f>
        <v>2</v>
      </c>
    </row>
    <row r="17">
      <c r="A17" s="1"/>
      <c r="B17" s="1"/>
      <c r="C17" s="1" t="str">
        <f>IFERROR(__xludf.DUMMYFUNCTION("""COMPUTED_VALUE"""),"-")</f>
        <v>-</v>
      </c>
      <c r="D17" s="1" t="str">
        <f>IFERROR(__xludf.DUMMYFUNCTION("""COMPUTED_VALUE"""),"GIGIO - PEDIDO MÍN. 400,00 (RIBEIRO)")</f>
        <v>GIGIO - PEDIDO MÍN. 400,00 (RIBEIRO)</v>
      </c>
      <c r="E17" s="1" t="str">
        <f>IFERROR(__xludf.DUMMYFUNCTION("""COMPUTED_VALUE"""),"CAPPUCCINO DIET DI CAPRI 7G")</f>
        <v>CAPPUCCINO DIET DI CAPRI 7G</v>
      </c>
      <c r="F17" s="1" t="str">
        <f>IFERROR(__xludf.DUMMYFUNCTION("""COMPUTED_VALUE"""),"PCT")</f>
        <v>PCT</v>
      </c>
      <c r="G17" s="2">
        <f>IFERROR(__xludf.DUMMYFUNCTION("""COMPUTED_VALUE"""),100.0)</f>
        <v>100</v>
      </c>
      <c r="H17" s="2">
        <f>IFERROR(__xludf.DUMMYFUNCTION("""COMPUTED_VALUE"""),0.0)</f>
        <v>0</v>
      </c>
      <c r="I17" s="1"/>
      <c r="J17" s="2">
        <f>IFERROR(__xludf.DUMMYFUNCTION("""COMPUTED_VALUE"""),0.0)</f>
        <v>0</v>
      </c>
      <c r="K17" s="2">
        <f>IFERROR(__xludf.DUMMYFUNCTION("""COMPUTED_VALUE"""),0.0)</f>
        <v>0</v>
      </c>
      <c r="L17" s="1"/>
      <c r="M17" s="3">
        <f>IFERROR(__xludf.DUMMYFUNCTION("""COMPUTED_VALUE"""),0.126)</f>
        <v>0.126</v>
      </c>
      <c r="N17" s="1"/>
      <c r="O17" s="2" t="str">
        <f>IFERROR(__xludf.DUMMYFUNCTION("""COMPUTED_VALUE"""),"")</f>
        <v/>
      </c>
      <c r="P17" s="2">
        <f>IFERROR(__xludf.DUMMYFUNCTION("""COMPUTED_VALUE"""),0.0)</f>
        <v>0</v>
      </c>
      <c r="Q17" s="1"/>
      <c r="R17" s="1"/>
      <c r="S17" s="1"/>
      <c r="T17" s="1">
        <f>IFERROR(__xludf.DUMMYFUNCTION("""COMPUTED_VALUE"""),6.0)</f>
        <v>6</v>
      </c>
    </row>
    <row r="18">
      <c r="A18" s="1"/>
      <c r="B18" s="1"/>
      <c r="C18" s="1" t="str">
        <f>IFERROR(__xludf.DUMMYFUNCTION("""COMPUTED_VALUE"""),"-")</f>
        <v>-</v>
      </c>
      <c r="D18" s="1" t="str">
        <f>IFERROR(__xludf.DUMMYFUNCTION("""COMPUTED_VALUE"""),"GIGIO - PEDIDO MÍN. 400,00 (RIBEIRO)")</f>
        <v>GIGIO - PEDIDO MÍN. 400,00 (RIBEIRO)</v>
      </c>
      <c r="E18" s="1" t="str">
        <f>IFERROR(__xludf.DUMMYFUNCTION("""COMPUTED_VALUE"""),"COPO SCADA TERMICO LOGO 120ML")</f>
        <v>COPO SCADA TERMICO LOGO 120ML</v>
      </c>
      <c r="F18" s="1" t="str">
        <f>IFERROR(__xludf.DUMMYFUNCTION("""COMPUTED_VALUE"""),"FD")</f>
        <v>FD</v>
      </c>
      <c r="G18" s="2">
        <f>IFERROR(__xludf.DUMMYFUNCTION("""COMPUTED_VALUE"""),50.0)</f>
        <v>50</v>
      </c>
      <c r="H18" s="2">
        <f>IFERROR(__xludf.DUMMYFUNCTION("""COMPUTED_VALUE"""),0.0)</f>
        <v>0</v>
      </c>
      <c r="I18" s="1"/>
      <c r="J18" s="2">
        <f>IFERROR(__xludf.DUMMYFUNCTION("""COMPUTED_VALUE"""),0.0)</f>
        <v>0</v>
      </c>
      <c r="K18" s="2">
        <f>IFERROR(__xludf.DUMMYFUNCTION("""COMPUTED_VALUE"""),0.0)</f>
        <v>0</v>
      </c>
      <c r="L18" s="1"/>
      <c r="M18" s="3" t="str">
        <f>IFERROR(__xludf.DUMMYFUNCTION("""COMPUTED_VALUE"""),"")</f>
        <v/>
      </c>
      <c r="N18" s="1"/>
      <c r="O18" s="2" t="str">
        <f>IFERROR(__xludf.DUMMYFUNCTION("""COMPUTED_VALUE"""),"")</f>
        <v/>
      </c>
      <c r="P18" s="2">
        <f>IFERROR(__xludf.DUMMYFUNCTION("""COMPUTED_VALUE"""),0.0)</f>
        <v>0</v>
      </c>
      <c r="Q18" s="1"/>
      <c r="R18" s="1"/>
      <c r="S18" s="1"/>
      <c r="T18" s="1">
        <f>IFERROR(__xludf.DUMMYFUNCTION("""COMPUTED_VALUE"""),155.0)</f>
        <v>155</v>
      </c>
    </row>
    <row r="19">
      <c r="A19" s="1"/>
      <c r="B19" s="1"/>
      <c r="C19" s="1" t="str">
        <f>IFERROR(__xludf.DUMMYFUNCTION("""COMPUTED_VALUE"""),"-")</f>
        <v>-</v>
      </c>
      <c r="D19" s="1" t="str">
        <f>IFERROR(__xludf.DUMMYFUNCTION("""COMPUTED_VALUE"""),"GIGIO - PEDIDO MÍN. 400,00 (RIBEIRO)")</f>
        <v>GIGIO - PEDIDO MÍN. 400,00 (RIBEIRO)</v>
      </c>
      <c r="E19" s="1" t="str">
        <f>IFERROR(__xludf.DUMMYFUNCTION("""COMPUTED_VALUE"""),"COPO SCADA TERMICO LOGO 240ML")</f>
        <v>COPO SCADA TERMICO LOGO 240ML</v>
      </c>
      <c r="F19" s="1" t="str">
        <f>IFERROR(__xludf.DUMMYFUNCTION("""COMPUTED_VALUE"""),"FD")</f>
        <v>FD</v>
      </c>
      <c r="G19" s="2">
        <f>IFERROR(__xludf.DUMMYFUNCTION("""COMPUTED_VALUE"""),50.0)</f>
        <v>50</v>
      </c>
      <c r="H19" s="2">
        <f>IFERROR(__xludf.DUMMYFUNCTION("""COMPUTED_VALUE"""),0.0)</f>
        <v>0</v>
      </c>
      <c r="I19" s="1"/>
      <c r="J19" s="2">
        <f>IFERROR(__xludf.DUMMYFUNCTION("""COMPUTED_VALUE"""),0.0)</f>
        <v>0</v>
      </c>
      <c r="K19" s="2">
        <f>IFERROR(__xludf.DUMMYFUNCTION("""COMPUTED_VALUE"""),0.0)</f>
        <v>0</v>
      </c>
      <c r="L19" s="1"/>
      <c r="M19" s="3" t="str">
        <f>IFERROR(__xludf.DUMMYFUNCTION("""COMPUTED_VALUE"""),"")</f>
        <v/>
      </c>
      <c r="N19" s="1"/>
      <c r="O19" s="2" t="str">
        <f>IFERROR(__xludf.DUMMYFUNCTION("""COMPUTED_VALUE"""),"")</f>
        <v/>
      </c>
      <c r="P19" s="2">
        <f>IFERROR(__xludf.DUMMYFUNCTION("""COMPUTED_VALUE"""),0.0)</f>
        <v>0</v>
      </c>
      <c r="Q19" s="1"/>
      <c r="R19" s="1"/>
      <c r="S19" s="1"/>
      <c r="T19" s="1">
        <f>IFERROR(__xludf.DUMMYFUNCTION("""COMPUTED_VALUE"""),156.0)</f>
        <v>156</v>
      </c>
    </row>
    <row r="20">
      <c r="A20" s="1"/>
      <c r="B20" s="1"/>
      <c r="C20" s="1" t="str">
        <f>IFERROR(__xludf.DUMMYFUNCTION("""COMPUTED_VALUE"""),"-")</f>
        <v>-</v>
      </c>
      <c r="D20" s="1" t="str">
        <f>IFERROR(__xludf.DUMMYFUNCTION("""COMPUTED_VALUE"""),"GIGIO - PEDIDO MÍN. 400,00 (RIBEIRO)")</f>
        <v>GIGIO - PEDIDO MÍN. 400,00 (RIBEIRO)</v>
      </c>
      <c r="E20" s="1" t="str">
        <f>IFERROR(__xludf.DUMMYFUNCTION("""COMPUTED_VALUE"""),"COPO SCADA PET LOGO 440ML")</f>
        <v>COPO SCADA PET LOGO 440ML</v>
      </c>
      <c r="F20" s="1" t="str">
        <f>IFERROR(__xludf.DUMMYFUNCTION("""COMPUTED_VALUE"""),"FD")</f>
        <v>FD</v>
      </c>
      <c r="G20" s="2">
        <f>IFERROR(__xludf.DUMMYFUNCTION("""COMPUTED_VALUE"""),50.0)</f>
        <v>50</v>
      </c>
      <c r="H20" s="2">
        <f>IFERROR(__xludf.DUMMYFUNCTION("""COMPUTED_VALUE"""),0.0)</f>
        <v>0</v>
      </c>
      <c r="I20" s="1"/>
      <c r="J20" s="2">
        <f>IFERROR(__xludf.DUMMYFUNCTION("""COMPUTED_VALUE"""),0.0)</f>
        <v>0</v>
      </c>
      <c r="K20" s="2">
        <f>IFERROR(__xludf.DUMMYFUNCTION("""COMPUTED_VALUE"""),0.0)</f>
        <v>0</v>
      </c>
      <c r="L20" s="1"/>
      <c r="M20" s="3" t="str">
        <f>IFERROR(__xludf.DUMMYFUNCTION("""COMPUTED_VALUE"""),"")</f>
        <v/>
      </c>
      <c r="N20" s="1"/>
      <c r="O20" s="2" t="str">
        <f>IFERROR(__xludf.DUMMYFUNCTION("""COMPUTED_VALUE"""),"")</f>
        <v/>
      </c>
      <c r="P20" s="2">
        <f>IFERROR(__xludf.DUMMYFUNCTION("""COMPUTED_VALUE"""),0.0)</f>
        <v>0</v>
      </c>
      <c r="Q20" s="1"/>
      <c r="R20" s="1"/>
      <c r="S20" s="1"/>
      <c r="T20" s="1">
        <f>IFERROR(__xludf.DUMMYFUNCTION("""COMPUTED_VALUE"""),458.0)</f>
        <v>458</v>
      </c>
    </row>
    <row r="21">
      <c r="A21" s="1"/>
      <c r="B21" s="1"/>
      <c r="C21" s="1" t="str">
        <f>IFERROR(__xludf.DUMMYFUNCTION("""COMPUTED_VALUE"""),"-")</f>
        <v>-</v>
      </c>
      <c r="D21" s="1" t="str">
        <f>IFERROR(__xludf.DUMMYFUNCTION("""COMPUTED_VALUE"""),"GIGIO - PEDIDO MÍN. 400,00 (RIBEIRO)")</f>
        <v>GIGIO - PEDIDO MÍN. 400,00 (RIBEIRO)</v>
      </c>
      <c r="E21" s="1" t="str">
        <f>IFERROR(__xludf.DUMMYFUNCTION("""COMPUTED_VALUE"""),"TAMPA COPO SCADA 120 ML")</f>
        <v>TAMPA COPO SCADA 120 ML</v>
      </c>
      <c r="F21" s="1" t="str">
        <f>IFERROR(__xludf.DUMMYFUNCTION("""COMPUTED_VALUE"""),"FD")</f>
        <v>FD</v>
      </c>
      <c r="G21" s="2">
        <f>IFERROR(__xludf.DUMMYFUNCTION("""COMPUTED_VALUE"""),50.0)</f>
        <v>50</v>
      </c>
      <c r="H21" s="2">
        <f>IFERROR(__xludf.DUMMYFUNCTION("""COMPUTED_VALUE"""),0.0)</f>
        <v>0</v>
      </c>
      <c r="I21" s="1"/>
      <c r="J21" s="2">
        <f>IFERROR(__xludf.DUMMYFUNCTION("""COMPUTED_VALUE"""),0.0)</f>
        <v>0</v>
      </c>
      <c r="K21" s="2">
        <f>IFERROR(__xludf.DUMMYFUNCTION("""COMPUTED_VALUE"""),0.0)</f>
        <v>0</v>
      </c>
      <c r="L21" s="1"/>
      <c r="M21" s="3" t="str">
        <f>IFERROR(__xludf.DUMMYFUNCTION("""COMPUTED_VALUE"""),"")</f>
        <v/>
      </c>
      <c r="N21" s="1"/>
      <c r="O21" s="2" t="str">
        <f>IFERROR(__xludf.DUMMYFUNCTION("""COMPUTED_VALUE"""),"")</f>
        <v/>
      </c>
      <c r="P21" s="2">
        <f>IFERROR(__xludf.DUMMYFUNCTION("""COMPUTED_VALUE"""),0.0)</f>
        <v>0</v>
      </c>
      <c r="Q21" s="1"/>
      <c r="R21" s="1"/>
      <c r="S21" s="1"/>
      <c r="T21" s="1">
        <f>IFERROR(__xludf.DUMMYFUNCTION("""COMPUTED_VALUE"""),157.0)</f>
        <v>157</v>
      </c>
    </row>
    <row r="22">
      <c r="A22" s="1"/>
      <c r="B22" s="1"/>
      <c r="C22" s="1" t="str">
        <f>IFERROR(__xludf.DUMMYFUNCTION("""COMPUTED_VALUE"""),"-")</f>
        <v>-</v>
      </c>
      <c r="D22" s="1" t="str">
        <f>IFERROR(__xludf.DUMMYFUNCTION("""COMPUTED_VALUE"""),"GIGIO - PEDIDO MÍN. 400,00 (RIBEIRO)")</f>
        <v>GIGIO - PEDIDO MÍN. 400,00 (RIBEIRO)</v>
      </c>
      <c r="E22" s="1" t="str">
        <f>IFERROR(__xludf.DUMMYFUNCTION("""COMPUTED_VALUE"""),"TAMPA COPO SCADA 240ML")</f>
        <v>TAMPA COPO SCADA 240ML</v>
      </c>
      <c r="F22" s="1" t="str">
        <f>IFERROR(__xludf.DUMMYFUNCTION("""COMPUTED_VALUE"""),"FD")</f>
        <v>FD</v>
      </c>
      <c r="G22" s="2">
        <f>IFERROR(__xludf.DUMMYFUNCTION("""COMPUTED_VALUE"""),50.0)</f>
        <v>50</v>
      </c>
      <c r="H22" s="2">
        <f>IFERROR(__xludf.DUMMYFUNCTION("""COMPUTED_VALUE"""),0.0)</f>
        <v>0</v>
      </c>
      <c r="I22" s="1"/>
      <c r="J22" s="2">
        <f>IFERROR(__xludf.DUMMYFUNCTION("""COMPUTED_VALUE"""),0.0)</f>
        <v>0</v>
      </c>
      <c r="K22" s="2">
        <f>IFERROR(__xludf.DUMMYFUNCTION("""COMPUTED_VALUE"""),0.0)</f>
        <v>0</v>
      </c>
      <c r="L22" s="1"/>
      <c r="M22" s="3" t="str">
        <f>IFERROR(__xludf.DUMMYFUNCTION("""COMPUTED_VALUE"""),"")</f>
        <v/>
      </c>
      <c r="N22" s="1"/>
      <c r="O22" s="2" t="str">
        <f>IFERROR(__xludf.DUMMYFUNCTION("""COMPUTED_VALUE"""),"")</f>
        <v/>
      </c>
      <c r="P22" s="2">
        <f>IFERROR(__xludf.DUMMYFUNCTION("""COMPUTED_VALUE"""),0.0)</f>
        <v>0</v>
      </c>
      <c r="Q22" s="1"/>
      <c r="R22" s="1"/>
      <c r="S22" s="1"/>
      <c r="T22" s="1">
        <f>IFERROR(__xludf.DUMMYFUNCTION("""COMPUTED_VALUE"""),158.0)</f>
        <v>158</v>
      </c>
    </row>
    <row r="23">
      <c r="A23" s="1"/>
      <c r="B23" s="1"/>
      <c r="C23" s="1" t="str">
        <f>IFERROR(__xludf.DUMMYFUNCTION("""COMPUTED_VALUE"""),"-")</f>
        <v>-</v>
      </c>
      <c r="D23" s="1" t="str">
        <f>IFERROR(__xludf.DUMMYFUNCTION("""COMPUTED_VALUE"""),"GIGIO - PEDIDO MÍN. 400,00 (RIBEIRO)")</f>
        <v>GIGIO - PEDIDO MÍN. 400,00 (RIBEIRO)</v>
      </c>
      <c r="E23" s="1" t="str">
        <f>IFERROR(__xludf.DUMMYFUNCTION("""COMPUTED_VALUE"""),"TAMPA RETA COPO SCADA 440ML")</f>
        <v>TAMPA RETA COPO SCADA 440ML</v>
      </c>
      <c r="F23" s="1" t="str">
        <f>IFERROR(__xludf.DUMMYFUNCTION("""COMPUTED_VALUE"""),"FD")</f>
        <v>FD</v>
      </c>
      <c r="G23" s="2">
        <f>IFERROR(__xludf.DUMMYFUNCTION("""COMPUTED_VALUE"""),50.0)</f>
        <v>50</v>
      </c>
      <c r="H23" s="2">
        <f>IFERROR(__xludf.DUMMYFUNCTION("""COMPUTED_VALUE"""),0.0)</f>
        <v>0</v>
      </c>
      <c r="I23" s="1"/>
      <c r="J23" s="2">
        <f>IFERROR(__xludf.DUMMYFUNCTION("""COMPUTED_VALUE"""),0.0)</f>
        <v>0</v>
      </c>
      <c r="K23" s="2">
        <f>IFERROR(__xludf.DUMMYFUNCTION("""COMPUTED_VALUE"""),0.0)</f>
        <v>0</v>
      </c>
      <c r="L23" s="1"/>
      <c r="M23" s="3" t="str">
        <f>IFERROR(__xludf.DUMMYFUNCTION("""COMPUTED_VALUE"""),"")</f>
        <v/>
      </c>
      <c r="N23" s="1"/>
      <c r="O23" s="2" t="str">
        <f>IFERROR(__xludf.DUMMYFUNCTION("""COMPUTED_VALUE"""),"")</f>
        <v/>
      </c>
      <c r="P23" s="2">
        <f>IFERROR(__xludf.DUMMYFUNCTION("""COMPUTED_VALUE"""),0.0)</f>
        <v>0</v>
      </c>
      <c r="Q23" s="1"/>
      <c r="R23" s="1"/>
      <c r="S23" s="1"/>
      <c r="T23" s="1">
        <f>IFERROR(__xludf.DUMMYFUNCTION("""COMPUTED_VALUE"""),460.0)</f>
        <v>460</v>
      </c>
    </row>
    <row r="24">
      <c r="A24" s="1"/>
      <c r="B24" s="1"/>
      <c r="C24" s="1" t="str">
        <f>IFERROR(__xludf.DUMMYFUNCTION("""COMPUTED_VALUE"""),"-")</f>
        <v>-</v>
      </c>
      <c r="D24" s="1" t="str">
        <f>IFERROR(__xludf.DUMMYFUNCTION("""COMPUTED_VALUE"""),"GIGIO - PEDIDO MÍN. 400,00 (RIBEIRO)")</f>
        <v>GIGIO - PEDIDO MÍN. 400,00 (RIBEIRO)</v>
      </c>
      <c r="E24" s="1" t="str">
        <f>IFERROR(__xludf.DUMMYFUNCTION("""COMPUTED_VALUE"""),"BOMBA DOSADORA")</f>
        <v>BOMBA DOSADORA</v>
      </c>
      <c r="F24" s="1" t="str">
        <f>IFERROR(__xludf.DUMMYFUNCTION("""COMPUTED_VALUE"""),"UN")</f>
        <v>UN</v>
      </c>
      <c r="G24" s="2">
        <f>IFERROR(__xludf.DUMMYFUNCTION("""COMPUTED_VALUE"""),1.0)</f>
        <v>1</v>
      </c>
      <c r="H24" s="2">
        <f>IFERROR(__xludf.DUMMYFUNCTION("""COMPUTED_VALUE"""),0.0)</f>
        <v>0</v>
      </c>
      <c r="I24" s="1"/>
      <c r="J24" s="2">
        <f>IFERROR(__xludf.DUMMYFUNCTION("""COMPUTED_VALUE"""),0.0)</f>
        <v>0</v>
      </c>
      <c r="K24" s="2">
        <f>IFERROR(__xludf.DUMMYFUNCTION("""COMPUTED_VALUE"""),0.0)</f>
        <v>0</v>
      </c>
      <c r="L24" s="1"/>
      <c r="M24" s="3" t="str">
        <f>IFERROR(__xludf.DUMMYFUNCTION("""COMPUTED_VALUE"""),"")</f>
        <v/>
      </c>
      <c r="N24" s="1"/>
      <c r="O24" s="2" t="str">
        <f>IFERROR(__xludf.DUMMYFUNCTION("""COMPUTED_VALUE"""),"")</f>
        <v/>
      </c>
      <c r="P24" s="2">
        <f>IFERROR(__xludf.DUMMYFUNCTION("""COMPUTED_VALUE"""),0.0)</f>
        <v>0</v>
      </c>
      <c r="Q24" s="1"/>
      <c r="R24" s="1"/>
      <c r="S24" s="1"/>
      <c r="T24" s="1">
        <f>IFERROR(__xludf.DUMMYFUNCTION("""COMPUTED_VALUE"""),427.0)</f>
        <v>427</v>
      </c>
    </row>
    <row r="25">
      <c r="A25" s="1"/>
      <c r="B25" s="1"/>
      <c r="C25" s="1" t="str">
        <f>IFERROR(__xludf.DUMMYFUNCTION("""COMPUTED_VALUE"""),"-")</f>
        <v>-</v>
      </c>
      <c r="D25" s="1" t="str">
        <f>IFERROR(__xludf.DUMMYFUNCTION("""COMPUTED_VALUE"""),"GIGIO - PEDIDO MÍN. 400,00 (RIBEIRO)")</f>
        <v>GIGIO - PEDIDO MÍN. 400,00 (RIBEIRO)</v>
      </c>
      <c r="E25" s="1" t="str">
        <f>IFERROR(__xludf.DUMMYFUNCTION("""COMPUTED_VALUE"""),"GUARDANAPO SCADA")</f>
        <v>GUARDANAPO SCADA</v>
      </c>
      <c r="F25" s="1" t="str">
        <f>IFERROR(__xludf.DUMMYFUNCTION("""COMPUTED_VALUE"""),"CX")</f>
        <v>CX</v>
      </c>
      <c r="G25" s="2">
        <f>IFERROR(__xludf.DUMMYFUNCTION("""COMPUTED_VALUE"""),2400.0)</f>
        <v>2400</v>
      </c>
      <c r="H25" s="2">
        <f>IFERROR(__xludf.DUMMYFUNCTION("""COMPUTED_VALUE"""),0.0)</f>
        <v>0</v>
      </c>
      <c r="I25" s="1"/>
      <c r="J25" s="2">
        <f>IFERROR(__xludf.DUMMYFUNCTION("""COMPUTED_VALUE"""),0.0)</f>
        <v>0</v>
      </c>
      <c r="K25" s="2">
        <f>IFERROR(__xludf.DUMMYFUNCTION("""COMPUTED_VALUE"""),0.0)</f>
        <v>0</v>
      </c>
      <c r="L25" s="1"/>
      <c r="M25" s="3" t="str">
        <f>IFERROR(__xludf.DUMMYFUNCTION("""COMPUTED_VALUE"""),"")</f>
        <v/>
      </c>
      <c r="N25" s="1"/>
      <c r="O25" s="2" t="str">
        <f>IFERROR(__xludf.DUMMYFUNCTION("""COMPUTED_VALUE"""),"")</f>
        <v/>
      </c>
      <c r="P25" s="2">
        <f>IFERROR(__xludf.DUMMYFUNCTION("""COMPUTED_VALUE"""),0.0)</f>
        <v>0</v>
      </c>
      <c r="Q25" s="1"/>
      <c r="R25" s="1"/>
      <c r="S25" s="1"/>
      <c r="T25" s="1">
        <f>IFERROR(__xludf.DUMMYFUNCTION("""COMPUTED_VALUE"""),161.0)</f>
        <v>161</v>
      </c>
    </row>
    <row r="26">
      <c r="A26" s="1"/>
      <c r="B26" s="1"/>
      <c r="C26" s="1" t="str">
        <f>IFERROR(__xludf.DUMMYFUNCTION("""COMPUTED_VALUE"""),"-")</f>
        <v>-</v>
      </c>
      <c r="D26" s="1" t="str">
        <f>IFERROR(__xludf.DUMMYFUNCTION("""COMPUTED_VALUE"""),"GIGIO - PEDIDO MÍN. 400,00 (RIBEIRO)")</f>
        <v>GIGIO - PEDIDO MÍN. 400,00 (RIBEIRO)</v>
      </c>
      <c r="E26" s="1" t="str">
        <f>IFERROR(__xludf.DUMMYFUNCTION("""COMPUTED_VALUE"""),"FILTRO V60")</f>
        <v>FILTRO V60</v>
      </c>
      <c r="F26" s="1" t="str">
        <f>IFERROR(__xludf.DUMMYFUNCTION("""COMPUTED_VALUE"""),"CX")</f>
        <v>CX</v>
      </c>
      <c r="G26" s="2">
        <f>IFERROR(__xludf.DUMMYFUNCTION("""COMPUTED_VALUE"""),100.0)</f>
        <v>100</v>
      </c>
      <c r="H26" s="2">
        <f>IFERROR(__xludf.DUMMYFUNCTION("""COMPUTED_VALUE"""),0.0)</f>
        <v>0</v>
      </c>
      <c r="I26" s="1"/>
      <c r="J26" s="2">
        <f>IFERROR(__xludf.DUMMYFUNCTION("""COMPUTED_VALUE"""),1.0)</f>
        <v>1</v>
      </c>
      <c r="K26" s="2">
        <f>IFERROR(__xludf.DUMMYFUNCTION("""COMPUTED_VALUE"""),0.0)</f>
        <v>0</v>
      </c>
      <c r="L26" s="1"/>
      <c r="M26" s="3">
        <f>IFERROR(__xludf.DUMMYFUNCTION("""COMPUTED_VALUE"""),131.0)</f>
        <v>131</v>
      </c>
      <c r="N26" s="1"/>
      <c r="O26" s="2" t="str">
        <f>IFERROR(__xludf.DUMMYFUNCTION("""COMPUTED_VALUE"""),"")</f>
        <v/>
      </c>
      <c r="P26" s="2">
        <f>IFERROR(__xludf.DUMMYFUNCTION("""COMPUTED_VALUE"""),1.0)</f>
        <v>1</v>
      </c>
      <c r="Q26" s="1"/>
      <c r="R26" s="1"/>
      <c r="S26" s="1"/>
      <c r="T26" s="1">
        <f>IFERROR(__xludf.DUMMYFUNCTION("""COMPUTED_VALUE"""),793.0)</f>
        <v>793</v>
      </c>
    </row>
    <row r="27">
      <c r="A27" s="1"/>
      <c r="B27" s="1"/>
      <c r="C27" s="1" t="str">
        <f>IFERROR(__xludf.DUMMYFUNCTION("""COMPUTED_VALUE"""),"-")</f>
        <v>-</v>
      </c>
      <c r="D27" s="1" t="str">
        <f>IFERROR(__xludf.DUMMYFUNCTION("""COMPUTED_VALUE"""),"GIGIO - PEDIDO MÍN. 400,00 (RIBEIRO)")</f>
        <v>GIGIO - PEDIDO MÍN. 400,00 (RIBEIRO)</v>
      </c>
      <c r="E27" s="1" t="str">
        <f>IFERROR(__xludf.DUMMYFUNCTION("""COMPUTED_VALUE"""),"PAPEL ANTI GORDURA SCADA")</f>
        <v>PAPEL ANTI GORDURA SCADA</v>
      </c>
      <c r="F27" s="1" t="str">
        <f>IFERROR(__xludf.DUMMYFUNCTION("""COMPUTED_VALUE"""),"CX")</f>
        <v>CX</v>
      </c>
      <c r="G27" s="2">
        <f>IFERROR(__xludf.DUMMYFUNCTION("""COMPUTED_VALUE"""),500.0)</f>
        <v>500</v>
      </c>
      <c r="H27" s="2">
        <f>IFERROR(__xludf.DUMMYFUNCTION("""COMPUTED_VALUE"""),0.0)</f>
        <v>0</v>
      </c>
      <c r="I27" s="1"/>
      <c r="J27" s="2">
        <f>IFERROR(__xludf.DUMMYFUNCTION("""COMPUTED_VALUE"""),0.0)</f>
        <v>0</v>
      </c>
      <c r="K27" s="2">
        <f>IFERROR(__xludf.DUMMYFUNCTION("""COMPUTED_VALUE"""),0.0)</f>
        <v>0</v>
      </c>
      <c r="L27" s="1"/>
      <c r="M27" s="3" t="str">
        <f>IFERROR(__xludf.DUMMYFUNCTION("""COMPUTED_VALUE"""),"")</f>
        <v/>
      </c>
      <c r="N27" s="1"/>
      <c r="O27" s="2" t="str">
        <f>IFERROR(__xludf.DUMMYFUNCTION("""COMPUTED_VALUE"""),"")</f>
        <v/>
      </c>
      <c r="P27" s="2">
        <f>IFERROR(__xludf.DUMMYFUNCTION("""COMPUTED_VALUE"""),0.0)</f>
        <v>0</v>
      </c>
      <c r="Q27" s="1"/>
      <c r="R27" s="1"/>
      <c r="S27" s="1"/>
      <c r="T27" s="1">
        <f>IFERROR(__xludf.DUMMYFUNCTION("""COMPUTED_VALUE"""),560.0)</f>
        <v>560</v>
      </c>
    </row>
    <row r="28">
      <c r="A28" s="1"/>
      <c r="B28" s="1"/>
      <c r="C28" s="1" t="str">
        <f>IFERROR(__xludf.DUMMYFUNCTION("""COMPUTED_VALUE"""),"-")</f>
        <v>-</v>
      </c>
      <c r="D28" s="1" t="str">
        <f>IFERROR(__xludf.DUMMYFUNCTION("""COMPUTED_VALUE"""),"GIGIO - PEDIDO MÍN. 400,00 (RIBEIRO)")</f>
        <v>GIGIO - PEDIDO MÍN. 400,00 (RIBEIRO)</v>
      </c>
      <c r="E28" s="1" t="str">
        <f>IFERROR(__xludf.DUMMYFUNCTION("""COMPUTED_VALUE"""),"SACO TALHER SCADA")</f>
        <v>SACO TALHER SCADA</v>
      </c>
      <c r="F28" s="1" t="str">
        <f>IFERROR(__xludf.DUMMYFUNCTION("""COMPUTED_VALUE"""),"PCT")</f>
        <v>PCT</v>
      </c>
      <c r="G28" s="2">
        <f>IFERROR(__xludf.DUMMYFUNCTION("""COMPUTED_VALUE"""),500.0)</f>
        <v>500</v>
      </c>
      <c r="H28" s="2">
        <f>IFERROR(__xludf.DUMMYFUNCTION("""COMPUTED_VALUE"""),0.0)</f>
        <v>0</v>
      </c>
      <c r="I28" s="1"/>
      <c r="J28" s="2">
        <f>IFERROR(__xludf.DUMMYFUNCTION("""COMPUTED_VALUE"""),0.0)</f>
        <v>0</v>
      </c>
      <c r="K28" s="2">
        <f>IFERROR(__xludf.DUMMYFUNCTION("""COMPUTED_VALUE"""),0.0)</f>
        <v>0</v>
      </c>
      <c r="L28" s="1"/>
      <c r="M28" s="3" t="str">
        <f>IFERROR(__xludf.DUMMYFUNCTION("""COMPUTED_VALUE"""),"")</f>
        <v/>
      </c>
      <c r="N28" s="1"/>
      <c r="O28" s="2" t="str">
        <f>IFERROR(__xludf.DUMMYFUNCTION("""COMPUTED_VALUE"""),"")</f>
        <v/>
      </c>
      <c r="P28" s="2">
        <f>IFERROR(__xludf.DUMMYFUNCTION("""COMPUTED_VALUE"""),0.0)</f>
        <v>0</v>
      </c>
      <c r="Q28" s="1"/>
      <c r="R28" s="1"/>
      <c r="S28" s="1"/>
      <c r="T28" s="1">
        <f>IFERROR(__xludf.DUMMYFUNCTION("""COMPUTED_VALUE"""),685.0)</f>
        <v>685</v>
      </c>
    </row>
    <row r="29">
      <c r="A29" s="1"/>
      <c r="B29" s="1"/>
      <c r="C29" s="1" t="str">
        <f>IFERROR(__xludf.DUMMYFUNCTION("""COMPUTED_VALUE"""),"-")</f>
        <v>-</v>
      </c>
      <c r="D29" s="1" t="str">
        <f>IFERROR(__xludf.DUMMYFUNCTION("""COMPUTED_VALUE"""),"GIGIO - PEDIDO MÍN. 400,00 (RIBEIRO)")</f>
        <v>GIGIO - PEDIDO MÍN. 400,00 (RIBEIRO)</v>
      </c>
      <c r="E29" s="1" t="str">
        <f>IFERROR(__xludf.DUMMYFUNCTION("""COMPUTED_VALUE"""),"SACO SCADA VIAGEM G")</f>
        <v>SACO SCADA VIAGEM G</v>
      </c>
      <c r="F29" s="1" t="str">
        <f>IFERROR(__xludf.DUMMYFUNCTION("""COMPUTED_VALUE"""),"PCT")</f>
        <v>PCT</v>
      </c>
      <c r="G29" s="2">
        <f>IFERROR(__xludf.DUMMYFUNCTION("""COMPUTED_VALUE"""),100.0)</f>
        <v>100</v>
      </c>
      <c r="H29" s="2">
        <f>IFERROR(__xludf.DUMMYFUNCTION("""COMPUTED_VALUE"""),0.0)</f>
        <v>0</v>
      </c>
      <c r="I29" s="1"/>
      <c r="J29" s="2">
        <f>IFERROR(__xludf.DUMMYFUNCTION("""COMPUTED_VALUE"""),0.0)</f>
        <v>0</v>
      </c>
      <c r="K29" s="2">
        <f>IFERROR(__xludf.DUMMYFUNCTION("""COMPUTED_VALUE"""),0.0)</f>
        <v>0</v>
      </c>
      <c r="L29" s="1"/>
      <c r="M29" s="3" t="str">
        <f>IFERROR(__xludf.DUMMYFUNCTION("""COMPUTED_VALUE"""),"")</f>
        <v/>
      </c>
      <c r="N29" s="1"/>
      <c r="O29" s="2" t="str">
        <f>IFERROR(__xludf.DUMMYFUNCTION("""COMPUTED_VALUE"""),"")</f>
        <v/>
      </c>
      <c r="P29" s="2">
        <f>IFERROR(__xludf.DUMMYFUNCTION("""COMPUTED_VALUE"""),0.0)</f>
        <v>0</v>
      </c>
      <c r="Q29" s="1"/>
      <c r="R29" s="1"/>
      <c r="S29" s="1"/>
      <c r="T29" s="1">
        <f>IFERROR(__xludf.DUMMYFUNCTION("""COMPUTED_VALUE"""),154.0)</f>
        <v>154</v>
      </c>
    </row>
    <row r="30">
      <c r="A30" s="1"/>
      <c r="B30" s="1"/>
      <c r="C30" s="1" t="str">
        <f>IFERROR(__xludf.DUMMYFUNCTION("""COMPUTED_VALUE"""),"-")</f>
        <v>-</v>
      </c>
      <c r="D30" s="1" t="str">
        <f>IFERROR(__xludf.DUMMYFUNCTION("""COMPUTED_VALUE"""),"GIGIO - PEDIDO MÍN. 400,00 (RIBEIRO)")</f>
        <v>GIGIO - PEDIDO MÍN. 400,00 (RIBEIRO)</v>
      </c>
      <c r="E30" s="1" t="str">
        <f>IFERROR(__xludf.DUMMYFUNCTION("""COMPUTED_VALUE"""),"SACO SCADA VIAGEM P")</f>
        <v>SACO SCADA VIAGEM P</v>
      </c>
      <c r="F30" s="1" t="str">
        <f>IFERROR(__xludf.DUMMYFUNCTION("""COMPUTED_VALUE"""),"PCT")</f>
        <v>PCT</v>
      </c>
      <c r="G30" s="2">
        <f>IFERROR(__xludf.DUMMYFUNCTION("""COMPUTED_VALUE"""),500.0)</f>
        <v>500</v>
      </c>
      <c r="H30" s="2">
        <f>IFERROR(__xludf.DUMMYFUNCTION("""COMPUTED_VALUE"""),0.0)</f>
        <v>0</v>
      </c>
      <c r="I30" s="1"/>
      <c r="J30" s="2">
        <f>IFERROR(__xludf.DUMMYFUNCTION("""COMPUTED_VALUE"""),0.0)</f>
        <v>0</v>
      </c>
      <c r="K30" s="2">
        <f>IFERROR(__xludf.DUMMYFUNCTION("""COMPUTED_VALUE"""),0.0)</f>
        <v>0</v>
      </c>
      <c r="L30" s="1"/>
      <c r="M30" s="3" t="str">
        <f>IFERROR(__xludf.DUMMYFUNCTION("""COMPUTED_VALUE"""),"")</f>
        <v/>
      </c>
      <c r="N30" s="1"/>
      <c r="O30" s="2" t="str">
        <f>IFERROR(__xludf.DUMMYFUNCTION("""COMPUTED_VALUE"""),"")</f>
        <v/>
      </c>
      <c r="P30" s="2">
        <f>IFERROR(__xludf.DUMMYFUNCTION("""COMPUTED_VALUE"""),0.0)</f>
        <v>0</v>
      </c>
      <c r="Q30" s="1"/>
      <c r="R30" s="1"/>
      <c r="S30" s="1"/>
      <c r="T30" s="1">
        <f>IFERROR(__xludf.DUMMYFUNCTION("""COMPUTED_VALUE"""),153.0)</f>
        <v>153</v>
      </c>
    </row>
    <row r="31">
      <c r="A31" s="1"/>
      <c r="B31" s="1"/>
      <c r="C31" s="1" t="str">
        <f>IFERROR(__xludf.DUMMYFUNCTION("""COMPUTED_VALUE"""),"-")</f>
        <v>-</v>
      </c>
      <c r="D31" s="1" t="str">
        <f>IFERROR(__xludf.DUMMYFUNCTION("""COMPUTED_VALUE"""),"GIGIO - PEDIDO MÍN. 400,00 (RIBEIRO)")</f>
        <v>GIGIO - PEDIDO MÍN. 400,00 (RIBEIRO)</v>
      </c>
      <c r="E31" s="1" t="str">
        <f>IFERROR(__xludf.DUMMYFUNCTION("""COMPUTED_VALUE"""),"SACOLA EMPORIO SCADA")</f>
        <v>SACOLA EMPORIO SCADA</v>
      </c>
      <c r="F31" s="1" t="str">
        <f>IFERROR(__xludf.DUMMYFUNCTION("""COMPUTED_VALUE"""),"PCT")</f>
        <v>PCT</v>
      </c>
      <c r="G31" s="2">
        <f>IFERROR(__xludf.DUMMYFUNCTION("""COMPUTED_VALUE"""),100.0)</f>
        <v>100</v>
      </c>
      <c r="H31" s="2">
        <f>IFERROR(__xludf.DUMMYFUNCTION("""COMPUTED_VALUE"""),0.0)</f>
        <v>0</v>
      </c>
      <c r="I31" s="1"/>
      <c r="J31" s="2">
        <f>IFERROR(__xludf.DUMMYFUNCTION("""COMPUTED_VALUE"""),0.0)</f>
        <v>0</v>
      </c>
      <c r="K31" s="2">
        <f>IFERROR(__xludf.DUMMYFUNCTION("""COMPUTED_VALUE"""),0.0)</f>
        <v>0</v>
      </c>
      <c r="L31" s="1"/>
      <c r="M31" s="3" t="str">
        <f>IFERROR(__xludf.DUMMYFUNCTION("""COMPUTED_VALUE"""),"")</f>
        <v/>
      </c>
      <c r="N31" s="1"/>
      <c r="O31" s="2" t="str">
        <f>IFERROR(__xludf.DUMMYFUNCTION("""COMPUTED_VALUE"""),"")</f>
        <v/>
      </c>
      <c r="P31" s="2">
        <f>IFERROR(__xludf.DUMMYFUNCTION("""COMPUTED_VALUE"""),0.0)</f>
        <v>0</v>
      </c>
      <c r="Q31" s="1"/>
      <c r="R31" s="1"/>
      <c r="S31" s="1"/>
      <c r="T31" s="1">
        <f>IFERROR(__xludf.DUMMYFUNCTION("""COMPUTED_VALUE"""),347.0)</f>
        <v>347</v>
      </c>
    </row>
    <row r="32">
      <c r="A32" s="1"/>
      <c r="B32" s="1"/>
      <c r="C32" s="1" t="str">
        <f>IFERROR(__xludf.DUMMYFUNCTION("""COMPUTED_VALUE"""),"-")</f>
        <v>-</v>
      </c>
      <c r="D32" s="1" t="str">
        <f>IFERROR(__xludf.DUMMYFUNCTION("""COMPUTED_VALUE"""),"GIGIO - PEDIDO MÍN. 400,00 (RIBEIRO)")</f>
        <v>GIGIO - PEDIDO MÍN. 400,00 (RIBEIRO)</v>
      </c>
      <c r="E32" s="1" t="str">
        <f>IFERROR(__xludf.DUMMYFUNCTION("""COMPUTED_VALUE"""),"SACOLA ECO")</f>
        <v>SACOLA ECO</v>
      </c>
      <c r="F32" s="1" t="str">
        <f>IFERROR(__xludf.DUMMYFUNCTION("""COMPUTED_VALUE"""),"UN")</f>
        <v>UN</v>
      </c>
      <c r="G32" s="2">
        <f>IFERROR(__xludf.DUMMYFUNCTION("""COMPUTED_VALUE"""),1.0)</f>
        <v>1</v>
      </c>
      <c r="H32" s="2">
        <f>IFERROR(__xludf.DUMMYFUNCTION("""COMPUTED_VALUE"""),0.0)</f>
        <v>0</v>
      </c>
      <c r="I32" s="1"/>
      <c r="J32" s="2">
        <f>IFERROR(__xludf.DUMMYFUNCTION("""COMPUTED_VALUE"""),0.0)</f>
        <v>0</v>
      </c>
      <c r="K32" s="2">
        <f>IFERROR(__xludf.DUMMYFUNCTION("""COMPUTED_VALUE"""),0.0)</f>
        <v>0</v>
      </c>
      <c r="L32" s="1"/>
      <c r="M32" s="3" t="str">
        <f>IFERROR(__xludf.DUMMYFUNCTION("""COMPUTED_VALUE"""),"")</f>
        <v/>
      </c>
      <c r="N32" s="1"/>
      <c r="O32" s="2" t="str">
        <f>IFERROR(__xludf.DUMMYFUNCTION("""COMPUTED_VALUE"""),"")</f>
        <v/>
      </c>
      <c r="P32" s="2">
        <f>IFERROR(__xludf.DUMMYFUNCTION("""COMPUTED_VALUE"""),0.0)</f>
        <v>0</v>
      </c>
      <c r="Q32" s="1"/>
      <c r="R32" s="1"/>
      <c r="S32" s="1"/>
      <c r="T32" s="1">
        <f>IFERROR(__xludf.DUMMYFUNCTION("""COMPUTED_VALUE"""),1171.0)</f>
        <v>1171</v>
      </c>
    </row>
    <row r="33">
      <c r="A33" s="1"/>
      <c r="B33" s="1"/>
      <c r="C33" s="1" t="str">
        <f>IFERROR(__xludf.DUMMYFUNCTION("""COMPUTED_VALUE"""),"-")</f>
        <v>-</v>
      </c>
      <c r="D33" s="1" t="str">
        <f>IFERROR(__xludf.DUMMYFUNCTION("""COMPUTED_VALUE"""),"GIGIO - PEDIDO MÍN. 400,00 (RIBEIRO)")</f>
        <v>GIGIO - PEDIDO MÍN. 400,00 (RIBEIRO)</v>
      </c>
      <c r="E33" s="1" t="str">
        <f>IFERROR(__xludf.DUMMYFUNCTION("""COMPUTED_VALUE"""),"MATCHA")</f>
        <v>MATCHA</v>
      </c>
      <c r="F33" s="1" t="str">
        <f>IFERROR(__xludf.DUMMYFUNCTION("""COMPUTED_VALUE"""),"PCT")</f>
        <v>PCT</v>
      </c>
      <c r="G33" s="4">
        <f>IFERROR(__xludf.DUMMYFUNCTION("""COMPUTED_VALUE"""),0.51)</f>
        <v>0.51</v>
      </c>
      <c r="H33" s="2">
        <f>IFERROR(__xludf.DUMMYFUNCTION("""COMPUTED_VALUE"""),0.0)</f>
        <v>0</v>
      </c>
      <c r="I33" s="1"/>
      <c r="J33" s="2">
        <f>IFERROR(__xludf.DUMMYFUNCTION("""COMPUTED_VALUE"""),1.0)</f>
        <v>1</v>
      </c>
      <c r="K33" s="2">
        <f>IFERROR(__xludf.DUMMYFUNCTION("""COMPUTED_VALUE"""),0.0)</f>
        <v>0</v>
      </c>
      <c r="L33" s="1"/>
      <c r="M33" s="3">
        <f>IFERROR(__xludf.DUMMYFUNCTION("""COMPUTED_VALUE"""),0.56)</f>
        <v>0.56</v>
      </c>
      <c r="N33" s="1"/>
      <c r="O33" s="2" t="str">
        <f>IFERROR(__xludf.DUMMYFUNCTION("""COMPUTED_VALUE"""),"")</f>
        <v/>
      </c>
      <c r="P33" s="2">
        <f>IFERROR(__xludf.DUMMYFUNCTION("""COMPUTED_VALUE"""),1.0)</f>
        <v>1</v>
      </c>
      <c r="Q33" s="1"/>
      <c r="R33" s="1"/>
      <c r="S33" s="1"/>
      <c r="T33" s="1">
        <f>IFERROR(__xludf.DUMMYFUNCTION("""COMPUTED_VALUE"""),1241.0)</f>
        <v>1241</v>
      </c>
    </row>
    <row r="34">
      <c r="A34" s="1"/>
      <c r="B34" s="1"/>
      <c r="C34" s="1" t="str">
        <f>IFERROR(__xludf.DUMMYFUNCTION("""COMPUTED_VALUE"""),"-")</f>
        <v>-</v>
      </c>
      <c r="D34" s="1" t="str">
        <f>IFERROR(__xludf.DUMMYFUNCTION("""COMPUTED_VALUE"""),"GIGIO - PEDIDO MÍN. 400,00 (RIBEIRO)")</f>
        <v>GIGIO - PEDIDO MÍN. 400,00 (RIBEIRO)</v>
      </c>
      <c r="E34" s="1" t="str">
        <f>IFERROR(__xludf.DUMMYFUNCTION("""COMPUTED_VALUE"""),"PORTA FILTRO CONICO PRETO TRANSLUCIDO 02")</f>
        <v>PORTA FILTRO CONICO PRETO TRANSLUCIDO 02</v>
      </c>
      <c r="F34" s="1" t="str">
        <f>IFERROR(__xludf.DUMMYFUNCTION("""COMPUTED_VALUE"""),"UN")</f>
        <v>UN</v>
      </c>
      <c r="G34" s="2">
        <f>IFERROR(__xludf.DUMMYFUNCTION("""COMPUTED_VALUE"""),1.0)</f>
        <v>1</v>
      </c>
      <c r="H34" s="2">
        <f>IFERROR(__xludf.DUMMYFUNCTION("""COMPUTED_VALUE"""),0.0)</f>
        <v>0</v>
      </c>
      <c r="I34" s="1"/>
      <c r="J34" s="2">
        <f>IFERROR(__xludf.DUMMYFUNCTION("""COMPUTED_VALUE"""),0.0)</f>
        <v>0</v>
      </c>
      <c r="K34" s="2">
        <f>IFERROR(__xludf.DUMMYFUNCTION("""COMPUTED_VALUE"""),0.0)</f>
        <v>0</v>
      </c>
      <c r="L34" s="1"/>
      <c r="M34" s="3" t="str">
        <f>IFERROR(__xludf.DUMMYFUNCTION("""COMPUTED_VALUE"""),"")</f>
        <v/>
      </c>
      <c r="N34" s="1"/>
      <c r="O34" s="2" t="str">
        <f>IFERROR(__xludf.DUMMYFUNCTION("""COMPUTED_VALUE"""),"")</f>
        <v/>
      </c>
      <c r="P34" s="2">
        <f>IFERROR(__xludf.DUMMYFUNCTION("""COMPUTED_VALUE"""),0.0)</f>
        <v>0</v>
      </c>
      <c r="Q34" s="1"/>
      <c r="R34" s="1"/>
      <c r="S34" s="1"/>
      <c r="T34" s="1">
        <f>IFERROR(__xludf.DUMMYFUNCTION("""COMPUTED_VALUE"""),676.0)</f>
        <v>676</v>
      </c>
    </row>
    <row r="35">
      <c r="A35" s="1"/>
      <c r="B35" s="1"/>
      <c r="C35" s="1" t="str">
        <f>IFERROR(__xludf.DUMMYFUNCTION("""COMPUTED_VALUE"""),"-")</f>
        <v>-</v>
      </c>
      <c r="D35" s="1" t="str">
        <f>IFERROR(__xludf.DUMMYFUNCTION("""COMPUTED_VALUE"""),"GIGIO - PEDIDO MÍN. 400,00 (RIBEIRO)")</f>
        <v>GIGIO - PEDIDO MÍN. 400,00 (RIBEIRO)</v>
      </c>
      <c r="E35" s="1" t="str">
        <f>IFERROR(__xludf.DUMMYFUNCTION("""COMPUTED_VALUE"""),"BONÉ")</f>
        <v>BONÉ</v>
      </c>
      <c r="F35" s="1" t="str">
        <f>IFERROR(__xludf.DUMMYFUNCTION("""COMPUTED_VALUE"""),"UN")</f>
        <v>UN</v>
      </c>
      <c r="G35" s="2">
        <f>IFERROR(__xludf.DUMMYFUNCTION("""COMPUTED_VALUE"""),1.0)</f>
        <v>1</v>
      </c>
      <c r="H35" s="2">
        <f>IFERROR(__xludf.DUMMYFUNCTION("""COMPUTED_VALUE"""),0.0)</f>
        <v>0</v>
      </c>
      <c r="I35" s="1"/>
      <c r="J35" s="2">
        <f>IFERROR(__xludf.DUMMYFUNCTION("""COMPUTED_VALUE"""),0.0)</f>
        <v>0</v>
      </c>
      <c r="K35" s="2">
        <f>IFERROR(__xludf.DUMMYFUNCTION("""COMPUTED_VALUE"""),0.0)</f>
        <v>0</v>
      </c>
      <c r="L35" s="1"/>
      <c r="M35" s="3" t="str">
        <f>IFERROR(__xludf.DUMMYFUNCTION("""COMPUTED_VALUE"""),"")</f>
        <v/>
      </c>
      <c r="N35" s="1"/>
      <c r="O35" s="2" t="str">
        <f>IFERROR(__xludf.DUMMYFUNCTION("""COMPUTED_VALUE"""),"")</f>
        <v/>
      </c>
      <c r="P35" s="2">
        <f>IFERROR(__xludf.DUMMYFUNCTION("""COMPUTED_VALUE"""),0.0)</f>
        <v>0</v>
      </c>
      <c r="Q35" s="1"/>
      <c r="R35" s="1"/>
      <c r="S35" s="1"/>
      <c r="T35" s="1" t="str">
        <f>IFERROR(__xludf.DUMMYFUNCTION("""COMPUTED_VALUE"""),"Não Localizado")</f>
        <v>Não Localizado</v>
      </c>
    </row>
    <row r="36">
      <c r="A36" s="1"/>
      <c r="B36" s="1"/>
      <c r="C36" s="1" t="str">
        <f>IFERROR(__xludf.DUMMYFUNCTION("""COMPUTED_VALUE"""),"-")</f>
        <v>-</v>
      </c>
      <c r="D36" s="1" t="str">
        <f>IFERROR(__xludf.DUMMYFUNCTION("""COMPUTED_VALUE"""),"EMPORIO DAS TORTAS")</f>
        <v>EMPORIO DAS TORTAS</v>
      </c>
      <c r="E36" s="1" t="str">
        <f>IFERROR(__xludf.DUMMYFUNCTION("""COMPUTED_VALUE"""),"TORTA FRANGO COM REQUELÃO")</f>
        <v>TORTA FRANGO COM REQUELÃO</v>
      </c>
      <c r="F36" s="1" t="str">
        <f>IFERROR(__xludf.DUMMYFUNCTION("""COMPUTED_VALUE"""),"CX")</f>
        <v>CX</v>
      </c>
      <c r="G36" s="2">
        <f>IFERROR(__xludf.DUMMYFUNCTION("""COMPUTED_VALUE"""),24.0)</f>
        <v>24</v>
      </c>
      <c r="H36" s="2">
        <f>IFERROR(__xludf.DUMMYFUNCTION("""COMPUTED_VALUE"""),0.0)</f>
        <v>0</v>
      </c>
      <c r="I36" s="1"/>
      <c r="J36" s="2">
        <f>IFERROR(__xludf.DUMMYFUNCTION("""COMPUTED_VALUE"""),2.0)</f>
        <v>2</v>
      </c>
      <c r="K36" s="2">
        <f>IFERROR(__xludf.DUMMYFUNCTION("""COMPUTED_VALUE"""),0.0)</f>
        <v>0</v>
      </c>
      <c r="L36" s="1"/>
      <c r="M36" s="3">
        <f>IFERROR(__xludf.DUMMYFUNCTION("""COMPUTED_VALUE"""),55.0)</f>
        <v>55</v>
      </c>
      <c r="N36" s="1"/>
      <c r="O36" s="2" t="str">
        <f>IFERROR(__xludf.DUMMYFUNCTION("""COMPUTED_VALUE"""),"")</f>
        <v/>
      </c>
      <c r="P36" s="2">
        <f>IFERROR(__xludf.DUMMYFUNCTION("""COMPUTED_VALUE"""),2.0)</f>
        <v>2</v>
      </c>
      <c r="Q36" s="1"/>
      <c r="R36" s="1"/>
      <c r="S36" s="1"/>
      <c r="T36" s="1">
        <f>IFERROR(__xludf.DUMMYFUNCTION("""COMPUTED_VALUE"""),194.0)</f>
        <v>194</v>
      </c>
    </row>
    <row r="37">
      <c r="A37" s="1"/>
      <c r="B37" s="1"/>
      <c r="C37" s="1" t="str">
        <f>IFERROR(__xludf.DUMMYFUNCTION("""COMPUTED_VALUE"""),"-")</f>
        <v>-</v>
      </c>
      <c r="D37" s="1" t="str">
        <f>IFERROR(__xludf.DUMMYFUNCTION("""COMPUTED_VALUE"""),"EMPORIO DAS TORTAS")</f>
        <v>EMPORIO DAS TORTAS</v>
      </c>
      <c r="E37" s="1" t="str">
        <f>IFERROR(__xludf.DUMMYFUNCTION("""COMPUTED_VALUE"""),"TORTA PALMITO")</f>
        <v>TORTA PALMITO</v>
      </c>
      <c r="F37" s="1" t="str">
        <f>IFERROR(__xludf.DUMMYFUNCTION("""COMPUTED_VALUE"""),"CX")</f>
        <v>CX</v>
      </c>
      <c r="G37" s="2">
        <f>IFERROR(__xludf.DUMMYFUNCTION("""COMPUTED_VALUE"""),24.0)</f>
        <v>24</v>
      </c>
      <c r="H37" s="2">
        <f>IFERROR(__xludf.DUMMYFUNCTION("""COMPUTED_VALUE"""),0.0)</f>
        <v>0</v>
      </c>
      <c r="I37" s="1"/>
      <c r="J37" s="2">
        <f>IFERROR(__xludf.DUMMYFUNCTION("""COMPUTED_VALUE"""),1.0)</f>
        <v>1</v>
      </c>
      <c r="K37" s="2">
        <f>IFERROR(__xludf.DUMMYFUNCTION("""COMPUTED_VALUE"""),0.0)</f>
        <v>0</v>
      </c>
      <c r="L37" s="1"/>
      <c r="M37" s="3">
        <f>IFERROR(__xludf.DUMMYFUNCTION("""COMPUTED_VALUE"""),34.0)</f>
        <v>34</v>
      </c>
      <c r="N37" s="1"/>
      <c r="O37" s="2" t="str">
        <f>IFERROR(__xludf.DUMMYFUNCTION("""COMPUTED_VALUE"""),"")</f>
        <v/>
      </c>
      <c r="P37" s="2">
        <f>IFERROR(__xludf.DUMMYFUNCTION("""COMPUTED_VALUE"""),1.0)</f>
        <v>1</v>
      </c>
      <c r="Q37" s="1"/>
      <c r="R37" s="1"/>
      <c r="S37" s="1"/>
      <c r="T37" s="1">
        <f>IFERROR(__xludf.DUMMYFUNCTION("""COMPUTED_VALUE"""),195.0)</f>
        <v>195</v>
      </c>
    </row>
    <row r="38">
      <c r="A38" s="1"/>
      <c r="B38" s="1"/>
      <c r="C38" s="1" t="str">
        <f>IFERROR(__xludf.DUMMYFUNCTION("""COMPUTED_VALUE"""),"-")</f>
        <v>-</v>
      </c>
      <c r="D38" s="1" t="str">
        <f>IFERROR(__xludf.DUMMYFUNCTION("""COMPUTED_VALUE"""),"EMPORIO DAS TORTAS")</f>
        <v>EMPORIO DAS TORTAS</v>
      </c>
      <c r="E38" s="1" t="str">
        <f>IFERROR(__xludf.DUMMYFUNCTION("""COMPUTED_VALUE"""),"EMPADA FRANGO")</f>
        <v>EMPADA FRANGO</v>
      </c>
      <c r="F38" s="1" t="str">
        <f>IFERROR(__xludf.DUMMYFUNCTION("""COMPUTED_VALUE"""),"CX")</f>
        <v>CX</v>
      </c>
      <c r="G38" s="2">
        <f>IFERROR(__xludf.DUMMYFUNCTION("""COMPUTED_VALUE"""),24.0)</f>
        <v>24</v>
      </c>
      <c r="H38" s="2">
        <f>IFERROR(__xludf.DUMMYFUNCTION("""COMPUTED_VALUE"""),0.0)</f>
        <v>0</v>
      </c>
      <c r="I38" s="1"/>
      <c r="J38" s="2">
        <f>IFERROR(__xludf.DUMMYFUNCTION("""COMPUTED_VALUE"""),1.0)</f>
        <v>1</v>
      </c>
      <c r="K38" s="2">
        <f>IFERROR(__xludf.DUMMYFUNCTION("""COMPUTED_VALUE"""),0.0)</f>
        <v>0</v>
      </c>
      <c r="L38" s="1"/>
      <c r="M38" s="3">
        <f>IFERROR(__xludf.DUMMYFUNCTION("""COMPUTED_VALUE"""),16.0)</f>
        <v>16</v>
      </c>
      <c r="N38" s="1"/>
      <c r="O38" s="2" t="str">
        <f>IFERROR(__xludf.DUMMYFUNCTION("""COMPUTED_VALUE"""),"")</f>
        <v/>
      </c>
      <c r="P38" s="2">
        <f>IFERROR(__xludf.DUMMYFUNCTION("""COMPUTED_VALUE"""),1.0)</f>
        <v>1</v>
      </c>
      <c r="Q38" s="1"/>
      <c r="R38" s="1"/>
      <c r="S38" s="1"/>
      <c r="T38" s="1">
        <f>IFERROR(__xludf.DUMMYFUNCTION("""COMPUTED_VALUE"""),199.0)</f>
        <v>199</v>
      </c>
    </row>
    <row r="39">
      <c r="A39" s="1"/>
      <c r="B39" s="1"/>
      <c r="C39" s="1" t="str">
        <f>IFERROR(__xludf.DUMMYFUNCTION("""COMPUTED_VALUE"""),"-")</f>
        <v>-</v>
      </c>
      <c r="D39" s="1" t="str">
        <f>IFERROR(__xludf.DUMMYFUNCTION("""COMPUTED_VALUE"""),"EMPORIO DAS TORTAS")</f>
        <v>EMPORIO DAS TORTAS</v>
      </c>
      <c r="E39" s="1" t="str">
        <f>IFERROR(__xludf.DUMMYFUNCTION("""COMPUTED_VALUE"""),"EMPADA PALMITO")</f>
        <v>EMPADA PALMITO</v>
      </c>
      <c r="F39" s="1" t="str">
        <f>IFERROR(__xludf.DUMMYFUNCTION("""COMPUTED_VALUE"""),"CX")</f>
        <v>CX</v>
      </c>
      <c r="G39" s="2">
        <f>IFERROR(__xludf.DUMMYFUNCTION("""COMPUTED_VALUE"""),24.0)</f>
        <v>24</v>
      </c>
      <c r="H39" s="2">
        <f>IFERROR(__xludf.DUMMYFUNCTION("""COMPUTED_VALUE"""),0.0)</f>
        <v>0</v>
      </c>
      <c r="I39" s="1"/>
      <c r="J39" s="2">
        <f>IFERROR(__xludf.DUMMYFUNCTION("""COMPUTED_VALUE"""),0.0)</f>
        <v>0</v>
      </c>
      <c r="K39" s="2">
        <f>IFERROR(__xludf.DUMMYFUNCTION("""COMPUTED_VALUE"""),0.0)</f>
        <v>0</v>
      </c>
      <c r="L39" s="1"/>
      <c r="M39" s="3">
        <f>IFERROR(__xludf.DUMMYFUNCTION("""COMPUTED_VALUE"""),10.0)</f>
        <v>10</v>
      </c>
      <c r="N39" s="1"/>
      <c r="O39" s="2" t="str">
        <f>IFERROR(__xludf.DUMMYFUNCTION("""COMPUTED_VALUE"""),"")</f>
        <v/>
      </c>
      <c r="P39" s="2">
        <f>IFERROR(__xludf.DUMMYFUNCTION("""COMPUTED_VALUE"""),0.0)</f>
        <v>0</v>
      </c>
      <c r="Q39" s="1"/>
      <c r="R39" s="1"/>
      <c r="S39" s="1"/>
      <c r="T39" s="1">
        <f>IFERROR(__xludf.DUMMYFUNCTION("""COMPUTED_VALUE"""),200.0)</f>
        <v>200</v>
      </c>
    </row>
    <row r="40">
      <c r="A40" s="1"/>
      <c r="B40" s="1"/>
      <c r="C40" s="1" t="str">
        <f>IFERROR(__xludf.DUMMYFUNCTION("""COMPUTED_VALUE"""),"-")</f>
        <v>-</v>
      </c>
      <c r="D40" s="1" t="str">
        <f>IFERROR(__xludf.DUMMYFUNCTION("""COMPUTED_VALUE"""),"EMPORIO DAS TORTAS")</f>
        <v>EMPORIO DAS TORTAS</v>
      </c>
      <c r="E40" s="1" t="str">
        <f>IFERROR(__xludf.DUMMYFUNCTION("""COMPUTED_VALUE"""),"QUICHE 4 QUEUOS")</f>
        <v>QUICHE 4 QUEUOS</v>
      </c>
      <c r="F40" s="1" t="str">
        <f>IFERROR(__xludf.DUMMYFUNCTION("""COMPUTED_VALUE"""),"CX")</f>
        <v>CX</v>
      </c>
      <c r="G40" s="2">
        <f>IFERROR(__xludf.DUMMYFUNCTION("""COMPUTED_VALUE"""),24.0)</f>
        <v>24</v>
      </c>
      <c r="H40" s="2">
        <f>IFERROR(__xludf.DUMMYFUNCTION("""COMPUTED_VALUE"""),0.0)</f>
        <v>0</v>
      </c>
      <c r="I40" s="1"/>
      <c r="J40" s="2">
        <f>IFERROR(__xludf.DUMMYFUNCTION("""COMPUTED_VALUE"""),2.0)</f>
        <v>2</v>
      </c>
      <c r="K40" s="2">
        <f>IFERROR(__xludf.DUMMYFUNCTION("""COMPUTED_VALUE"""),0.0)</f>
        <v>0</v>
      </c>
      <c r="L40" s="1"/>
      <c r="M40" s="3">
        <f>IFERROR(__xludf.DUMMYFUNCTION("""COMPUTED_VALUE"""),50.0)</f>
        <v>50</v>
      </c>
      <c r="N40" s="1"/>
      <c r="O40" s="2" t="str">
        <f>IFERROR(__xludf.DUMMYFUNCTION("""COMPUTED_VALUE"""),"")</f>
        <v/>
      </c>
      <c r="P40" s="2">
        <f>IFERROR(__xludf.DUMMYFUNCTION("""COMPUTED_VALUE"""),2.0)</f>
        <v>2</v>
      </c>
      <c r="Q40" s="1"/>
      <c r="R40" s="1"/>
      <c r="S40" s="1"/>
      <c r="T40" s="1">
        <f>IFERROR(__xludf.DUMMYFUNCTION("""COMPUTED_VALUE"""),757.0)</f>
        <v>757</v>
      </c>
    </row>
    <row r="41">
      <c r="A41" s="1"/>
      <c r="B41" s="1"/>
      <c r="C41" s="1" t="str">
        <f>IFERROR(__xludf.DUMMYFUNCTION("""COMPUTED_VALUE"""),"-")</f>
        <v>-</v>
      </c>
      <c r="D41" s="1" t="str">
        <f>IFERROR(__xludf.DUMMYFUNCTION("""COMPUTED_VALUE"""),"EMPORIO DAS TORTAS")</f>
        <v>EMPORIO DAS TORTAS</v>
      </c>
      <c r="E41" s="1" t="str">
        <f>IFERROR(__xludf.DUMMYFUNCTION("""COMPUTED_VALUE"""),"QUICHE ALHO PORO")</f>
        <v>QUICHE ALHO PORO</v>
      </c>
      <c r="F41" s="1" t="str">
        <f>IFERROR(__xludf.DUMMYFUNCTION("""COMPUTED_VALUE"""),"CX")</f>
        <v>CX</v>
      </c>
      <c r="G41" s="2">
        <f>IFERROR(__xludf.DUMMYFUNCTION("""COMPUTED_VALUE"""),24.0)</f>
        <v>24</v>
      </c>
      <c r="H41" s="2">
        <f>IFERROR(__xludf.DUMMYFUNCTION("""COMPUTED_VALUE"""),0.0)</f>
        <v>0</v>
      </c>
      <c r="I41" s="1"/>
      <c r="J41" s="2">
        <f>IFERROR(__xludf.DUMMYFUNCTION("""COMPUTED_VALUE"""),3.0)</f>
        <v>3</v>
      </c>
      <c r="K41" s="2">
        <f>IFERROR(__xludf.DUMMYFUNCTION("""COMPUTED_VALUE"""),0.0)</f>
        <v>0</v>
      </c>
      <c r="L41" s="1"/>
      <c r="M41" s="3">
        <f>IFERROR(__xludf.DUMMYFUNCTION("""COMPUTED_VALUE"""),78.0)</f>
        <v>78</v>
      </c>
      <c r="N41" s="1"/>
      <c r="O41" s="2" t="str">
        <f>IFERROR(__xludf.DUMMYFUNCTION("""COMPUTED_VALUE"""),"")</f>
        <v/>
      </c>
      <c r="P41" s="2">
        <f>IFERROR(__xludf.DUMMYFUNCTION("""COMPUTED_VALUE"""),3.0)</f>
        <v>3</v>
      </c>
      <c r="Q41" s="1"/>
      <c r="R41" s="1"/>
      <c r="S41" s="1"/>
      <c r="T41" s="1">
        <f>IFERROR(__xludf.DUMMYFUNCTION("""COMPUTED_VALUE"""),198.0)</f>
        <v>198</v>
      </c>
    </row>
    <row r="42">
      <c r="A42" s="1"/>
      <c r="B42" s="1"/>
      <c r="C42" s="1" t="str">
        <f>IFERROR(__xludf.DUMMYFUNCTION("""COMPUTED_VALUE"""),"-")</f>
        <v>-</v>
      </c>
      <c r="D42" s="1" t="str">
        <f>IFERROR(__xludf.DUMMYFUNCTION("""COMPUTED_VALUE"""),"EMPORIO DAS TORTAS")</f>
        <v>EMPORIO DAS TORTAS</v>
      </c>
      <c r="E42" s="1" t="str">
        <f>IFERROR(__xludf.DUMMYFUNCTION("""COMPUTED_VALUE"""),"BOLO DE LARANJA")</f>
        <v>BOLO DE LARANJA</v>
      </c>
      <c r="F42" s="1" t="str">
        <f>IFERROR(__xludf.DUMMYFUNCTION("""COMPUTED_VALUE"""),"CX")</f>
        <v>CX</v>
      </c>
      <c r="G42" s="2">
        <f>IFERROR(__xludf.DUMMYFUNCTION("""COMPUTED_VALUE"""),1.0)</f>
        <v>1</v>
      </c>
      <c r="H42" s="2">
        <f>IFERROR(__xludf.DUMMYFUNCTION("""COMPUTED_VALUE"""),0.0)</f>
        <v>0</v>
      </c>
      <c r="I42" s="1"/>
      <c r="J42" s="2">
        <f>IFERROR(__xludf.DUMMYFUNCTION("""COMPUTED_VALUE"""),8.0)</f>
        <v>8</v>
      </c>
      <c r="K42" s="2">
        <f>IFERROR(__xludf.DUMMYFUNCTION("""COMPUTED_VALUE"""),0.0)</f>
        <v>0</v>
      </c>
      <c r="L42" s="1"/>
      <c r="M42" s="3">
        <f>IFERROR(__xludf.DUMMYFUNCTION("""COMPUTED_VALUE"""),109.0)</f>
        <v>109</v>
      </c>
      <c r="N42" s="1"/>
      <c r="O42" s="2" t="str">
        <f>IFERROR(__xludf.DUMMYFUNCTION("""COMPUTED_VALUE"""),"")</f>
        <v/>
      </c>
      <c r="P42" s="2">
        <f>IFERROR(__xludf.DUMMYFUNCTION("""COMPUTED_VALUE"""),8.0)</f>
        <v>8</v>
      </c>
      <c r="Q42" s="1"/>
      <c r="R42" s="2">
        <f>IFERROR(__xludf.DUMMYFUNCTION("""COMPUTED_VALUE"""),14.0)</f>
        <v>14</v>
      </c>
      <c r="S42" s="1"/>
      <c r="T42" s="1">
        <f>IFERROR(__xludf.DUMMYFUNCTION("""COMPUTED_VALUE"""),144.0)</f>
        <v>144</v>
      </c>
    </row>
    <row r="43">
      <c r="A43" s="1"/>
      <c r="B43" s="1"/>
      <c r="C43" s="1" t="str">
        <f>IFERROR(__xludf.DUMMYFUNCTION("""COMPUTED_VALUE"""),"-")</f>
        <v>-</v>
      </c>
      <c r="D43" s="1" t="str">
        <f>IFERROR(__xludf.DUMMYFUNCTION("""COMPUTED_VALUE"""),"EMPORIO DAS TORTAS")</f>
        <v>EMPORIO DAS TORTAS</v>
      </c>
      <c r="E43" s="1" t="str">
        <f>IFERROR(__xludf.DUMMYFUNCTION("""COMPUTED_VALUE"""),"BOLO DE CENOURA")</f>
        <v>BOLO DE CENOURA</v>
      </c>
      <c r="F43" s="1" t="str">
        <f>IFERROR(__xludf.DUMMYFUNCTION("""COMPUTED_VALUE"""),"CX")</f>
        <v>CX</v>
      </c>
      <c r="G43" s="2">
        <f>IFERROR(__xludf.DUMMYFUNCTION("""COMPUTED_VALUE"""),1.0)</f>
        <v>1</v>
      </c>
      <c r="H43" s="2">
        <f>IFERROR(__xludf.DUMMYFUNCTION("""COMPUTED_VALUE"""),0.0)</f>
        <v>0</v>
      </c>
      <c r="I43" s="1"/>
      <c r="J43" s="2">
        <f>IFERROR(__xludf.DUMMYFUNCTION("""COMPUTED_VALUE"""),3.0)</f>
        <v>3</v>
      </c>
      <c r="K43" s="2">
        <f>IFERROR(__xludf.DUMMYFUNCTION("""COMPUTED_VALUE"""),0.0)</f>
        <v>0</v>
      </c>
      <c r="L43" s="1"/>
      <c r="M43" s="3">
        <f>IFERROR(__xludf.DUMMYFUNCTION("""COMPUTED_VALUE"""),45.0)</f>
        <v>45</v>
      </c>
      <c r="N43" s="1"/>
      <c r="O43" s="2" t="str">
        <f>IFERROR(__xludf.DUMMYFUNCTION("""COMPUTED_VALUE"""),"")</f>
        <v/>
      </c>
      <c r="P43" s="2">
        <f>IFERROR(__xludf.DUMMYFUNCTION("""COMPUTED_VALUE"""),3.0)</f>
        <v>3</v>
      </c>
      <c r="Q43" s="1"/>
      <c r="R43" s="2">
        <f>IFERROR(__xludf.DUMMYFUNCTION("""COMPUTED_VALUE"""),14.0)</f>
        <v>14</v>
      </c>
      <c r="S43" s="1"/>
      <c r="T43" s="1">
        <f>IFERROR(__xludf.DUMMYFUNCTION("""COMPUTED_VALUE"""),403.0)</f>
        <v>403</v>
      </c>
    </row>
    <row r="44">
      <c r="A44" s="1"/>
      <c r="B44" s="1"/>
      <c r="C44" s="1" t="str">
        <f>IFERROR(__xludf.DUMMYFUNCTION("""COMPUTED_VALUE"""),"-")</f>
        <v>-</v>
      </c>
      <c r="D44" s="1" t="str">
        <f>IFERROR(__xludf.DUMMYFUNCTION("""COMPUTED_VALUE"""),"EMPORIO DAS TORTAS")</f>
        <v>EMPORIO DAS TORTAS</v>
      </c>
      <c r="E44" s="1" t="str">
        <f>IFERROR(__xludf.DUMMYFUNCTION("""COMPUTED_VALUE"""),"BOLO MAÇÃ C/ CASTANHA")</f>
        <v>BOLO MAÇÃ C/ CASTANHA</v>
      </c>
      <c r="F44" s="1" t="str">
        <f>IFERROR(__xludf.DUMMYFUNCTION("""COMPUTED_VALUE"""),"CX")</f>
        <v>CX</v>
      </c>
      <c r="G44" s="2">
        <f>IFERROR(__xludf.DUMMYFUNCTION("""COMPUTED_VALUE"""),1.0)</f>
        <v>1</v>
      </c>
      <c r="H44" s="2">
        <f>IFERROR(__xludf.DUMMYFUNCTION("""COMPUTED_VALUE"""),0.0)</f>
        <v>0</v>
      </c>
      <c r="I44" s="1"/>
      <c r="J44" s="2">
        <f>IFERROR(__xludf.DUMMYFUNCTION("""COMPUTED_VALUE"""),4.0)</f>
        <v>4</v>
      </c>
      <c r="K44" s="2">
        <f>IFERROR(__xludf.DUMMYFUNCTION("""COMPUTED_VALUE"""),0.0)</f>
        <v>0</v>
      </c>
      <c r="L44" s="1"/>
      <c r="M44" s="3">
        <f>IFERROR(__xludf.DUMMYFUNCTION("""COMPUTED_VALUE"""),54.0)</f>
        <v>54</v>
      </c>
      <c r="N44" s="1"/>
      <c r="O44" s="2" t="str">
        <f>IFERROR(__xludf.DUMMYFUNCTION("""COMPUTED_VALUE"""),"")</f>
        <v/>
      </c>
      <c r="P44" s="2">
        <f>IFERROR(__xludf.DUMMYFUNCTION("""COMPUTED_VALUE"""),4.0)</f>
        <v>4</v>
      </c>
      <c r="Q44" s="1"/>
      <c r="R44" s="2">
        <f>IFERROR(__xludf.DUMMYFUNCTION("""COMPUTED_VALUE"""),14.0)</f>
        <v>14</v>
      </c>
      <c r="S44" s="1"/>
      <c r="T44" s="1">
        <f>IFERROR(__xludf.DUMMYFUNCTION("""COMPUTED_VALUE"""),474.0)</f>
        <v>474</v>
      </c>
    </row>
    <row r="45">
      <c r="A45" s="1"/>
      <c r="B45" s="1"/>
      <c r="C45" s="1" t="str">
        <f>IFERROR(__xludf.DUMMYFUNCTION("""COMPUTED_VALUE"""),"-")</f>
        <v>-</v>
      </c>
      <c r="D45" s="1" t="str">
        <f>IFERROR(__xludf.DUMMYFUNCTION("""COMPUTED_VALUE"""),"EMPORIO DAS TORTAS")</f>
        <v>EMPORIO DAS TORTAS</v>
      </c>
      <c r="E45" s="1" t="str">
        <f>IFERROR(__xludf.DUMMYFUNCTION("""COMPUTED_VALUE"""),"BOLO BRIGADEIRO HOLANDES")</f>
        <v>BOLO BRIGADEIRO HOLANDES</v>
      </c>
      <c r="F45" s="1" t="str">
        <f>IFERROR(__xludf.DUMMYFUNCTION("""COMPUTED_VALUE"""),"CX")</f>
        <v>CX</v>
      </c>
      <c r="G45" s="2">
        <f>IFERROR(__xludf.DUMMYFUNCTION("""COMPUTED_VALUE"""),1.0)</f>
        <v>1</v>
      </c>
      <c r="H45" s="2">
        <f>IFERROR(__xludf.DUMMYFUNCTION("""COMPUTED_VALUE"""),0.0)</f>
        <v>0</v>
      </c>
      <c r="I45" s="1"/>
      <c r="J45" s="2">
        <f>IFERROR(__xludf.DUMMYFUNCTION("""COMPUTED_VALUE"""),3.0)</f>
        <v>3</v>
      </c>
      <c r="K45" s="2">
        <f>IFERROR(__xludf.DUMMYFUNCTION("""COMPUTED_VALUE"""),0.0)</f>
        <v>0</v>
      </c>
      <c r="L45" s="1"/>
      <c r="M45" s="3">
        <f>IFERROR(__xludf.DUMMYFUNCTION("""COMPUTED_VALUE"""),39.0)</f>
        <v>39</v>
      </c>
      <c r="N45" s="1"/>
      <c r="O45" s="2" t="str">
        <f>IFERROR(__xludf.DUMMYFUNCTION("""COMPUTED_VALUE"""),"")</f>
        <v/>
      </c>
      <c r="P45" s="2">
        <f>IFERROR(__xludf.DUMMYFUNCTION("""COMPUTED_VALUE"""),3.0)</f>
        <v>3</v>
      </c>
      <c r="Q45" s="1"/>
      <c r="R45" s="2">
        <f>IFERROR(__xludf.DUMMYFUNCTION("""COMPUTED_VALUE"""),14.0)</f>
        <v>14</v>
      </c>
      <c r="S45" s="1"/>
      <c r="T45" s="1">
        <f>IFERROR(__xludf.DUMMYFUNCTION("""COMPUTED_VALUE"""),1140.0)</f>
        <v>1140</v>
      </c>
    </row>
    <row r="46">
      <c r="A46" s="1"/>
      <c r="B46" s="1"/>
      <c r="C46" s="1" t="str">
        <f>IFERROR(__xludf.DUMMYFUNCTION("""COMPUTED_VALUE"""),"-")</f>
        <v>-</v>
      </c>
      <c r="D46" s="1" t="str">
        <f>IFERROR(__xludf.DUMMYFUNCTION("""COMPUTED_VALUE"""),"EMPORIO DAS TORTAS")</f>
        <v>EMPORIO DAS TORTAS</v>
      </c>
      <c r="E46" s="1" t="str">
        <f>IFERROR(__xludf.DUMMYFUNCTION("""COMPUTED_VALUE"""),"TORTA BANOFFE")</f>
        <v>TORTA BANOFFE</v>
      </c>
      <c r="F46" s="1" t="str">
        <f>IFERROR(__xludf.DUMMYFUNCTION("""COMPUTED_VALUE"""),"CX")</f>
        <v>CX</v>
      </c>
      <c r="G46" s="2">
        <f>IFERROR(__xludf.DUMMYFUNCTION("""COMPUTED_VALUE"""),1.0)</f>
        <v>1</v>
      </c>
      <c r="H46" s="2">
        <f>IFERROR(__xludf.DUMMYFUNCTION("""COMPUTED_VALUE"""),0.0)</f>
        <v>0</v>
      </c>
      <c r="I46" s="1"/>
      <c r="J46" s="2">
        <f>IFERROR(__xludf.DUMMYFUNCTION("""COMPUTED_VALUE"""),1.0)</f>
        <v>1</v>
      </c>
      <c r="K46" s="2">
        <f>IFERROR(__xludf.DUMMYFUNCTION("""COMPUTED_VALUE"""),0.0)</f>
        <v>0</v>
      </c>
      <c r="L46" s="1"/>
      <c r="M46" s="3">
        <f>IFERROR(__xludf.DUMMYFUNCTION("""COMPUTED_VALUE"""),16.0)</f>
        <v>16</v>
      </c>
      <c r="N46" s="1"/>
      <c r="O46" s="2" t="str">
        <f>IFERROR(__xludf.DUMMYFUNCTION("""COMPUTED_VALUE"""),"")</f>
        <v/>
      </c>
      <c r="P46" s="2">
        <f>IFERROR(__xludf.DUMMYFUNCTION("""COMPUTED_VALUE"""),1.0)</f>
        <v>1</v>
      </c>
      <c r="Q46" s="1"/>
      <c r="R46" s="2">
        <f>IFERROR(__xludf.DUMMYFUNCTION("""COMPUTED_VALUE"""),14.0)</f>
        <v>14</v>
      </c>
      <c r="S46" s="1"/>
      <c r="T46" s="1">
        <f>IFERROR(__xludf.DUMMYFUNCTION("""COMPUTED_VALUE"""),914.0)</f>
        <v>914</v>
      </c>
    </row>
    <row r="47">
      <c r="A47" s="1"/>
      <c r="B47" s="1"/>
      <c r="C47" s="1" t="str">
        <f>IFERROR(__xludf.DUMMYFUNCTION("""COMPUTED_VALUE"""),"-")</f>
        <v>-</v>
      </c>
      <c r="D47" s="1" t="str">
        <f>IFERROR(__xludf.DUMMYFUNCTION("""COMPUTED_VALUE"""),"EMPORIO DAS TORTAS")</f>
        <v>EMPORIO DAS TORTAS</v>
      </c>
      <c r="E47" s="1" t="str">
        <f>IFERROR(__xludf.DUMMYFUNCTION("""COMPUTED_VALUE"""),"TORTA NINHO C/ NUTELLA")</f>
        <v>TORTA NINHO C/ NUTELLA</v>
      </c>
      <c r="F47" s="1" t="str">
        <f>IFERROR(__xludf.DUMMYFUNCTION("""COMPUTED_VALUE"""),"CX")</f>
        <v>CX</v>
      </c>
      <c r="G47" s="2">
        <f>IFERROR(__xludf.DUMMYFUNCTION("""COMPUTED_VALUE"""),1.0)</f>
        <v>1</v>
      </c>
      <c r="H47" s="2">
        <f>IFERROR(__xludf.DUMMYFUNCTION("""COMPUTED_VALUE"""),0.0)</f>
        <v>0</v>
      </c>
      <c r="I47" s="1"/>
      <c r="J47" s="2">
        <f>IFERROR(__xludf.DUMMYFUNCTION("""COMPUTED_VALUE"""),1.0)</f>
        <v>1</v>
      </c>
      <c r="K47" s="2">
        <f>IFERROR(__xludf.DUMMYFUNCTION("""COMPUTED_VALUE"""),0.0)</f>
        <v>0</v>
      </c>
      <c r="L47" s="1"/>
      <c r="M47" s="3">
        <f>IFERROR(__xludf.DUMMYFUNCTION("""COMPUTED_VALUE"""),19.0)</f>
        <v>19</v>
      </c>
      <c r="N47" s="1"/>
      <c r="O47" s="2" t="str">
        <f>IFERROR(__xludf.DUMMYFUNCTION("""COMPUTED_VALUE"""),"")</f>
        <v/>
      </c>
      <c r="P47" s="2">
        <f>IFERROR(__xludf.DUMMYFUNCTION("""COMPUTED_VALUE"""),1.0)</f>
        <v>1</v>
      </c>
      <c r="Q47" s="1"/>
      <c r="R47" s="2">
        <f>IFERROR(__xludf.DUMMYFUNCTION("""COMPUTED_VALUE"""),14.0)</f>
        <v>14</v>
      </c>
      <c r="S47" s="1"/>
      <c r="T47" s="1">
        <f>IFERROR(__xludf.DUMMYFUNCTION("""COMPUTED_VALUE"""),130.0)</f>
        <v>130</v>
      </c>
    </row>
    <row r="48">
      <c r="A48" s="1"/>
      <c r="B48" s="1"/>
      <c r="C48" s="1" t="str">
        <f>IFERROR(__xludf.DUMMYFUNCTION("""COMPUTED_VALUE"""),"-")</f>
        <v>-</v>
      </c>
      <c r="D48" s="1" t="str">
        <f>IFERROR(__xludf.DUMMYFUNCTION("""COMPUTED_VALUE"""),"EMPORIO DAS TORTAS")</f>
        <v>EMPORIO DAS TORTAS</v>
      </c>
      <c r="E48" s="1" t="str">
        <f>IFERROR(__xludf.DUMMYFUNCTION("""COMPUTED_VALUE"""),"TORTA MOUSSE LIMÃO")</f>
        <v>TORTA MOUSSE LIMÃO</v>
      </c>
      <c r="F48" s="1" t="str">
        <f>IFERROR(__xludf.DUMMYFUNCTION("""COMPUTED_VALUE"""),"CX")</f>
        <v>CX</v>
      </c>
      <c r="G48" s="2">
        <f>IFERROR(__xludf.DUMMYFUNCTION("""COMPUTED_VALUE"""),1.0)</f>
        <v>1</v>
      </c>
      <c r="H48" s="2">
        <f>IFERROR(__xludf.DUMMYFUNCTION("""COMPUTED_VALUE"""),0.0)</f>
        <v>0</v>
      </c>
      <c r="I48" s="1"/>
      <c r="J48" s="2">
        <f>IFERROR(__xludf.DUMMYFUNCTION("""COMPUTED_VALUE"""),3.0)</f>
        <v>3</v>
      </c>
      <c r="K48" s="2">
        <f>IFERROR(__xludf.DUMMYFUNCTION("""COMPUTED_VALUE"""),0.0)</f>
        <v>0</v>
      </c>
      <c r="L48" s="1"/>
      <c r="M48" s="3">
        <f>IFERROR(__xludf.DUMMYFUNCTION("""COMPUTED_VALUE"""),36.0)</f>
        <v>36</v>
      </c>
      <c r="N48" s="1"/>
      <c r="O48" s="2" t="str">
        <f>IFERROR(__xludf.DUMMYFUNCTION("""COMPUTED_VALUE"""),"")</f>
        <v/>
      </c>
      <c r="P48" s="2">
        <f>IFERROR(__xludf.DUMMYFUNCTION("""COMPUTED_VALUE"""),3.0)</f>
        <v>3</v>
      </c>
      <c r="Q48" s="1"/>
      <c r="R48" s="2">
        <f>IFERROR(__xludf.DUMMYFUNCTION("""COMPUTED_VALUE"""),14.0)</f>
        <v>14</v>
      </c>
      <c r="S48" s="1"/>
      <c r="T48" s="1">
        <f>IFERROR(__xludf.DUMMYFUNCTION("""COMPUTED_VALUE"""),366.0)</f>
        <v>366</v>
      </c>
    </row>
    <row r="49">
      <c r="A49" s="1"/>
      <c r="B49" s="1"/>
      <c r="C49" s="1" t="str">
        <f>IFERROR(__xludf.DUMMYFUNCTION("""COMPUTED_VALUE"""),"-")</f>
        <v>-</v>
      </c>
      <c r="D49" s="1" t="str">
        <f>IFERROR(__xludf.DUMMYFUNCTION("""COMPUTED_VALUE"""),"EMPORIO DAS TORTAS")</f>
        <v>EMPORIO DAS TORTAS</v>
      </c>
      <c r="E49" s="1" t="str">
        <f>IFERROR(__xludf.DUMMYFUNCTION("""COMPUTED_VALUE"""),"PETIT GATEAU 100G")</f>
        <v>PETIT GATEAU 100G</v>
      </c>
      <c r="F49" s="1" t="str">
        <f>IFERROR(__xludf.DUMMYFUNCTION("""COMPUTED_VALUE"""),"CX")</f>
        <v>CX</v>
      </c>
      <c r="G49" s="2">
        <f>IFERROR(__xludf.DUMMYFUNCTION("""COMPUTED_VALUE"""),24.0)</f>
        <v>24</v>
      </c>
      <c r="H49" s="2">
        <f>IFERROR(__xludf.DUMMYFUNCTION("""COMPUTED_VALUE"""),0.0)</f>
        <v>0</v>
      </c>
      <c r="I49" s="1"/>
      <c r="J49" s="2">
        <f>IFERROR(__xludf.DUMMYFUNCTION("""COMPUTED_VALUE"""),0.0)</f>
        <v>0</v>
      </c>
      <c r="K49" s="2">
        <f>IFERROR(__xludf.DUMMYFUNCTION("""COMPUTED_VALUE"""),0.0)</f>
        <v>0</v>
      </c>
      <c r="L49" s="1"/>
      <c r="M49" s="3">
        <f>IFERROR(__xludf.DUMMYFUNCTION("""COMPUTED_VALUE"""),9.0)</f>
        <v>9</v>
      </c>
      <c r="N49" s="1"/>
      <c r="O49" s="2" t="str">
        <f>IFERROR(__xludf.DUMMYFUNCTION("""COMPUTED_VALUE"""),"")</f>
        <v/>
      </c>
      <c r="P49" s="2">
        <f>IFERROR(__xludf.DUMMYFUNCTION("""COMPUTED_VALUE"""),0.0)</f>
        <v>0</v>
      </c>
      <c r="Q49" s="1"/>
      <c r="R49" s="1"/>
      <c r="S49" s="1"/>
      <c r="T49" s="1">
        <f>IFERROR(__xludf.DUMMYFUNCTION("""COMPUTED_VALUE"""),825.0)</f>
        <v>825</v>
      </c>
    </row>
    <row r="50">
      <c r="A50" s="1"/>
      <c r="B50" s="1"/>
      <c r="C50" s="1" t="str">
        <f>IFERROR(__xludf.DUMMYFUNCTION("""COMPUTED_VALUE"""),"-")</f>
        <v>-</v>
      </c>
      <c r="D50" s="1" t="str">
        <f>IFERROR(__xludf.DUMMYFUNCTION("""COMPUTED_VALUE"""),"EMPORIO DAS TORTAS")</f>
        <v>EMPORIO DAS TORTAS</v>
      </c>
      <c r="E50" s="1" t="str">
        <f>IFERROR(__xludf.DUMMYFUNCTION("""COMPUTED_VALUE"""),"BROWNIE 80G")</f>
        <v>BROWNIE 80G</v>
      </c>
      <c r="F50" s="1" t="str">
        <f>IFERROR(__xludf.DUMMYFUNCTION("""COMPUTED_VALUE"""),"CX")</f>
        <v>CX</v>
      </c>
      <c r="G50" s="2">
        <f>IFERROR(__xludf.DUMMYFUNCTION("""COMPUTED_VALUE"""),24.0)</f>
        <v>24</v>
      </c>
      <c r="H50" s="2">
        <f>IFERROR(__xludf.DUMMYFUNCTION("""COMPUTED_VALUE"""),0.0)</f>
        <v>0</v>
      </c>
      <c r="I50" s="1"/>
      <c r="J50" s="2">
        <f>IFERROR(__xludf.DUMMYFUNCTION("""COMPUTED_VALUE"""),1.0)</f>
        <v>1</v>
      </c>
      <c r="K50" s="2">
        <f>IFERROR(__xludf.DUMMYFUNCTION("""COMPUTED_VALUE"""),0.0)</f>
        <v>0</v>
      </c>
      <c r="L50" s="1"/>
      <c r="M50" s="3">
        <f>IFERROR(__xludf.DUMMYFUNCTION("""COMPUTED_VALUE"""),14.0)</f>
        <v>14</v>
      </c>
      <c r="N50" s="1"/>
      <c r="O50" s="2" t="str">
        <f>IFERROR(__xludf.DUMMYFUNCTION("""COMPUTED_VALUE"""),"")</f>
        <v/>
      </c>
      <c r="P50" s="2">
        <f>IFERROR(__xludf.DUMMYFUNCTION("""COMPUTED_VALUE"""),1.0)</f>
        <v>1</v>
      </c>
      <c r="Q50" s="1"/>
      <c r="R50" s="1"/>
      <c r="S50" s="1"/>
      <c r="T50" s="1">
        <f>IFERROR(__xludf.DUMMYFUNCTION("""COMPUTED_VALUE"""),128.0)</f>
        <v>128</v>
      </c>
    </row>
    <row r="51">
      <c r="A51" s="1"/>
      <c r="B51" s="1"/>
      <c r="C51" s="1" t="str">
        <f>IFERROR(__xludf.DUMMYFUNCTION("""COMPUTED_VALUE"""),"-")</f>
        <v>-</v>
      </c>
      <c r="D51" s="1" t="str">
        <f>IFERROR(__xludf.DUMMYFUNCTION("""COMPUTED_VALUE"""),"EMPORIO DAS TORTAS")</f>
        <v>EMPORIO DAS TORTAS</v>
      </c>
      <c r="E51" s="1" t="str">
        <f>IFERROR(__xludf.DUMMYFUNCTION("""COMPUTED_VALUE"""),"TORTA CHEESECAKE FRUTAS VERMELHAS")</f>
        <v>TORTA CHEESECAKE FRUTAS VERMELHAS</v>
      </c>
      <c r="F51" s="1" t="str">
        <f>IFERROR(__xludf.DUMMYFUNCTION("""COMPUTED_VALUE"""),"CX")</f>
        <v>CX</v>
      </c>
      <c r="G51" s="2">
        <f>IFERROR(__xludf.DUMMYFUNCTION("""COMPUTED_VALUE"""),1.0)</f>
        <v>1</v>
      </c>
      <c r="H51" s="2">
        <f>IFERROR(__xludf.DUMMYFUNCTION("""COMPUTED_VALUE"""),0.0)</f>
        <v>0</v>
      </c>
      <c r="I51" s="1"/>
      <c r="J51" s="2">
        <f>IFERROR(__xludf.DUMMYFUNCTION("""COMPUTED_VALUE"""),2.0)</f>
        <v>2</v>
      </c>
      <c r="K51" s="2">
        <f>IFERROR(__xludf.DUMMYFUNCTION("""COMPUTED_VALUE"""),0.0)</f>
        <v>0</v>
      </c>
      <c r="L51" s="1"/>
      <c r="M51" s="3">
        <f>IFERROR(__xludf.DUMMYFUNCTION("""COMPUTED_VALUE"""),26.0)</f>
        <v>26</v>
      </c>
      <c r="N51" s="1"/>
      <c r="O51" s="2" t="str">
        <f>IFERROR(__xludf.DUMMYFUNCTION("""COMPUTED_VALUE"""),"")</f>
        <v/>
      </c>
      <c r="P51" s="2">
        <f>IFERROR(__xludf.DUMMYFUNCTION("""COMPUTED_VALUE"""),2.0)</f>
        <v>2</v>
      </c>
      <c r="Q51" s="1"/>
      <c r="R51" s="2">
        <f>IFERROR(__xludf.DUMMYFUNCTION("""COMPUTED_VALUE"""),14.0)</f>
        <v>14</v>
      </c>
      <c r="S51" s="1"/>
      <c r="T51" s="1">
        <f>IFERROR(__xludf.DUMMYFUNCTION("""COMPUTED_VALUE"""),628.0)</f>
        <v>628</v>
      </c>
    </row>
    <row r="52">
      <c r="A52" s="1"/>
      <c r="B52" s="1"/>
      <c r="C52" s="1" t="str">
        <f>IFERROR(__xludf.DUMMYFUNCTION("""COMPUTED_VALUE"""),"-")</f>
        <v>-</v>
      </c>
      <c r="D52" s="1" t="str">
        <f>IFERROR(__xludf.DUMMYFUNCTION("""COMPUTED_VALUE"""),"EMPORIO DAS TORTAS")</f>
        <v>EMPORIO DAS TORTAS</v>
      </c>
      <c r="E52" s="1" t="str">
        <f>IFERROR(__xludf.DUMMYFUNCTION("""COMPUTED_VALUE"""),"TORTA CAPPUCCINO")</f>
        <v>TORTA CAPPUCCINO</v>
      </c>
      <c r="F52" s="1" t="str">
        <f>IFERROR(__xludf.DUMMYFUNCTION("""COMPUTED_VALUE"""),"CX")</f>
        <v>CX</v>
      </c>
      <c r="G52" s="2">
        <f>IFERROR(__xludf.DUMMYFUNCTION("""COMPUTED_VALUE"""),1.0)</f>
        <v>1</v>
      </c>
      <c r="H52" s="2">
        <f>IFERROR(__xludf.DUMMYFUNCTION("""COMPUTED_VALUE"""),0.0)</f>
        <v>0</v>
      </c>
      <c r="I52" s="1"/>
      <c r="J52" s="2">
        <f>IFERROR(__xludf.DUMMYFUNCTION("""COMPUTED_VALUE"""),0.0)</f>
        <v>0</v>
      </c>
      <c r="K52" s="2">
        <f>IFERROR(__xludf.DUMMYFUNCTION("""COMPUTED_VALUE"""),0.0)</f>
        <v>0</v>
      </c>
      <c r="L52" s="1"/>
      <c r="M52" s="3" t="str">
        <f>IFERROR(__xludf.DUMMYFUNCTION("""COMPUTED_VALUE"""),"")</f>
        <v/>
      </c>
      <c r="N52" s="1"/>
      <c r="O52" s="2" t="str">
        <f>IFERROR(__xludf.DUMMYFUNCTION("""COMPUTED_VALUE"""),"")</f>
        <v/>
      </c>
      <c r="P52" s="2">
        <f>IFERROR(__xludf.DUMMYFUNCTION("""COMPUTED_VALUE"""),0.0)</f>
        <v>0</v>
      </c>
      <c r="Q52" s="1"/>
      <c r="R52" s="2">
        <f>IFERROR(__xludf.DUMMYFUNCTION("""COMPUTED_VALUE"""),14.0)</f>
        <v>14</v>
      </c>
      <c r="S52" s="1"/>
      <c r="T52" s="1">
        <f>IFERROR(__xludf.DUMMYFUNCTION("""COMPUTED_VALUE"""),935.0)</f>
        <v>935</v>
      </c>
    </row>
    <row r="53">
      <c r="A53" s="1"/>
      <c r="B53" s="1"/>
      <c r="C53" s="1" t="str">
        <f>IFERROR(__xludf.DUMMYFUNCTION("""COMPUTED_VALUE"""),"-")</f>
        <v>-</v>
      </c>
      <c r="D53" s="1" t="str">
        <f>IFERROR(__xludf.DUMMYFUNCTION("""COMPUTED_VALUE"""),"EMPORIO DAS TORTAS")</f>
        <v>EMPORIO DAS TORTAS</v>
      </c>
      <c r="E53" s="1" t="str">
        <f>IFERROR(__xludf.DUMMYFUNCTION("""COMPUTED_VALUE"""),"TORTA SWEET PIE")</f>
        <v>TORTA SWEET PIE</v>
      </c>
      <c r="F53" s="1" t="str">
        <f>IFERROR(__xludf.DUMMYFUNCTION("""COMPUTED_VALUE"""),"CX")</f>
        <v>CX</v>
      </c>
      <c r="G53" s="2">
        <f>IFERROR(__xludf.DUMMYFUNCTION("""COMPUTED_VALUE"""),1.0)</f>
        <v>1</v>
      </c>
      <c r="H53" s="2">
        <f>IFERROR(__xludf.DUMMYFUNCTION("""COMPUTED_VALUE"""),0.0)</f>
        <v>0</v>
      </c>
      <c r="I53" s="1"/>
      <c r="J53" s="2">
        <f>IFERROR(__xludf.DUMMYFUNCTION("""COMPUTED_VALUE"""),0.0)</f>
        <v>0</v>
      </c>
      <c r="K53" s="2">
        <f>IFERROR(__xludf.DUMMYFUNCTION("""COMPUTED_VALUE"""),0.0)</f>
        <v>0</v>
      </c>
      <c r="L53" s="1"/>
      <c r="M53" s="3" t="str">
        <f>IFERROR(__xludf.DUMMYFUNCTION("""COMPUTED_VALUE"""),"")</f>
        <v/>
      </c>
      <c r="N53" s="1"/>
      <c r="O53" s="2" t="str">
        <f>IFERROR(__xludf.DUMMYFUNCTION("""COMPUTED_VALUE"""),"")</f>
        <v/>
      </c>
      <c r="P53" s="2">
        <f>IFERROR(__xludf.DUMMYFUNCTION("""COMPUTED_VALUE"""),0.0)</f>
        <v>0</v>
      </c>
      <c r="Q53" s="1"/>
      <c r="R53" s="2">
        <f>IFERROR(__xludf.DUMMYFUNCTION("""COMPUTED_VALUE"""),14.0)</f>
        <v>14</v>
      </c>
      <c r="S53" s="1"/>
      <c r="T53" s="1">
        <f>IFERROR(__xludf.DUMMYFUNCTION("""COMPUTED_VALUE"""),134.0)</f>
        <v>134</v>
      </c>
    </row>
    <row r="54">
      <c r="A54" s="1"/>
      <c r="B54" s="1"/>
      <c r="C54" s="1" t="str">
        <f>IFERROR(__xludf.DUMMYFUNCTION("""COMPUTED_VALUE"""),"-")</f>
        <v>-</v>
      </c>
      <c r="D54" s="1" t="str">
        <f>IFERROR(__xludf.DUMMYFUNCTION("""COMPUTED_VALUE"""),"POMELO - MIN. 550,00 PEDIR SEGUNDA (RIBEIRO)")</f>
        <v>POMELO - MIN. 550,00 PEDIR SEGUNDA (RIBEIRO)</v>
      </c>
      <c r="E54" s="1" t="str">
        <f>IFERROR(__xludf.DUMMYFUNCTION("""COMPUTED_VALUE"""),"CROISSANT AUTENTIQUE 70G")</f>
        <v>CROISSANT AUTENTIQUE 70G</v>
      </c>
      <c r="F54" s="1" t="str">
        <f>IFERROR(__xludf.DUMMYFUNCTION("""COMPUTED_VALUE"""),"CX")</f>
        <v>CX</v>
      </c>
      <c r="G54" s="2">
        <f>IFERROR(__xludf.DUMMYFUNCTION("""COMPUTED_VALUE"""),84.0)</f>
        <v>84</v>
      </c>
      <c r="H54" s="2">
        <f>IFERROR(__xludf.DUMMYFUNCTION("""COMPUTED_VALUE"""),0.0)</f>
        <v>0</v>
      </c>
      <c r="I54" s="1"/>
      <c r="J54" s="2">
        <f>IFERROR(__xludf.DUMMYFUNCTION("""COMPUTED_VALUE"""),2.0)</f>
        <v>2</v>
      </c>
      <c r="K54" s="2">
        <f>IFERROR(__xludf.DUMMYFUNCTION("""COMPUTED_VALUE"""),0.0)</f>
        <v>0</v>
      </c>
      <c r="L54" s="1"/>
      <c r="M54" s="3">
        <f>IFERROR(__xludf.DUMMYFUNCTION("""COMPUTED_VALUE"""),170.0)</f>
        <v>170</v>
      </c>
      <c r="N54" s="1"/>
      <c r="O54" s="2" t="str">
        <f>IFERROR(__xludf.DUMMYFUNCTION("""COMPUTED_VALUE"""),"")</f>
        <v/>
      </c>
      <c r="P54" s="2">
        <f>IFERROR(__xludf.DUMMYFUNCTION("""COMPUTED_VALUE"""),2.0)</f>
        <v>2</v>
      </c>
      <c r="Q54" s="1"/>
      <c r="R54" s="1"/>
      <c r="S54" s="1"/>
      <c r="T54" s="1">
        <f>IFERROR(__xludf.DUMMYFUNCTION("""COMPUTED_VALUE"""),862.0)</f>
        <v>862</v>
      </c>
    </row>
    <row r="55">
      <c r="A55" s="1"/>
      <c r="B55" s="1"/>
      <c r="C55" s="1" t="str">
        <f>IFERROR(__xludf.DUMMYFUNCTION("""COMPUTED_VALUE"""),"-")</f>
        <v>-</v>
      </c>
      <c r="D55" s="1" t="str">
        <f>IFERROR(__xludf.DUMMYFUNCTION("""COMPUTED_VALUE"""),"POMELO - MIN. 550,00 PEDIR SEGUNDA (RIBEIRO)")</f>
        <v>POMELO - MIN. 550,00 PEDIR SEGUNDA (RIBEIRO)</v>
      </c>
      <c r="E55" s="1" t="str">
        <f>IFERROR(__xludf.DUMMYFUNCTION("""COMPUTED_VALUE"""),"CIABATTA ESSENTIELLE 140G")</f>
        <v>CIABATTA ESSENTIELLE 140G</v>
      </c>
      <c r="F55" s="1" t="str">
        <f>IFERROR(__xludf.DUMMYFUNCTION("""COMPUTED_VALUE"""),"CX")</f>
        <v>CX</v>
      </c>
      <c r="G55" s="2">
        <f>IFERROR(__xludf.DUMMYFUNCTION("""COMPUTED_VALUE"""),50.0)</f>
        <v>50</v>
      </c>
      <c r="H55" s="2">
        <f>IFERROR(__xludf.DUMMYFUNCTION("""COMPUTED_VALUE"""),0.0)</f>
        <v>0</v>
      </c>
      <c r="I55" s="1"/>
      <c r="J55" s="2">
        <f>IFERROR(__xludf.DUMMYFUNCTION("""COMPUTED_VALUE"""),1.0)</f>
        <v>1</v>
      </c>
      <c r="K55" s="2">
        <f>IFERROR(__xludf.DUMMYFUNCTION("""COMPUTED_VALUE"""),0.0)</f>
        <v>0</v>
      </c>
      <c r="L55" s="1"/>
      <c r="M55" s="3">
        <f>IFERROR(__xludf.DUMMYFUNCTION("""COMPUTED_VALUE"""),73.5)</f>
        <v>73.5</v>
      </c>
      <c r="N55" s="1"/>
      <c r="O55" s="2" t="str">
        <f>IFERROR(__xludf.DUMMYFUNCTION("""COMPUTED_VALUE"""),"")</f>
        <v/>
      </c>
      <c r="P55" s="2">
        <f>IFERROR(__xludf.DUMMYFUNCTION("""COMPUTED_VALUE"""),1.0)</f>
        <v>1</v>
      </c>
      <c r="Q55" s="1"/>
      <c r="R55" s="1"/>
      <c r="S55" s="1"/>
      <c r="T55" s="1">
        <f>IFERROR(__xludf.DUMMYFUNCTION("""COMPUTED_VALUE"""),115.0)</f>
        <v>115</v>
      </c>
    </row>
    <row r="56">
      <c r="A56" s="1"/>
      <c r="B56" s="1"/>
      <c r="C56" s="1" t="str">
        <f>IFERROR(__xludf.DUMMYFUNCTION("""COMPUTED_VALUE"""),"-")</f>
        <v>-</v>
      </c>
      <c r="D56" s="1" t="str">
        <f>IFERROR(__xludf.DUMMYFUNCTION("""COMPUTED_VALUE"""),"POMELO - MIN. 550,00 PEDIR SEGUNDA (RIBEIRO)")</f>
        <v>POMELO - MIN. 550,00 PEDIR SEGUNDA (RIBEIRO)</v>
      </c>
      <c r="E56" s="1" t="str">
        <f>IFERROR(__xludf.DUMMYFUNCTION("""COMPUTED_VALUE"""),"NAPOLI QUEJO ETOMATE 135G")</f>
        <v>NAPOLI QUEJO ETOMATE 135G</v>
      </c>
      <c r="F56" s="1" t="str">
        <f>IFERROR(__xludf.DUMMYFUNCTION("""COMPUTED_VALUE"""),"CX")</f>
        <v>CX</v>
      </c>
      <c r="G56" s="2">
        <f>IFERROR(__xludf.DUMMYFUNCTION("""COMPUTED_VALUE"""),55.0)</f>
        <v>55</v>
      </c>
      <c r="H56" s="2">
        <f>IFERROR(__xludf.DUMMYFUNCTION("""COMPUTED_VALUE"""),0.0)</f>
        <v>0</v>
      </c>
      <c r="I56" s="1"/>
      <c r="J56" s="2">
        <f>IFERROR(__xludf.DUMMYFUNCTION("""COMPUTED_VALUE"""),0.0)</f>
        <v>0</v>
      </c>
      <c r="K56" s="2">
        <f>IFERROR(__xludf.DUMMYFUNCTION("""COMPUTED_VALUE"""),0.0)</f>
        <v>0</v>
      </c>
      <c r="L56" s="1"/>
      <c r="M56" s="3">
        <f>IFERROR(__xludf.DUMMYFUNCTION("""COMPUTED_VALUE"""),23.0)</f>
        <v>23</v>
      </c>
      <c r="N56" s="1"/>
      <c r="O56" s="2" t="str">
        <f>IFERROR(__xludf.DUMMYFUNCTION("""COMPUTED_VALUE"""),"")</f>
        <v/>
      </c>
      <c r="P56" s="2">
        <f>IFERROR(__xludf.DUMMYFUNCTION("""COMPUTED_VALUE"""),0.0)</f>
        <v>0</v>
      </c>
      <c r="Q56" s="1"/>
      <c r="R56" s="1"/>
      <c r="S56" s="1"/>
      <c r="T56" s="1">
        <f>IFERROR(__xludf.DUMMYFUNCTION("""COMPUTED_VALUE"""),1190.0)</f>
        <v>1190</v>
      </c>
    </row>
    <row r="57">
      <c r="A57" s="1"/>
      <c r="B57" s="1"/>
      <c r="C57" s="1" t="str">
        <f>IFERROR(__xludf.DUMMYFUNCTION("""COMPUTED_VALUE"""),"-")</f>
        <v>-</v>
      </c>
      <c r="D57" s="1" t="str">
        <f>IFERROR(__xludf.DUMMYFUNCTION("""COMPUTED_VALUE"""),"DI VENETO - (RIBEIRO)")</f>
        <v>DI VENETO - (RIBEIRO)</v>
      </c>
      <c r="E57" s="1" t="str">
        <f>IFERROR(__xludf.DUMMYFUNCTION("""COMPUTED_VALUE"""),"PENNE")</f>
        <v>PENNE</v>
      </c>
      <c r="F57" s="1" t="str">
        <f>IFERROR(__xludf.DUMMYFUNCTION("""COMPUTED_VALUE"""),"UN")</f>
        <v>UN</v>
      </c>
      <c r="G57" s="2">
        <f>IFERROR(__xludf.DUMMYFUNCTION("""COMPUTED_VALUE"""),1.0)</f>
        <v>1</v>
      </c>
      <c r="H57" s="2">
        <f>IFERROR(__xludf.DUMMYFUNCTION("""COMPUTED_VALUE"""),0.0)</f>
        <v>0</v>
      </c>
      <c r="I57" s="1"/>
      <c r="J57" s="2">
        <f>IFERROR(__xludf.DUMMYFUNCTION("""COMPUTED_VALUE"""),10.0)</f>
        <v>10</v>
      </c>
      <c r="K57" s="2">
        <f>IFERROR(__xludf.DUMMYFUNCTION("""COMPUTED_VALUE"""),0.0)</f>
        <v>0</v>
      </c>
      <c r="L57" s="1"/>
      <c r="M57" s="3">
        <f>IFERROR(__xludf.DUMMYFUNCTION("""COMPUTED_VALUE"""),10.0)</f>
        <v>10</v>
      </c>
      <c r="N57" s="1"/>
      <c r="O57" s="2" t="str">
        <f>IFERROR(__xludf.DUMMYFUNCTION("""COMPUTED_VALUE"""),"")</f>
        <v/>
      </c>
      <c r="P57" s="2">
        <f>IFERROR(__xludf.DUMMYFUNCTION("""COMPUTED_VALUE"""),10.0)</f>
        <v>10</v>
      </c>
      <c r="Q57" s="1"/>
      <c r="R57" s="1"/>
      <c r="S57" s="1"/>
      <c r="T57" s="1">
        <f>IFERROR(__xludf.DUMMYFUNCTION("""COMPUTED_VALUE"""),1152.0)</f>
        <v>1152</v>
      </c>
    </row>
    <row r="58">
      <c r="A58" s="1"/>
      <c r="B58" s="1"/>
      <c r="C58" s="1" t="str">
        <f>IFERROR(__xludf.DUMMYFUNCTION("""COMPUTED_VALUE"""),"-")</f>
        <v>-</v>
      </c>
      <c r="D58" s="1" t="str">
        <f>IFERROR(__xludf.DUMMYFUNCTION("""COMPUTED_VALUE"""),"DI VENETO - (RIBEIRO)")</f>
        <v>DI VENETO - (RIBEIRO)</v>
      </c>
      <c r="E58" s="1" t="str">
        <f>IFERROR(__xludf.DUMMYFUNCTION("""COMPUTED_VALUE"""),"ARROZ ARBOREO")</f>
        <v>ARROZ ARBOREO</v>
      </c>
      <c r="F58" s="1" t="str">
        <f>IFERROR(__xludf.DUMMYFUNCTION("""COMPUTED_VALUE"""),"UN")</f>
        <v>UN</v>
      </c>
      <c r="G58" s="2">
        <f>IFERROR(__xludf.DUMMYFUNCTION("""COMPUTED_VALUE"""),1.0)</f>
        <v>1</v>
      </c>
      <c r="H58" s="2">
        <f>IFERROR(__xludf.DUMMYFUNCTION("""COMPUTED_VALUE"""),0.0)</f>
        <v>0</v>
      </c>
      <c r="I58" s="1"/>
      <c r="J58" s="2">
        <f>IFERROR(__xludf.DUMMYFUNCTION("""COMPUTED_VALUE"""),27.0)</f>
        <v>27</v>
      </c>
      <c r="K58" s="2">
        <f>IFERROR(__xludf.DUMMYFUNCTION("""COMPUTED_VALUE"""),0.0)</f>
        <v>0</v>
      </c>
      <c r="L58" s="1"/>
      <c r="M58" s="3">
        <f>IFERROR(__xludf.DUMMYFUNCTION("""COMPUTED_VALUE"""),27.0)</f>
        <v>27</v>
      </c>
      <c r="N58" s="1"/>
      <c r="O58" s="2" t="str">
        <f>IFERROR(__xludf.DUMMYFUNCTION("""COMPUTED_VALUE"""),"")</f>
        <v/>
      </c>
      <c r="P58" s="2">
        <f>IFERROR(__xludf.DUMMYFUNCTION("""COMPUTED_VALUE"""),27.0)</f>
        <v>27</v>
      </c>
      <c r="Q58" s="1"/>
      <c r="R58" s="1"/>
      <c r="S58" s="1"/>
      <c r="T58" s="1">
        <f>IFERROR(__xludf.DUMMYFUNCTION("""COMPUTED_VALUE"""),1159.0)</f>
        <v>1159</v>
      </c>
    </row>
    <row r="59">
      <c r="A59" s="1"/>
      <c r="B59" s="1"/>
      <c r="C59" s="1" t="str">
        <f>IFERROR(__xludf.DUMMYFUNCTION("""COMPUTED_VALUE"""),"-")</f>
        <v>-</v>
      </c>
      <c r="D59" s="1" t="str">
        <f>IFERROR(__xludf.DUMMYFUNCTION("""COMPUTED_VALUE"""),"DI VENETO - (RIBEIRO)")</f>
        <v>DI VENETO - (RIBEIRO)</v>
      </c>
      <c r="E59" s="1" t="str">
        <f>IFERROR(__xludf.DUMMYFUNCTION("""COMPUTED_VALUE"""),"MIX CAMARÃO")</f>
        <v>MIX CAMARÃO</v>
      </c>
      <c r="F59" s="1" t="str">
        <f>IFERROR(__xludf.DUMMYFUNCTION("""COMPUTED_VALUE"""),"UN")</f>
        <v>UN</v>
      </c>
      <c r="G59" s="2">
        <f>IFERROR(__xludf.DUMMYFUNCTION("""COMPUTED_VALUE"""),1.0)</f>
        <v>1</v>
      </c>
      <c r="H59" s="2">
        <f>IFERROR(__xludf.DUMMYFUNCTION("""COMPUTED_VALUE"""),0.0)</f>
        <v>0</v>
      </c>
      <c r="I59" s="1"/>
      <c r="J59" s="2">
        <f>IFERROR(__xludf.DUMMYFUNCTION("""COMPUTED_VALUE"""),20.0)</f>
        <v>20</v>
      </c>
      <c r="K59" s="2">
        <f>IFERROR(__xludf.DUMMYFUNCTION("""COMPUTED_VALUE"""),0.0)</f>
        <v>0</v>
      </c>
      <c r="L59" s="1"/>
      <c r="M59" s="3">
        <f>IFERROR(__xludf.DUMMYFUNCTION("""COMPUTED_VALUE"""),20.0)</f>
        <v>20</v>
      </c>
      <c r="N59" s="1"/>
      <c r="O59" s="2" t="str">
        <f>IFERROR(__xludf.DUMMYFUNCTION("""COMPUTED_VALUE"""),"")</f>
        <v/>
      </c>
      <c r="P59" s="2">
        <f>IFERROR(__xludf.DUMMYFUNCTION("""COMPUTED_VALUE"""),20.0)</f>
        <v>20</v>
      </c>
      <c r="Q59" s="1"/>
      <c r="R59" s="1"/>
      <c r="S59" s="1"/>
      <c r="T59" s="1">
        <f>IFERROR(__xludf.DUMMYFUNCTION("""COMPUTED_VALUE"""),1158.0)</f>
        <v>1158</v>
      </c>
    </row>
    <row r="60">
      <c r="A60" s="1"/>
      <c r="B60" s="1"/>
      <c r="C60" s="1" t="str">
        <f>IFERROR(__xludf.DUMMYFUNCTION("""COMPUTED_VALUE"""),"-")</f>
        <v>-</v>
      </c>
      <c r="D60" s="1" t="str">
        <f>IFERROR(__xludf.DUMMYFUNCTION("""COMPUTED_VALUE"""),"DI VENETO - (RIBEIRO)")</f>
        <v>DI VENETO - (RIBEIRO)</v>
      </c>
      <c r="E60" s="1" t="str">
        <f>IFERROR(__xludf.DUMMYFUNCTION("""COMPUTED_VALUE"""),"MIX FUNGHI")</f>
        <v>MIX FUNGHI</v>
      </c>
      <c r="F60" s="1" t="str">
        <f>IFERROR(__xludf.DUMMYFUNCTION("""COMPUTED_VALUE"""),"UN")</f>
        <v>UN</v>
      </c>
      <c r="G60" s="2">
        <f>IFERROR(__xludf.DUMMYFUNCTION("""COMPUTED_VALUE"""),1.0)</f>
        <v>1</v>
      </c>
      <c r="H60" s="2">
        <f>IFERROR(__xludf.DUMMYFUNCTION("""COMPUTED_VALUE"""),0.0)</f>
        <v>0</v>
      </c>
      <c r="I60" s="1"/>
      <c r="J60" s="2">
        <f>IFERROR(__xludf.DUMMYFUNCTION("""COMPUTED_VALUE"""),17.0)</f>
        <v>17</v>
      </c>
      <c r="K60" s="2">
        <f>IFERROR(__xludf.DUMMYFUNCTION("""COMPUTED_VALUE"""),0.0)</f>
        <v>0</v>
      </c>
      <c r="L60" s="1"/>
      <c r="M60" s="3">
        <f>IFERROR(__xludf.DUMMYFUNCTION("""COMPUTED_VALUE"""),17.0)</f>
        <v>17</v>
      </c>
      <c r="N60" s="1"/>
      <c r="O60" s="2" t="str">
        <f>IFERROR(__xludf.DUMMYFUNCTION("""COMPUTED_VALUE"""),"")</f>
        <v/>
      </c>
      <c r="P60" s="2">
        <f>IFERROR(__xludf.DUMMYFUNCTION("""COMPUTED_VALUE"""),17.0)</f>
        <v>17</v>
      </c>
      <c r="Q60" s="1"/>
      <c r="R60" s="1"/>
      <c r="S60" s="1"/>
      <c r="T60" s="1">
        <f>IFERROR(__xludf.DUMMYFUNCTION("""COMPUTED_VALUE"""),1154.0)</f>
        <v>1154</v>
      </c>
    </row>
    <row r="61">
      <c r="A61" s="1"/>
      <c r="B61" s="1"/>
      <c r="C61" s="1" t="str">
        <f>IFERROR(__xludf.DUMMYFUNCTION("""COMPUTED_VALUE"""),"-")</f>
        <v>-</v>
      </c>
      <c r="D61" s="1" t="str">
        <f>IFERROR(__xludf.DUMMYFUNCTION("""COMPUTED_VALUE"""),"DI VENETO - (RIBEIRO)")</f>
        <v>DI VENETO - (RIBEIRO)</v>
      </c>
      <c r="E61" s="1" t="str">
        <f>IFERROR(__xludf.DUMMYFUNCTION("""COMPUTED_VALUE"""),"STROGONOFE FRANGO")</f>
        <v>STROGONOFE FRANGO</v>
      </c>
      <c r="F61" s="1" t="str">
        <f>IFERROR(__xludf.DUMMYFUNCTION("""COMPUTED_VALUE"""),"UN")</f>
        <v>UN</v>
      </c>
      <c r="G61" s="2">
        <f>IFERROR(__xludf.DUMMYFUNCTION("""COMPUTED_VALUE"""),1.0)</f>
        <v>1</v>
      </c>
      <c r="H61" s="2">
        <f>IFERROR(__xludf.DUMMYFUNCTION("""COMPUTED_VALUE"""),0.0)</f>
        <v>0</v>
      </c>
      <c r="I61" s="1"/>
      <c r="J61" s="2">
        <f>IFERROR(__xludf.DUMMYFUNCTION("""COMPUTED_VALUE"""),17.0)</f>
        <v>17</v>
      </c>
      <c r="K61" s="2">
        <f>IFERROR(__xludf.DUMMYFUNCTION("""COMPUTED_VALUE"""),0.0)</f>
        <v>0</v>
      </c>
      <c r="L61" s="1"/>
      <c r="M61" s="3">
        <f>IFERROR(__xludf.DUMMYFUNCTION("""COMPUTED_VALUE"""),17.0)</f>
        <v>17</v>
      </c>
      <c r="N61" s="1"/>
      <c r="O61" s="2" t="str">
        <f>IFERROR(__xludf.DUMMYFUNCTION("""COMPUTED_VALUE"""),"")</f>
        <v/>
      </c>
      <c r="P61" s="2">
        <f>IFERROR(__xludf.DUMMYFUNCTION("""COMPUTED_VALUE"""),17.0)</f>
        <v>17</v>
      </c>
      <c r="Q61" s="1"/>
      <c r="R61" s="1"/>
      <c r="S61" s="1"/>
      <c r="T61" s="1">
        <f>IFERROR(__xludf.DUMMYFUNCTION("""COMPUTED_VALUE"""),769.0)</f>
        <v>769</v>
      </c>
    </row>
    <row r="62">
      <c r="A62" s="1"/>
      <c r="B62" s="1"/>
      <c r="C62" s="1" t="str">
        <f>IFERROR(__xludf.DUMMYFUNCTION("""COMPUTED_VALUE"""),"-")</f>
        <v>-</v>
      </c>
      <c r="D62" s="1" t="str">
        <f>IFERROR(__xludf.DUMMYFUNCTION("""COMPUTED_VALUE"""),"DI VENETO - (RIBEIRO)")</f>
        <v>DI VENETO - (RIBEIRO)</v>
      </c>
      <c r="E62" s="1" t="str">
        <f>IFERROR(__xludf.DUMMYFUNCTION("""COMPUTED_VALUE"""),"STROGONOFE CARNE")</f>
        <v>STROGONOFE CARNE</v>
      </c>
      <c r="F62" s="1" t="str">
        <f>IFERROR(__xludf.DUMMYFUNCTION("""COMPUTED_VALUE"""),"UN")</f>
        <v>UN</v>
      </c>
      <c r="G62" s="2">
        <f>IFERROR(__xludf.DUMMYFUNCTION("""COMPUTED_VALUE"""),1.0)</f>
        <v>1</v>
      </c>
      <c r="H62" s="2">
        <f>IFERROR(__xludf.DUMMYFUNCTION("""COMPUTED_VALUE"""),0.0)</f>
        <v>0</v>
      </c>
      <c r="I62" s="1"/>
      <c r="J62" s="2">
        <f>IFERROR(__xludf.DUMMYFUNCTION("""COMPUTED_VALUE"""),9.0)</f>
        <v>9</v>
      </c>
      <c r="K62" s="2">
        <f>IFERROR(__xludf.DUMMYFUNCTION("""COMPUTED_VALUE"""),0.0)</f>
        <v>0</v>
      </c>
      <c r="L62" s="1"/>
      <c r="M62" s="3">
        <f>IFERROR(__xludf.DUMMYFUNCTION("""COMPUTED_VALUE"""),9.25)</f>
        <v>9.25</v>
      </c>
      <c r="N62" s="1"/>
      <c r="O62" s="2" t="str">
        <f>IFERROR(__xludf.DUMMYFUNCTION("""COMPUTED_VALUE"""),"")</f>
        <v/>
      </c>
      <c r="P62" s="2">
        <f>IFERROR(__xludf.DUMMYFUNCTION("""COMPUTED_VALUE"""),9.0)</f>
        <v>9</v>
      </c>
      <c r="Q62" s="1"/>
      <c r="R62" s="1"/>
      <c r="S62" s="1"/>
      <c r="T62" s="1">
        <f>IFERROR(__xludf.DUMMYFUNCTION("""COMPUTED_VALUE"""),777.0)</f>
        <v>777</v>
      </c>
    </row>
    <row r="63">
      <c r="A63" s="1"/>
      <c r="B63" s="1"/>
      <c r="C63" s="1" t="str">
        <f>IFERROR(__xludf.DUMMYFUNCTION("""COMPUTED_VALUE"""),"-")</f>
        <v>-</v>
      </c>
      <c r="D63" s="1" t="str">
        <f>IFERROR(__xludf.DUMMYFUNCTION("""COMPUTED_VALUE"""),"DI VENETO - (RIBEIRO)")</f>
        <v>DI VENETO - (RIBEIRO)</v>
      </c>
      <c r="E63" s="1" t="str">
        <f>IFERROR(__xludf.DUMMYFUNCTION("""COMPUTED_VALUE"""),"ARROZ BRANCO")</f>
        <v>ARROZ BRANCO</v>
      </c>
      <c r="F63" s="1" t="str">
        <f>IFERROR(__xludf.DUMMYFUNCTION("""COMPUTED_VALUE"""),"UN")</f>
        <v>UN</v>
      </c>
      <c r="G63" s="2">
        <f>IFERROR(__xludf.DUMMYFUNCTION("""COMPUTED_VALUE"""),1.0)</f>
        <v>1</v>
      </c>
      <c r="H63" s="2">
        <f>IFERROR(__xludf.DUMMYFUNCTION("""COMPUTED_VALUE"""),0.0)</f>
        <v>0</v>
      </c>
      <c r="I63" s="1"/>
      <c r="J63" s="2">
        <f>IFERROR(__xludf.DUMMYFUNCTION("""COMPUTED_VALUE"""),66.0)</f>
        <v>66</v>
      </c>
      <c r="K63" s="2">
        <f>IFERROR(__xludf.DUMMYFUNCTION("""COMPUTED_VALUE"""),0.0)</f>
        <v>0</v>
      </c>
      <c r="L63" s="1"/>
      <c r="M63" s="3">
        <f>IFERROR(__xludf.DUMMYFUNCTION("""COMPUTED_VALUE"""),66.0)</f>
        <v>66</v>
      </c>
      <c r="N63" s="1"/>
      <c r="O63" s="2" t="str">
        <f>IFERROR(__xludf.DUMMYFUNCTION("""COMPUTED_VALUE"""),"")</f>
        <v/>
      </c>
      <c r="P63" s="2">
        <f>IFERROR(__xludf.DUMMYFUNCTION("""COMPUTED_VALUE"""),66.0)</f>
        <v>66</v>
      </c>
      <c r="Q63" s="1"/>
      <c r="R63" s="1"/>
      <c r="S63" s="1"/>
      <c r="T63" s="1">
        <f>IFERROR(__xludf.DUMMYFUNCTION("""COMPUTED_VALUE"""),704.0)</f>
        <v>704</v>
      </c>
    </row>
    <row r="64">
      <c r="A64" s="1"/>
      <c r="B64" s="1"/>
      <c r="C64" s="1" t="str">
        <f>IFERROR(__xludf.DUMMYFUNCTION("""COMPUTED_VALUE"""),"-")</f>
        <v>-</v>
      </c>
      <c r="D64" s="1" t="str">
        <f>IFERROR(__xludf.DUMMYFUNCTION("""COMPUTED_VALUE"""),"DI VENETO - (RIBEIRO)")</f>
        <v>DI VENETO - (RIBEIRO)</v>
      </c>
      <c r="E64" s="1" t="str">
        <f>IFERROR(__xludf.DUMMYFUNCTION("""COMPUTED_VALUE"""),"CALDO VERDE À PORTUGUESA")</f>
        <v>CALDO VERDE À PORTUGUESA</v>
      </c>
      <c r="F64" s="1" t="str">
        <f>IFERROR(__xludf.DUMMYFUNCTION("""COMPUTED_VALUE"""),"UN")</f>
        <v>UN</v>
      </c>
      <c r="G64" s="2">
        <f>IFERROR(__xludf.DUMMYFUNCTION("""COMPUTED_VALUE"""),1.0)</f>
        <v>1</v>
      </c>
      <c r="H64" s="2">
        <f>IFERROR(__xludf.DUMMYFUNCTION("""COMPUTED_VALUE"""),0.0)</f>
        <v>0</v>
      </c>
      <c r="I64" s="1"/>
      <c r="J64" s="2">
        <f>IFERROR(__xludf.DUMMYFUNCTION("""COMPUTED_VALUE"""),3.0)</f>
        <v>3</v>
      </c>
      <c r="K64" s="2">
        <f>IFERROR(__xludf.DUMMYFUNCTION("""COMPUTED_VALUE"""),0.0)</f>
        <v>0</v>
      </c>
      <c r="L64" s="1"/>
      <c r="M64" s="3">
        <f>IFERROR(__xludf.DUMMYFUNCTION("""COMPUTED_VALUE"""),3.0)</f>
        <v>3</v>
      </c>
      <c r="N64" s="1"/>
      <c r="O64" s="2" t="str">
        <f>IFERROR(__xludf.DUMMYFUNCTION("""COMPUTED_VALUE"""),"")</f>
        <v/>
      </c>
      <c r="P64" s="2">
        <f>IFERROR(__xludf.DUMMYFUNCTION("""COMPUTED_VALUE"""),3.0)</f>
        <v>3</v>
      </c>
      <c r="Q64" s="1"/>
      <c r="R64" s="1"/>
      <c r="S64" s="1"/>
      <c r="T64" s="1">
        <f>IFERROR(__xludf.DUMMYFUNCTION("""COMPUTED_VALUE"""),148.0)</f>
        <v>148</v>
      </c>
    </row>
    <row r="65">
      <c r="A65" s="1"/>
      <c r="B65" s="1"/>
      <c r="C65" s="1" t="str">
        <f>IFERROR(__xludf.DUMMYFUNCTION("""COMPUTED_VALUE"""),"-")</f>
        <v>-</v>
      </c>
      <c r="D65" s="1" t="str">
        <f>IFERROR(__xludf.DUMMYFUNCTION("""COMPUTED_VALUE"""),"DI VENETO - (RIBEIRO)")</f>
        <v>DI VENETO - (RIBEIRO)</v>
      </c>
      <c r="E65" s="1" t="str">
        <f>IFERROR(__xludf.DUMMYFUNCTION("""COMPUTED_VALUE"""),"CALDO DE MANDIOQUINHA C/ CARNE SECA")</f>
        <v>CALDO DE MANDIOQUINHA C/ CARNE SECA</v>
      </c>
      <c r="F65" s="1" t="str">
        <f>IFERROR(__xludf.DUMMYFUNCTION("""COMPUTED_VALUE"""),"UN")</f>
        <v>UN</v>
      </c>
      <c r="G65" s="2">
        <f>IFERROR(__xludf.DUMMYFUNCTION("""COMPUTED_VALUE"""),1.0)</f>
        <v>1</v>
      </c>
      <c r="H65" s="2">
        <f>IFERROR(__xludf.DUMMYFUNCTION("""COMPUTED_VALUE"""),0.0)</f>
        <v>0</v>
      </c>
      <c r="I65" s="1"/>
      <c r="J65" s="2">
        <f>IFERROR(__xludf.DUMMYFUNCTION("""COMPUTED_VALUE"""),16.0)</f>
        <v>16</v>
      </c>
      <c r="K65" s="2">
        <f>IFERROR(__xludf.DUMMYFUNCTION("""COMPUTED_VALUE"""),0.0)</f>
        <v>0</v>
      </c>
      <c r="L65" s="1"/>
      <c r="M65" s="3">
        <f>IFERROR(__xludf.DUMMYFUNCTION("""COMPUTED_VALUE"""),16.0)</f>
        <v>16</v>
      </c>
      <c r="N65" s="1"/>
      <c r="O65" s="2" t="str">
        <f>IFERROR(__xludf.DUMMYFUNCTION("""COMPUTED_VALUE"""),"")</f>
        <v/>
      </c>
      <c r="P65" s="2">
        <f>IFERROR(__xludf.DUMMYFUNCTION("""COMPUTED_VALUE"""),16.0)</f>
        <v>16</v>
      </c>
      <c r="Q65" s="1"/>
      <c r="R65" s="1"/>
      <c r="S65" s="1"/>
      <c r="T65" s="1">
        <f>IFERROR(__xludf.DUMMYFUNCTION("""COMPUTED_VALUE"""),483.0)</f>
        <v>483</v>
      </c>
    </row>
    <row r="66">
      <c r="A66" s="1"/>
      <c r="B66" s="1"/>
      <c r="C66" s="1" t="str">
        <f>IFERROR(__xludf.DUMMYFUNCTION("""COMPUTED_VALUE"""),"-")</f>
        <v>-</v>
      </c>
      <c r="D66" s="1" t="str">
        <f>IFERROR(__xludf.DUMMYFUNCTION("""COMPUTED_VALUE"""),"DI VENETO - (RIBEIRO)")</f>
        <v>DI VENETO - (RIBEIRO)</v>
      </c>
      <c r="E66" s="1" t="str">
        <f>IFERROR(__xludf.DUMMYFUNCTION("""COMPUTED_VALUE"""),"MOLHO DE TOMATE + MANJERIÇÃO")</f>
        <v>MOLHO DE TOMATE + MANJERIÇÃO</v>
      </c>
      <c r="F66" s="1" t="str">
        <f>IFERROR(__xludf.DUMMYFUNCTION("""COMPUTED_VALUE"""),"UN")</f>
        <v>UN</v>
      </c>
      <c r="G66" s="2">
        <f>IFERROR(__xludf.DUMMYFUNCTION("""COMPUTED_VALUE"""),1.0)</f>
        <v>1</v>
      </c>
      <c r="H66" s="2">
        <f>IFERROR(__xludf.DUMMYFUNCTION("""COMPUTED_VALUE"""),0.0)</f>
        <v>0</v>
      </c>
      <c r="I66" s="1"/>
      <c r="J66" s="2">
        <f>IFERROR(__xludf.DUMMYFUNCTION("""COMPUTED_VALUE"""),24.0)</f>
        <v>24</v>
      </c>
      <c r="K66" s="2">
        <f>IFERROR(__xludf.DUMMYFUNCTION("""COMPUTED_VALUE"""),0.0)</f>
        <v>0</v>
      </c>
      <c r="L66" s="1"/>
      <c r="M66" s="3">
        <f>IFERROR(__xludf.DUMMYFUNCTION("""COMPUTED_VALUE"""),24.0)</f>
        <v>24</v>
      </c>
      <c r="N66" s="1"/>
      <c r="O66" s="2" t="str">
        <f>IFERROR(__xludf.DUMMYFUNCTION("""COMPUTED_VALUE"""),"")</f>
        <v/>
      </c>
      <c r="P66" s="2">
        <f>IFERROR(__xludf.DUMMYFUNCTION("""COMPUTED_VALUE"""),24.0)</f>
        <v>24</v>
      </c>
      <c r="Q66" s="1"/>
      <c r="R66" s="1"/>
      <c r="S66" s="1"/>
      <c r="T66" s="1">
        <f>IFERROR(__xludf.DUMMYFUNCTION("""COMPUTED_VALUE"""),501.0)</f>
        <v>501</v>
      </c>
    </row>
    <row r="67">
      <c r="A67" s="1"/>
      <c r="B67" s="1"/>
      <c r="C67" s="1" t="str">
        <f>IFERROR(__xludf.DUMMYFUNCTION("""COMPUTED_VALUE"""),"-")</f>
        <v>-</v>
      </c>
      <c r="D67" s="1" t="str">
        <f>IFERROR(__xludf.DUMMYFUNCTION("""COMPUTED_VALUE"""),"DI VENETO - (RIBEIRO)")</f>
        <v>DI VENETO - (RIBEIRO)</v>
      </c>
      <c r="E67" s="1" t="str">
        <f>IFERROR(__xludf.DUMMYFUNCTION("""COMPUTED_VALUE"""),"FILÉ FRANGO EMPANADO")</f>
        <v>FILÉ FRANGO EMPANADO</v>
      </c>
      <c r="F67" s="1" t="str">
        <f>IFERROR(__xludf.DUMMYFUNCTION("""COMPUTED_VALUE"""),"UN")</f>
        <v>UN</v>
      </c>
      <c r="G67" s="2">
        <f>IFERROR(__xludf.DUMMYFUNCTION("""COMPUTED_VALUE"""),1.0)</f>
        <v>1</v>
      </c>
      <c r="H67" s="2">
        <f>IFERROR(__xludf.DUMMYFUNCTION("""COMPUTED_VALUE"""),0.0)</f>
        <v>0</v>
      </c>
      <c r="I67" s="1"/>
      <c r="J67" s="2">
        <f>IFERROR(__xludf.DUMMYFUNCTION("""COMPUTED_VALUE"""),64.0)</f>
        <v>64</v>
      </c>
      <c r="K67" s="2">
        <f>IFERROR(__xludf.DUMMYFUNCTION("""COMPUTED_VALUE"""),0.0)</f>
        <v>0</v>
      </c>
      <c r="L67" s="1"/>
      <c r="M67" s="3">
        <f>IFERROR(__xludf.DUMMYFUNCTION("""COMPUTED_VALUE"""),64.0)</f>
        <v>64</v>
      </c>
      <c r="N67" s="1"/>
      <c r="O67" s="2" t="str">
        <f>IFERROR(__xludf.DUMMYFUNCTION("""COMPUTED_VALUE"""),"")</f>
        <v/>
      </c>
      <c r="P67" s="2">
        <f>IFERROR(__xludf.DUMMYFUNCTION("""COMPUTED_VALUE"""),64.0)</f>
        <v>64</v>
      </c>
      <c r="Q67" s="1"/>
      <c r="R67" s="1"/>
      <c r="S67" s="1"/>
      <c r="T67" s="1">
        <f>IFERROR(__xludf.DUMMYFUNCTION("""COMPUTED_VALUE"""),1220.0)</f>
        <v>1220</v>
      </c>
    </row>
    <row r="68">
      <c r="A68" s="1"/>
      <c r="B68" s="1"/>
      <c r="C68" s="1" t="str">
        <f>IFERROR(__xludf.DUMMYFUNCTION("""COMPUTED_VALUE"""),"-")</f>
        <v>-</v>
      </c>
      <c r="D68" s="1" t="str">
        <f>IFERROR(__xludf.DUMMYFUNCTION("""COMPUTED_VALUE"""),"DI VENETO - (RIBEIRO)")</f>
        <v>DI VENETO - (RIBEIRO)</v>
      </c>
      <c r="E68" s="1" t="str">
        <f>IFERROR(__xludf.DUMMYFUNCTION("""COMPUTED_VALUE"""),"MOLHO PESTO")</f>
        <v>MOLHO PESTO</v>
      </c>
      <c r="F68" s="1" t="str">
        <f>IFERROR(__xludf.DUMMYFUNCTION("""COMPUTED_VALUE"""),"UN")</f>
        <v>UN</v>
      </c>
      <c r="G68" s="2">
        <f>IFERROR(__xludf.DUMMYFUNCTION("""COMPUTED_VALUE"""),1.0)</f>
        <v>1</v>
      </c>
      <c r="H68" s="2">
        <f>IFERROR(__xludf.DUMMYFUNCTION("""COMPUTED_VALUE"""),0.0)</f>
        <v>0</v>
      </c>
      <c r="I68" s="1"/>
      <c r="J68" s="2">
        <f>IFERROR(__xludf.DUMMYFUNCTION("""COMPUTED_VALUE"""),0.0)</f>
        <v>0</v>
      </c>
      <c r="K68" s="2">
        <f>IFERROR(__xludf.DUMMYFUNCTION("""COMPUTED_VALUE"""),0.0)</f>
        <v>0</v>
      </c>
      <c r="L68" s="1"/>
      <c r="M68" s="3" t="str">
        <f>IFERROR(__xludf.DUMMYFUNCTION("""COMPUTED_VALUE"""),"")</f>
        <v/>
      </c>
      <c r="N68" s="1"/>
      <c r="O68" s="2" t="str">
        <f>IFERROR(__xludf.DUMMYFUNCTION("""COMPUTED_VALUE"""),"")</f>
        <v/>
      </c>
      <c r="P68" s="2">
        <f>IFERROR(__xludf.DUMMYFUNCTION("""COMPUTED_VALUE"""),0.0)</f>
        <v>0</v>
      </c>
      <c r="Q68" s="1"/>
      <c r="R68" s="1"/>
      <c r="S68" s="1"/>
      <c r="T68" s="1">
        <f>IFERROR(__xludf.DUMMYFUNCTION("""COMPUTED_VALUE"""),1225.0)</f>
        <v>1225</v>
      </c>
    </row>
    <row r="69">
      <c r="A69" s="1"/>
      <c r="B69" s="1"/>
      <c r="C69" s="1" t="str">
        <f>IFERROR(__xludf.DUMMYFUNCTION("""COMPUTED_VALUE"""),"-")</f>
        <v>-</v>
      </c>
      <c r="D69" s="1" t="str">
        <f>IFERROR(__xludf.DUMMYFUNCTION("""COMPUTED_VALUE"""),"DI VENETO - (RIBEIRO)")</f>
        <v>DI VENETO - (RIBEIRO)</v>
      </c>
      <c r="E69" s="1" t="str">
        <f>IFERROR(__xludf.DUMMYFUNCTION("""COMPUTED_VALUE"""),"CREME DE MILHO")</f>
        <v>CREME DE MILHO</v>
      </c>
      <c r="F69" s="1" t="str">
        <f>IFERROR(__xludf.DUMMYFUNCTION("""COMPUTED_VALUE"""),"UN")</f>
        <v>UN</v>
      </c>
      <c r="G69" s="2">
        <f>IFERROR(__xludf.DUMMYFUNCTION("""COMPUTED_VALUE"""),1.0)</f>
        <v>1</v>
      </c>
      <c r="H69" s="2">
        <f>IFERROR(__xludf.DUMMYFUNCTION("""COMPUTED_VALUE"""),0.0)</f>
        <v>0</v>
      </c>
      <c r="I69" s="1"/>
      <c r="J69" s="2">
        <f>IFERROR(__xludf.DUMMYFUNCTION("""COMPUTED_VALUE"""),9.0)</f>
        <v>9</v>
      </c>
      <c r="K69" s="2">
        <f>IFERROR(__xludf.DUMMYFUNCTION("""COMPUTED_VALUE"""),0.0)</f>
        <v>0</v>
      </c>
      <c r="L69" s="1"/>
      <c r="M69" s="3">
        <f>IFERROR(__xludf.DUMMYFUNCTION("""COMPUTED_VALUE"""),9.0)</f>
        <v>9</v>
      </c>
      <c r="N69" s="1"/>
      <c r="O69" s="2" t="str">
        <f>IFERROR(__xludf.DUMMYFUNCTION("""COMPUTED_VALUE"""),"")</f>
        <v/>
      </c>
      <c r="P69" s="2">
        <f>IFERROR(__xludf.DUMMYFUNCTION("""COMPUTED_VALUE"""),9.0)</f>
        <v>9</v>
      </c>
      <c r="Q69" s="1"/>
      <c r="R69" s="1"/>
      <c r="S69" s="1"/>
      <c r="T69" s="1">
        <f>IFERROR(__xludf.DUMMYFUNCTION("""COMPUTED_VALUE"""),1227.0)</f>
        <v>1227</v>
      </c>
    </row>
    <row r="70">
      <c r="A70" s="1"/>
      <c r="B70" s="1"/>
      <c r="C70" s="1" t="str">
        <f>IFERROR(__xludf.DUMMYFUNCTION("""COMPUTED_VALUE"""),"-")</f>
        <v>-</v>
      </c>
      <c r="D70" s="1" t="str">
        <f>IFERROR(__xludf.DUMMYFUNCTION("""COMPUTED_VALUE"""),"DI VENETO - (RIBEIRO)")</f>
        <v>DI VENETO - (RIBEIRO)</v>
      </c>
      <c r="E70" s="1" t="str">
        <f>IFERROR(__xludf.DUMMYFUNCTION("""COMPUTED_VALUE"""),"LEGUMES PANACHÉ")</f>
        <v>LEGUMES PANACHÉ</v>
      </c>
      <c r="F70" s="1" t="str">
        <f>IFERROR(__xludf.DUMMYFUNCTION("""COMPUTED_VALUE"""),"UN")</f>
        <v>UN</v>
      </c>
      <c r="G70" s="2">
        <f>IFERROR(__xludf.DUMMYFUNCTION("""COMPUTED_VALUE"""),1.0)</f>
        <v>1</v>
      </c>
      <c r="H70" s="2">
        <f>IFERROR(__xludf.DUMMYFUNCTION("""COMPUTED_VALUE"""),0.0)</f>
        <v>0</v>
      </c>
      <c r="I70" s="1"/>
      <c r="J70" s="2">
        <f>IFERROR(__xludf.DUMMYFUNCTION("""COMPUTED_VALUE"""),9.0)</f>
        <v>9</v>
      </c>
      <c r="K70" s="2">
        <f>IFERROR(__xludf.DUMMYFUNCTION("""COMPUTED_VALUE"""),0.0)</f>
        <v>0</v>
      </c>
      <c r="L70" s="1"/>
      <c r="M70" s="3">
        <f>IFERROR(__xludf.DUMMYFUNCTION("""COMPUTED_VALUE"""),9.0)</f>
        <v>9</v>
      </c>
      <c r="N70" s="1"/>
      <c r="O70" s="2" t="str">
        <f>IFERROR(__xludf.DUMMYFUNCTION("""COMPUTED_VALUE"""),"")</f>
        <v/>
      </c>
      <c r="P70" s="2">
        <f>IFERROR(__xludf.DUMMYFUNCTION("""COMPUTED_VALUE"""),9.0)</f>
        <v>9</v>
      </c>
      <c r="Q70" s="1"/>
      <c r="R70" s="1"/>
      <c r="S70" s="1"/>
      <c r="T70" s="1">
        <f>IFERROR(__xludf.DUMMYFUNCTION("""COMPUTED_VALUE"""),1228.0)</f>
        <v>1228</v>
      </c>
    </row>
    <row r="71">
      <c r="A71" s="1"/>
      <c r="B71" s="1"/>
      <c r="C71" s="1" t="str">
        <f>IFERROR(__xludf.DUMMYFUNCTION("""COMPUTED_VALUE"""),"-")</f>
        <v>-</v>
      </c>
      <c r="D71" s="1" t="str">
        <f>IFERROR(__xludf.DUMMYFUNCTION("""COMPUTED_VALUE"""),"DI VENETO - (RIBEIRO)")</f>
        <v>DI VENETO - (RIBEIRO)</v>
      </c>
      <c r="E71" s="1" t="str">
        <f>IFERROR(__xludf.DUMMYFUNCTION("""COMPUTED_VALUE"""),"CARNE EM CUBOS")</f>
        <v>CARNE EM CUBOS</v>
      </c>
      <c r="F71" s="1" t="str">
        <f>IFERROR(__xludf.DUMMYFUNCTION("""COMPUTED_VALUE"""),"UN")</f>
        <v>UN</v>
      </c>
      <c r="G71" s="2">
        <f>IFERROR(__xludf.DUMMYFUNCTION("""COMPUTED_VALUE"""),1.0)</f>
        <v>1</v>
      </c>
      <c r="H71" s="2">
        <f>IFERROR(__xludf.DUMMYFUNCTION("""COMPUTED_VALUE"""),0.0)</f>
        <v>0</v>
      </c>
      <c r="I71" s="1"/>
      <c r="J71" s="2">
        <f>IFERROR(__xludf.DUMMYFUNCTION("""COMPUTED_VALUE"""),15.0)</f>
        <v>15</v>
      </c>
      <c r="K71" s="2">
        <f>IFERROR(__xludf.DUMMYFUNCTION("""COMPUTED_VALUE"""),0.0)</f>
        <v>0</v>
      </c>
      <c r="L71" s="1"/>
      <c r="M71" s="3">
        <f>IFERROR(__xludf.DUMMYFUNCTION("""COMPUTED_VALUE"""),15.0)</f>
        <v>15</v>
      </c>
      <c r="N71" s="1"/>
      <c r="O71" s="2" t="str">
        <f>IFERROR(__xludf.DUMMYFUNCTION("""COMPUTED_VALUE"""),"")</f>
        <v/>
      </c>
      <c r="P71" s="2">
        <f>IFERROR(__xludf.DUMMYFUNCTION("""COMPUTED_VALUE"""),15.0)</f>
        <v>15</v>
      </c>
      <c r="Q71" s="1"/>
      <c r="R71" s="1"/>
      <c r="S71" s="1"/>
      <c r="T71" s="1">
        <f>IFERROR(__xludf.DUMMYFUNCTION("""COMPUTED_VALUE"""),1156.0)</f>
        <v>1156</v>
      </c>
    </row>
    <row r="72">
      <c r="A72" s="1"/>
      <c r="B72" s="1"/>
      <c r="C72" s="1" t="str">
        <f>IFERROR(__xludf.DUMMYFUNCTION("""COMPUTED_VALUE"""),"-")</f>
        <v>-</v>
      </c>
      <c r="D72" s="1" t="str">
        <f>IFERROR(__xludf.DUMMYFUNCTION("""COMPUTED_VALUE"""),"DI VENETO - (RIBEIRO)")</f>
        <v>DI VENETO - (RIBEIRO)</v>
      </c>
      <c r="E72" s="1" t="str">
        <f>IFERROR(__xludf.DUMMYFUNCTION("""COMPUTED_VALUE"""),"FEIJÃO TROPEIRO")</f>
        <v>FEIJÃO TROPEIRO</v>
      </c>
      <c r="F72" s="1" t="str">
        <f>IFERROR(__xludf.DUMMYFUNCTION("""COMPUTED_VALUE"""),"UN")</f>
        <v>UN</v>
      </c>
      <c r="G72" s="2">
        <f>IFERROR(__xludf.DUMMYFUNCTION("""COMPUTED_VALUE"""),1.0)</f>
        <v>1</v>
      </c>
      <c r="H72" s="2">
        <f>IFERROR(__xludf.DUMMYFUNCTION("""COMPUTED_VALUE"""),0.0)</f>
        <v>0</v>
      </c>
      <c r="I72" s="1"/>
      <c r="J72" s="2">
        <f>IFERROR(__xludf.DUMMYFUNCTION("""COMPUTED_VALUE"""),15.0)</f>
        <v>15</v>
      </c>
      <c r="K72" s="2">
        <f>IFERROR(__xludf.DUMMYFUNCTION("""COMPUTED_VALUE"""),0.0)</f>
        <v>0</v>
      </c>
      <c r="L72" s="1"/>
      <c r="M72" s="3">
        <f>IFERROR(__xludf.DUMMYFUNCTION("""COMPUTED_VALUE"""),15.0)</f>
        <v>15</v>
      </c>
      <c r="N72" s="1"/>
      <c r="O72" s="2" t="str">
        <f>IFERROR(__xludf.DUMMYFUNCTION("""COMPUTED_VALUE"""),"")</f>
        <v/>
      </c>
      <c r="P72" s="2">
        <f>IFERROR(__xludf.DUMMYFUNCTION("""COMPUTED_VALUE"""),15.0)</f>
        <v>15</v>
      </c>
      <c r="Q72" s="1"/>
      <c r="R72" s="1"/>
      <c r="S72" s="1"/>
      <c r="T72" s="1">
        <f>IFERROR(__xludf.DUMMYFUNCTION("""COMPUTED_VALUE"""),1160.0)</f>
        <v>1160</v>
      </c>
    </row>
    <row r="73">
      <c r="A73" s="1"/>
      <c r="B73" s="1"/>
      <c r="C73" s="1" t="str">
        <f>IFERROR(__xludf.DUMMYFUNCTION("""COMPUTED_VALUE"""),"-")</f>
        <v>-</v>
      </c>
      <c r="D73" s="1" t="str">
        <f>IFERROR(__xludf.DUMMYFUNCTION("""COMPUTED_VALUE"""),"CASA DAS NATAS")</f>
        <v>CASA DAS NATAS</v>
      </c>
      <c r="E73" s="1" t="str">
        <f>IFERROR(__xludf.DUMMYFUNCTION("""COMPUTED_VALUE"""),"PASTEL DE NATAS")</f>
        <v>PASTEL DE NATAS</v>
      </c>
      <c r="F73" s="1" t="str">
        <f>IFERROR(__xludf.DUMMYFUNCTION("""COMPUTED_VALUE"""),"CX")</f>
        <v>CX</v>
      </c>
      <c r="G73" s="2">
        <f>IFERROR(__xludf.DUMMYFUNCTION("""COMPUTED_VALUE"""),12.0)</f>
        <v>12</v>
      </c>
      <c r="H73" s="2">
        <f>IFERROR(__xludf.DUMMYFUNCTION("""COMPUTED_VALUE"""),0.0)</f>
        <v>0</v>
      </c>
      <c r="I73" s="1"/>
      <c r="J73" s="2">
        <f>IFERROR(__xludf.DUMMYFUNCTION("""COMPUTED_VALUE"""),3.0)</f>
        <v>3</v>
      </c>
      <c r="K73" s="2">
        <f>IFERROR(__xludf.DUMMYFUNCTION("""COMPUTED_VALUE"""),0.0)</f>
        <v>0</v>
      </c>
      <c r="L73" s="1"/>
      <c r="M73" s="3">
        <f>IFERROR(__xludf.DUMMYFUNCTION("""COMPUTED_VALUE"""),35.0)</f>
        <v>35</v>
      </c>
      <c r="N73" s="1"/>
      <c r="O73" s="2" t="str">
        <f>IFERROR(__xludf.DUMMYFUNCTION("""COMPUTED_VALUE"""),"")</f>
        <v/>
      </c>
      <c r="P73" s="2">
        <f>IFERROR(__xludf.DUMMYFUNCTION("""COMPUTED_VALUE"""),3.0)</f>
        <v>3</v>
      </c>
      <c r="Q73" s="1"/>
      <c r="R73" s="1"/>
      <c r="S73" s="1"/>
      <c r="T73" s="1">
        <f>IFERROR(__xludf.DUMMYFUNCTION("""COMPUTED_VALUE"""),816.0)</f>
        <v>816</v>
      </c>
    </row>
    <row r="74">
      <c r="A74" s="1"/>
      <c r="B74" s="1"/>
      <c r="C74" s="1" t="str">
        <f>IFERROR(__xludf.DUMMYFUNCTION("""COMPUTED_VALUE"""),"-")</f>
        <v>-</v>
      </c>
      <c r="D74" s="1" t="str">
        <f>IFERROR(__xludf.DUMMYFUNCTION("""COMPUTED_VALUE"""),"PÃO DE BATATA E CIA")</f>
        <v>PÃO DE BATATA E CIA</v>
      </c>
      <c r="E74" s="1" t="str">
        <f>IFERROR(__xludf.DUMMYFUNCTION("""COMPUTED_VALUE"""),"PÃO DE QUEIO COQUETEL GOURMET 15G")</f>
        <v>PÃO DE QUEIO COQUETEL GOURMET 15G</v>
      </c>
      <c r="F74" s="1" t="str">
        <f>IFERROR(__xludf.DUMMYFUNCTION("""COMPUTED_VALUE"""),"CX")</f>
        <v>CX</v>
      </c>
      <c r="G74" s="2">
        <f>IFERROR(__xludf.DUMMYFUNCTION("""COMPUTED_VALUE"""),3.0)</f>
        <v>3</v>
      </c>
      <c r="H74" s="2">
        <f>IFERROR(__xludf.DUMMYFUNCTION("""COMPUTED_VALUE"""),0.0)</f>
        <v>0</v>
      </c>
      <c r="I74" s="1"/>
      <c r="J74" s="2">
        <f>IFERROR(__xludf.DUMMYFUNCTION("""COMPUTED_VALUE"""),3.0)</f>
        <v>3</v>
      </c>
      <c r="K74" s="2">
        <f>IFERROR(__xludf.DUMMYFUNCTION("""COMPUTED_VALUE"""),0.0)</f>
        <v>0</v>
      </c>
      <c r="L74" s="1"/>
      <c r="M74" s="3">
        <f>IFERROR(__xludf.DUMMYFUNCTION("""COMPUTED_VALUE"""),1128.0)</f>
        <v>1128</v>
      </c>
      <c r="N74" s="1"/>
      <c r="O74" s="2" t="str">
        <f>IFERROR(__xludf.DUMMYFUNCTION("""COMPUTED_VALUE"""),"")</f>
        <v/>
      </c>
      <c r="P74" s="2">
        <f>IFERROR(__xludf.DUMMYFUNCTION("""COMPUTED_VALUE"""),3.0)</f>
        <v>3</v>
      </c>
      <c r="Q74" s="1"/>
      <c r="R74" s="2">
        <f>IFERROR(__xludf.DUMMYFUNCTION("""COMPUTED_VALUE"""),133.0)</f>
        <v>133</v>
      </c>
      <c r="S74" s="1"/>
      <c r="T74" s="1">
        <f>IFERROR(__xludf.DUMMYFUNCTION("""COMPUTED_VALUE"""),124.0)</f>
        <v>124</v>
      </c>
    </row>
    <row r="75">
      <c r="A75" s="1"/>
      <c r="B75" s="1"/>
      <c r="C75" s="1" t="str">
        <f>IFERROR(__xludf.DUMMYFUNCTION("""COMPUTED_VALUE"""),"-")</f>
        <v>-</v>
      </c>
      <c r="D75" s="1" t="str">
        <f>IFERROR(__xludf.DUMMYFUNCTION("""COMPUTED_VALUE"""),"PÃO DE BATATA E CIA")</f>
        <v>PÃO DE BATATA E CIA</v>
      </c>
      <c r="E75" s="1" t="str">
        <f>IFERROR(__xludf.DUMMYFUNCTION("""COMPUTED_VALUE"""),"PÃO DE QUEIO SUPER LANCHE GOURMET 75G")</f>
        <v>PÃO DE QUEIO SUPER LANCHE GOURMET 75G</v>
      </c>
      <c r="F75" s="1" t="str">
        <f>IFERROR(__xludf.DUMMYFUNCTION("""COMPUTED_VALUE"""),"CX")</f>
        <v>CX</v>
      </c>
      <c r="G75" s="2">
        <f>IFERROR(__xludf.DUMMYFUNCTION("""COMPUTED_VALUE"""),3.0)</f>
        <v>3</v>
      </c>
      <c r="H75" s="2">
        <f>IFERROR(__xludf.DUMMYFUNCTION("""COMPUTED_VALUE"""),0.0)</f>
        <v>0</v>
      </c>
      <c r="I75" s="1"/>
      <c r="J75" s="2">
        <f>IFERROR(__xludf.DUMMYFUNCTION("""COMPUTED_VALUE"""),3.0)</f>
        <v>3</v>
      </c>
      <c r="K75" s="2">
        <f>IFERROR(__xludf.DUMMYFUNCTION("""COMPUTED_VALUE"""),0.0)</f>
        <v>0</v>
      </c>
      <c r="L75" s="1"/>
      <c r="M75" s="3">
        <f>IFERROR(__xludf.DUMMYFUNCTION("""COMPUTED_VALUE"""),222.0)</f>
        <v>222</v>
      </c>
      <c r="N75" s="1"/>
      <c r="O75" s="2" t="str">
        <f>IFERROR(__xludf.DUMMYFUNCTION("""COMPUTED_VALUE"""),"")</f>
        <v/>
      </c>
      <c r="P75" s="2">
        <f>IFERROR(__xludf.DUMMYFUNCTION("""COMPUTED_VALUE"""),3.0)</f>
        <v>3</v>
      </c>
      <c r="Q75" s="1"/>
      <c r="R75" s="2">
        <f>IFERROR(__xludf.DUMMYFUNCTION("""COMPUTED_VALUE"""),27.0)</f>
        <v>27</v>
      </c>
      <c r="S75" s="1"/>
      <c r="T75" s="1">
        <f>IFERROR(__xludf.DUMMYFUNCTION("""COMPUTED_VALUE"""),123.0)</f>
        <v>123</v>
      </c>
    </row>
    <row r="76">
      <c r="A76" s="1"/>
      <c r="B76" s="1"/>
      <c r="C76" s="1" t="str">
        <f>IFERROR(__xludf.DUMMYFUNCTION("""COMPUTED_VALUE"""),"-")</f>
        <v>-</v>
      </c>
      <c r="D76" s="1" t="str">
        <f>IFERROR(__xludf.DUMMYFUNCTION("""COMPUTED_VALUE"""),"PÃO DE BATATA E CIA")</f>
        <v>PÃO DE BATATA E CIA</v>
      </c>
      <c r="E76" s="1" t="str">
        <f>IFERROR(__xludf.DUMMYFUNCTION("""COMPUTED_VALUE"""),"PÃO DE BATATA REQUELÃO")</f>
        <v>PÃO DE BATATA REQUELÃO</v>
      </c>
      <c r="F76" s="1" t="str">
        <f>IFERROR(__xludf.DUMMYFUNCTION("""COMPUTED_VALUE"""),"CX")</f>
        <v>CX</v>
      </c>
      <c r="G76" s="2">
        <f>IFERROR(__xludf.DUMMYFUNCTION("""COMPUTED_VALUE"""),3.0)</f>
        <v>3</v>
      </c>
      <c r="H76" s="2">
        <f>IFERROR(__xludf.DUMMYFUNCTION("""COMPUTED_VALUE"""),0.0)</f>
        <v>0</v>
      </c>
      <c r="I76" s="1"/>
      <c r="J76" s="2">
        <f>IFERROR(__xludf.DUMMYFUNCTION("""COMPUTED_VALUE"""),1.0)</f>
        <v>1</v>
      </c>
      <c r="K76" s="2">
        <f>IFERROR(__xludf.DUMMYFUNCTION("""COMPUTED_VALUE"""),0.0)</f>
        <v>0</v>
      </c>
      <c r="L76" s="1"/>
      <c r="M76" s="3">
        <f>IFERROR(__xludf.DUMMYFUNCTION("""COMPUTED_VALUE"""),38.0)</f>
        <v>38</v>
      </c>
      <c r="N76" s="1"/>
      <c r="O76" s="2" t="str">
        <f>IFERROR(__xludf.DUMMYFUNCTION("""COMPUTED_VALUE"""),"")</f>
        <v/>
      </c>
      <c r="P76" s="2">
        <f>IFERROR(__xludf.DUMMYFUNCTION("""COMPUTED_VALUE"""),1.0)</f>
        <v>1</v>
      </c>
      <c r="Q76" s="1"/>
      <c r="R76" s="2">
        <f>IFERROR(__xludf.DUMMYFUNCTION("""COMPUTED_VALUE"""),10.0)</f>
        <v>10</v>
      </c>
      <c r="S76" s="1"/>
      <c r="T76" s="1">
        <f>IFERROR(__xludf.DUMMYFUNCTION("""COMPUTED_VALUE"""),207.0)</f>
        <v>207</v>
      </c>
    </row>
    <row r="77">
      <c r="A77" s="1"/>
      <c r="B77" s="1"/>
      <c r="C77" s="1" t="str">
        <f>IFERROR(__xludf.DUMMYFUNCTION("""COMPUTED_VALUE"""),"-")</f>
        <v>-</v>
      </c>
      <c r="D77" s="1" t="str">
        <f>IFERROR(__xludf.DUMMYFUNCTION("""COMPUTED_VALUE"""),"PÃO DE BATATA E CIA")</f>
        <v>PÃO DE BATATA E CIA</v>
      </c>
      <c r="E77" s="1" t="str">
        <f>IFERROR(__xludf.DUMMYFUNCTION("""COMPUTED_VALUE"""),"COXINHA CRISPY COM REQUEUÃO")</f>
        <v>COXINHA CRISPY COM REQUEUÃO</v>
      </c>
      <c r="F77" s="1" t="str">
        <f>IFERROR(__xludf.DUMMYFUNCTION("""COMPUTED_VALUE"""),"CX")</f>
        <v>CX</v>
      </c>
      <c r="G77" s="2">
        <f>IFERROR(__xludf.DUMMYFUNCTION("""COMPUTED_VALUE"""),2.0)</f>
        <v>2</v>
      </c>
      <c r="H77" s="2">
        <f>IFERROR(__xludf.DUMMYFUNCTION("""COMPUTED_VALUE"""),0.0)</f>
        <v>0</v>
      </c>
      <c r="I77" s="1"/>
      <c r="J77" s="2">
        <f>IFERROR(__xludf.DUMMYFUNCTION("""COMPUTED_VALUE"""),1.0)</f>
        <v>1</v>
      </c>
      <c r="K77" s="2">
        <f>IFERROR(__xludf.DUMMYFUNCTION("""COMPUTED_VALUE"""),0.0)</f>
        <v>0</v>
      </c>
      <c r="L77" s="1"/>
      <c r="M77" s="3">
        <f>IFERROR(__xludf.DUMMYFUNCTION("""COMPUTED_VALUE"""),36.0)</f>
        <v>36</v>
      </c>
      <c r="N77" s="1"/>
      <c r="O77" s="2" t="str">
        <f>IFERROR(__xludf.DUMMYFUNCTION("""COMPUTED_VALUE"""),"")</f>
        <v/>
      </c>
      <c r="P77" s="2">
        <f>IFERROR(__xludf.DUMMYFUNCTION("""COMPUTED_VALUE"""),1.0)</f>
        <v>1</v>
      </c>
      <c r="Q77" s="1"/>
      <c r="R77" s="2">
        <f>IFERROR(__xludf.DUMMYFUNCTION("""COMPUTED_VALUE"""),15.0)</f>
        <v>15</v>
      </c>
      <c r="S77" s="1"/>
      <c r="T77" s="1">
        <f>IFERROR(__xludf.DUMMYFUNCTION("""COMPUTED_VALUE"""),1230.0)</f>
        <v>1230</v>
      </c>
    </row>
    <row r="78">
      <c r="A78" s="1"/>
      <c r="B78" s="1"/>
      <c r="C78" s="1" t="str">
        <f>IFERROR(__xludf.DUMMYFUNCTION("""COMPUTED_VALUE"""),"-")</f>
        <v>-</v>
      </c>
      <c r="D78" s="1" t="str">
        <f>IFERROR(__xludf.DUMMYFUNCTION("""COMPUTED_VALUE"""),"ATELIE DOS SABORES - MÍN. 400,00")</f>
        <v>ATELIE DOS SABORES - MÍN. 400,00</v>
      </c>
      <c r="E78" s="1" t="str">
        <f>IFERROR(__xludf.DUMMYFUNCTION("""COMPUTED_VALUE"""),"MINI CHOCOBROWNIE ZERO AÇ, GL,TL")</f>
        <v>MINI CHOCOBROWNIE ZERO AÇ, GL,TL</v>
      </c>
      <c r="F78" s="1" t="str">
        <f>IFERROR(__xludf.DUMMYFUNCTION("""COMPUTED_VALUE"""),"CX")</f>
        <v>CX</v>
      </c>
      <c r="G78" s="2">
        <f>IFERROR(__xludf.DUMMYFUNCTION("""COMPUTED_VALUE"""),4.0)</f>
        <v>4</v>
      </c>
      <c r="H78" s="2">
        <f>IFERROR(__xludf.DUMMYFUNCTION("""COMPUTED_VALUE"""),0.0)</f>
        <v>0</v>
      </c>
      <c r="I78" s="1"/>
      <c r="J78" s="2">
        <f>IFERROR(__xludf.DUMMYFUNCTION("""COMPUTED_VALUE"""),2.0)</f>
        <v>2</v>
      </c>
      <c r="K78" s="2">
        <f>IFERROR(__xludf.DUMMYFUNCTION("""COMPUTED_VALUE"""),0.0)</f>
        <v>0</v>
      </c>
      <c r="L78" s="1"/>
      <c r="M78" s="3">
        <f>IFERROR(__xludf.DUMMYFUNCTION("""COMPUTED_VALUE"""),9.0)</f>
        <v>9</v>
      </c>
      <c r="N78" s="1"/>
      <c r="O78" s="2" t="str">
        <f>IFERROR(__xludf.DUMMYFUNCTION("""COMPUTED_VALUE"""),"")</f>
        <v/>
      </c>
      <c r="P78" s="2">
        <f>IFERROR(__xludf.DUMMYFUNCTION("""COMPUTED_VALUE"""),2.0)</f>
        <v>2</v>
      </c>
      <c r="Q78" s="1"/>
      <c r="R78" s="1"/>
      <c r="S78" s="1"/>
      <c r="T78" s="1">
        <f>IFERROR(__xludf.DUMMYFUNCTION("""COMPUTED_VALUE"""),1236.0)</f>
        <v>1236</v>
      </c>
    </row>
    <row r="79">
      <c r="A79" s="1"/>
      <c r="B79" s="1"/>
      <c r="C79" s="1" t="str">
        <f>IFERROR(__xludf.DUMMYFUNCTION("""COMPUTED_VALUE"""),"-")</f>
        <v>-</v>
      </c>
      <c r="D79" s="1" t="str">
        <f>IFERROR(__xludf.DUMMYFUNCTION("""COMPUTED_VALUE"""),"ATELIE DOS SABORES - MÍN. 400,00")</f>
        <v>ATELIE DOS SABORES - MÍN. 400,00</v>
      </c>
      <c r="E79" s="1" t="str">
        <f>IFERROR(__xludf.DUMMYFUNCTION("""COMPUTED_VALUE"""),"MINI BANOFFEE ZERO AÇ, GL, LT")</f>
        <v>MINI BANOFFEE ZERO AÇ, GL, LT</v>
      </c>
      <c r="F79" s="1" t="str">
        <f>IFERROR(__xludf.DUMMYFUNCTION("""COMPUTED_VALUE"""),"CX")</f>
        <v>CX</v>
      </c>
      <c r="G79" s="2">
        <f>IFERROR(__xludf.DUMMYFUNCTION("""COMPUTED_VALUE"""),4.0)</f>
        <v>4</v>
      </c>
      <c r="H79" s="2">
        <f>IFERROR(__xludf.DUMMYFUNCTION("""COMPUTED_VALUE"""),0.0)</f>
        <v>0</v>
      </c>
      <c r="I79" s="1"/>
      <c r="J79" s="2">
        <f>IFERROR(__xludf.DUMMYFUNCTION("""COMPUTED_VALUE"""),2.0)</f>
        <v>2</v>
      </c>
      <c r="K79" s="2">
        <f>IFERROR(__xludf.DUMMYFUNCTION("""COMPUTED_VALUE"""),0.0)</f>
        <v>0</v>
      </c>
      <c r="L79" s="1"/>
      <c r="M79" s="3">
        <f>IFERROR(__xludf.DUMMYFUNCTION("""COMPUTED_VALUE"""),7.0)</f>
        <v>7</v>
      </c>
      <c r="N79" s="1"/>
      <c r="O79" s="2" t="str">
        <f>IFERROR(__xludf.DUMMYFUNCTION("""COMPUTED_VALUE"""),"")</f>
        <v/>
      </c>
      <c r="P79" s="2">
        <f>IFERROR(__xludf.DUMMYFUNCTION("""COMPUTED_VALUE"""),2.0)</f>
        <v>2</v>
      </c>
      <c r="Q79" s="1"/>
      <c r="R79" s="1"/>
      <c r="S79" s="1"/>
      <c r="T79" s="1">
        <f>IFERROR(__xludf.DUMMYFUNCTION("""COMPUTED_VALUE"""),1238.0)</f>
        <v>1238</v>
      </c>
    </row>
    <row r="80">
      <c r="A80" s="1"/>
      <c r="B80" s="1"/>
      <c r="C80" s="1" t="str">
        <f>IFERROR(__xludf.DUMMYFUNCTION("""COMPUTED_VALUE"""),"-")</f>
        <v>-</v>
      </c>
      <c r="D80" s="1" t="str">
        <f>IFERROR(__xludf.DUMMYFUNCTION("""COMPUTED_VALUE"""),"ATELIE DOS SABORES - MÍN. 400,00")</f>
        <v>ATELIE DOS SABORES - MÍN. 400,00</v>
      </c>
      <c r="E80" s="1" t="str">
        <f>IFERROR(__xludf.DUMMYFUNCTION("""COMPUTED_VALUE"""),"BRIGADEIRO GOURMET 40G")</f>
        <v>BRIGADEIRO GOURMET 40G</v>
      </c>
      <c r="F80" s="1" t="str">
        <f>IFERROR(__xludf.DUMMYFUNCTION("""COMPUTED_VALUE"""),"CX")</f>
        <v>CX</v>
      </c>
      <c r="G80" s="2">
        <f>IFERROR(__xludf.DUMMYFUNCTION("""COMPUTED_VALUE"""),32.0)</f>
        <v>32</v>
      </c>
      <c r="H80" s="2">
        <f>IFERROR(__xludf.DUMMYFUNCTION("""COMPUTED_VALUE"""),0.0)</f>
        <v>0</v>
      </c>
      <c r="I80" s="1"/>
      <c r="J80" s="2">
        <f>IFERROR(__xludf.DUMMYFUNCTION("""COMPUTED_VALUE"""),0.0)</f>
        <v>0</v>
      </c>
      <c r="K80" s="2">
        <f>IFERROR(__xludf.DUMMYFUNCTION("""COMPUTED_VALUE"""),0.0)</f>
        <v>0</v>
      </c>
      <c r="L80" s="1"/>
      <c r="M80" s="3" t="str">
        <f>IFERROR(__xludf.DUMMYFUNCTION("""COMPUTED_VALUE"""),"")</f>
        <v/>
      </c>
      <c r="N80" s="1"/>
      <c r="O80" s="2" t="str">
        <f>IFERROR(__xludf.DUMMYFUNCTION("""COMPUTED_VALUE"""),"")</f>
        <v/>
      </c>
      <c r="P80" s="2">
        <f>IFERROR(__xludf.DUMMYFUNCTION("""COMPUTED_VALUE"""),0.0)</f>
        <v>0</v>
      </c>
      <c r="Q80" s="1"/>
      <c r="R80" s="1"/>
      <c r="S80" s="1"/>
      <c r="T80" s="1">
        <f>IFERROR(__xludf.DUMMYFUNCTION("""COMPUTED_VALUE"""),141.0)</f>
        <v>141</v>
      </c>
    </row>
    <row r="81">
      <c r="A81" s="1"/>
      <c r="B81" s="1"/>
      <c r="C81" s="1" t="str">
        <f>IFERROR(__xludf.DUMMYFUNCTION("""COMPUTED_VALUE"""),"-")</f>
        <v>-</v>
      </c>
      <c r="D81" s="1" t="str">
        <f>IFERROR(__xludf.DUMMYFUNCTION("""COMPUTED_VALUE"""),"ATELIE DOS SABORES - MÍN. 400,00")</f>
        <v>ATELIE DOS SABORES - MÍN. 400,00</v>
      </c>
      <c r="E81" s="1" t="str">
        <f>IFERROR(__xludf.DUMMYFUNCTION("""COMPUTED_VALUE"""),"CASADINHO 40G")</f>
        <v>CASADINHO 40G</v>
      </c>
      <c r="F81" s="1" t="str">
        <f>IFERROR(__xludf.DUMMYFUNCTION("""COMPUTED_VALUE"""),"CX")</f>
        <v>CX</v>
      </c>
      <c r="G81" s="2">
        <f>IFERROR(__xludf.DUMMYFUNCTION("""COMPUTED_VALUE"""),32.0)</f>
        <v>32</v>
      </c>
      <c r="H81" s="2">
        <f>IFERROR(__xludf.DUMMYFUNCTION("""COMPUTED_VALUE"""),0.0)</f>
        <v>0</v>
      </c>
      <c r="I81" s="1"/>
      <c r="J81" s="2">
        <f>IFERROR(__xludf.DUMMYFUNCTION("""COMPUTED_VALUE"""),1.0)</f>
        <v>1</v>
      </c>
      <c r="K81" s="2">
        <f>IFERROR(__xludf.DUMMYFUNCTION("""COMPUTED_VALUE"""),0.0)</f>
        <v>0</v>
      </c>
      <c r="L81" s="1"/>
      <c r="M81" s="3">
        <f>IFERROR(__xludf.DUMMYFUNCTION("""COMPUTED_VALUE"""),42.0)</f>
        <v>42</v>
      </c>
      <c r="N81" s="1"/>
      <c r="O81" s="2" t="str">
        <f>IFERROR(__xludf.DUMMYFUNCTION("""COMPUTED_VALUE"""),"")</f>
        <v/>
      </c>
      <c r="P81" s="2">
        <f>IFERROR(__xludf.DUMMYFUNCTION("""COMPUTED_VALUE"""),1.0)</f>
        <v>1</v>
      </c>
      <c r="Q81" s="1"/>
      <c r="R81" s="1"/>
      <c r="S81" s="1"/>
      <c r="T81" s="1">
        <f>IFERROR(__xludf.DUMMYFUNCTION("""COMPUTED_VALUE"""),1272.0)</f>
        <v>1272</v>
      </c>
    </row>
    <row r="82">
      <c r="A82" s="1"/>
      <c r="B82" s="1"/>
      <c r="C82" s="1" t="str">
        <f>IFERROR(__xludf.DUMMYFUNCTION("""COMPUTED_VALUE"""),"-")</f>
        <v>-</v>
      </c>
      <c r="D82" s="1" t="str">
        <f>IFERROR(__xludf.DUMMYFUNCTION("""COMPUTED_VALUE"""),"ATELIE DOS SABORES - MÍN. 400,00")</f>
        <v>ATELIE DOS SABORES - MÍN. 400,00</v>
      </c>
      <c r="E82" s="1" t="str">
        <f>IFERROR(__xludf.DUMMYFUNCTION("""COMPUTED_VALUE"""),"BRIGADEIRO PREMIUM NUTELLA 40G")</f>
        <v>BRIGADEIRO PREMIUM NUTELLA 40G</v>
      </c>
      <c r="F82" s="1" t="str">
        <f>IFERROR(__xludf.DUMMYFUNCTION("""COMPUTED_VALUE"""),"CX")</f>
        <v>CX</v>
      </c>
      <c r="G82" s="2">
        <f>IFERROR(__xludf.DUMMYFUNCTION("""COMPUTED_VALUE"""),12.0)</f>
        <v>12</v>
      </c>
      <c r="H82" s="2">
        <f>IFERROR(__xludf.DUMMYFUNCTION("""COMPUTED_VALUE"""),0.0)</f>
        <v>0</v>
      </c>
      <c r="I82" s="1"/>
      <c r="J82" s="2">
        <f>IFERROR(__xludf.DUMMYFUNCTION("""COMPUTED_VALUE"""),1.0)</f>
        <v>1</v>
      </c>
      <c r="K82" s="2">
        <f>IFERROR(__xludf.DUMMYFUNCTION("""COMPUTED_VALUE"""),0.0)</f>
        <v>0</v>
      </c>
      <c r="L82" s="1"/>
      <c r="M82" s="3">
        <f>IFERROR(__xludf.DUMMYFUNCTION("""COMPUTED_VALUE"""),14.0)</f>
        <v>14</v>
      </c>
      <c r="N82" s="1"/>
      <c r="O82" s="2" t="str">
        <f>IFERROR(__xludf.DUMMYFUNCTION("""COMPUTED_VALUE"""),"")</f>
        <v/>
      </c>
      <c r="P82" s="2">
        <f>IFERROR(__xludf.DUMMYFUNCTION("""COMPUTED_VALUE"""),1.0)</f>
        <v>1</v>
      </c>
      <c r="Q82" s="1"/>
      <c r="R82" s="1"/>
      <c r="S82" s="1"/>
      <c r="T82" s="1">
        <f>IFERROR(__xludf.DUMMYFUNCTION("""COMPUTED_VALUE"""),1273.0)</f>
        <v>1273</v>
      </c>
    </row>
    <row r="83">
      <c r="A83" s="1"/>
      <c r="B83" s="1"/>
      <c r="C83" s="1" t="str">
        <f>IFERROR(__xludf.DUMMYFUNCTION("""COMPUTED_VALUE"""),"-")</f>
        <v>-</v>
      </c>
      <c r="D83" s="1" t="str">
        <f>IFERROR(__xludf.DUMMYFUNCTION("""COMPUTED_VALUE"""),"CHRIS POWER")</f>
        <v>CHRIS POWER</v>
      </c>
      <c r="E83" s="1" t="str">
        <f>IFERROR(__xludf.DUMMYFUNCTION("""COMPUTED_VALUE"""),"TAPIOCA C/ DOCE DE LEITE S/ GLUTEM E LACTOSE")</f>
        <v>TAPIOCA C/ DOCE DE LEITE S/ GLUTEM E LACTOSE</v>
      </c>
      <c r="F83" s="1" t="str">
        <f>IFERROR(__xludf.DUMMYFUNCTION("""COMPUTED_VALUE"""),"CX")</f>
        <v>CX</v>
      </c>
      <c r="G83" s="2">
        <f>IFERROR(__xludf.DUMMYFUNCTION("""COMPUTED_VALUE"""),1.0)</f>
        <v>1</v>
      </c>
      <c r="H83" s="2">
        <f>IFERROR(__xludf.DUMMYFUNCTION("""COMPUTED_VALUE"""),0.0)</f>
        <v>0</v>
      </c>
      <c r="I83" s="1"/>
      <c r="J83" s="2">
        <f>IFERROR(__xludf.DUMMYFUNCTION("""COMPUTED_VALUE"""),4.0)</f>
        <v>4</v>
      </c>
      <c r="K83" s="2">
        <f>IFERROR(__xludf.DUMMYFUNCTION("""COMPUTED_VALUE"""),0.0)</f>
        <v>0</v>
      </c>
      <c r="L83" s="1"/>
      <c r="M83" s="3">
        <f>IFERROR(__xludf.DUMMYFUNCTION("""COMPUTED_VALUE"""),52.0)</f>
        <v>52</v>
      </c>
      <c r="N83" s="1"/>
      <c r="O83" s="2" t="str">
        <f>IFERROR(__xludf.DUMMYFUNCTION("""COMPUTED_VALUE"""),"")</f>
        <v/>
      </c>
      <c r="P83" s="2">
        <f>IFERROR(__xludf.DUMMYFUNCTION("""COMPUTED_VALUE"""),4.0)</f>
        <v>4</v>
      </c>
      <c r="Q83" s="1"/>
      <c r="R83" s="2">
        <f>IFERROR(__xludf.DUMMYFUNCTION("""COMPUTED_VALUE"""),14.0)</f>
        <v>14</v>
      </c>
      <c r="S83" s="1"/>
      <c r="T83" s="1">
        <f>IFERROR(__xludf.DUMMYFUNCTION("""COMPUTED_VALUE"""),606.0)</f>
        <v>606</v>
      </c>
    </row>
    <row r="84">
      <c r="A84" s="1"/>
      <c r="B84" s="1"/>
      <c r="C84" s="1" t="str">
        <f>IFERROR(__xludf.DUMMYFUNCTION("""COMPUTED_VALUE"""),"-")</f>
        <v>-</v>
      </c>
      <c r="D84" s="1" t="str">
        <f>IFERROR(__xludf.DUMMYFUNCTION("""COMPUTED_VALUE"""),"CHRIS POWER")</f>
        <v>CHRIS POWER</v>
      </c>
      <c r="E84" s="1" t="str">
        <f>IFERROR(__xludf.DUMMYFUNCTION("""COMPUTED_VALUE"""),"PALHA ITALIANA ZERO")</f>
        <v>PALHA ITALIANA ZERO</v>
      </c>
      <c r="F84" s="1" t="str">
        <f>IFERROR(__xludf.DUMMYFUNCTION("""COMPUTED_VALUE"""),"CX")</f>
        <v>CX</v>
      </c>
      <c r="G84" s="2">
        <f>IFERROR(__xludf.DUMMYFUNCTION("""COMPUTED_VALUE"""),1.0)</f>
        <v>1</v>
      </c>
      <c r="H84" s="2">
        <f>IFERROR(__xludf.DUMMYFUNCTION("""COMPUTED_VALUE"""),0.0)</f>
        <v>0</v>
      </c>
      <c r="I84" s="1"/>
      <c r="J84" s="2">
        <f>IFERROR(__xludf.DUMMYFUNCTION("""COMPUTED_VALUE"""),2.0)</f>
        <v>2</v>
      </c>
      <c r="K84" s="2">
        <f>IFERROR(__xludf.DUMMYFUNCTION("""COMPUTED_VALUE"""),0.0)</f>
        <v>0</v>
      </c>
      <c r="L84" s="1"/>
      <c r="M84" s="3">
        <f>IFERROR(__xludf.DUMMYFUNCTION("""COMPUTED_VALUE"""),29.0)</f>
        <v>29</v>
      </c>
      <c r="N84" s="1"/>
      <c r="O84" s="2" t="str">
        <f>IFERROR(__xludf.DUMMYFUNCTION("""COMPUTED_VALUE"""),"")</f>
        <v/>
      </c>
      <c r="P84" s="2">
        <f>IFERROR(__xludf.DUMMYFUNCTION("""COMPUTED_VALUE"""),2.0)</f>
        <v>2</v>
      </c>
      <c r="Q84" s="1"/>
      <c r="R84" s="2">
        <f>IFERROR(__xludf.DUMMYFUNCTION("""COMPUTED_VALUE"""),14.0)</f>
        <v>14</v>
      </c>
      <c r="S84" s="1"/>
      <c r="T84" s="1">
        <f>IFERROR(__xludf.DUMMYFUNCTION("""COMPUTED_VALUE"""),1042.0)</f>
        <v>1042</v>
      </c>
    </row>
    <row r="85">
      <c r="A85" s="1"/>
      <c r="B85" s="1"/>
      <c r="C85" s="1" t="str">
        <f>IFERROR(__xludf.DUMMYFUNCTION("""COMPUTED_VALUE"""),"-")</f>
        <v>-</v>
      </c>
      <c r="D85" s="1" t="str">
        <f>IFERROR(__xludf.DUMMYFUNCTION("""COMPUTED_VALUE"""),"RIO QUALITY")</f>
        <v>RIO QUALITY</v>
      </c>
      <c r="E85" s="1" t="str">
        <f>IFERROR(__xludf.DUMMYFUNCTION("""COMPUTED_VALUE"""),"NUTELLA")</f>
        <v>NUTELLA</v>
      </c>
      <c r="F85" s="1" t="str">
        <f>IFERROR(__xludf.DUMMYFUNCTION("""COMPUTED_VALUE"""),"BD")</f>
        <v>BD</v>
      </c>
      <c r="G85" s="4">
        <f>IFERROR(__xludf.DUMMYFUNCTION("""COMPUTED_VALUE"""),3.5)</f>
        <v>3.5</v>
      </c>
      <c r="H85" s="2">
        <f>IFERROR(__xludf.DUMMYFUNCTION("""COMPUTED_VALUE"""),0.0)</f>
        <v>0</v>
      </c>
      <c r="I85" s="1"/>
      <c r="J85" s="2">
        <f>IFERROR(__xludf.DUMMYFUNCTION("""COMPUTED_VALUE"""),0.0)</f>
        <v>0</v>
      </c>
      <c r="K85" s="2">
        <f>IFERROR(__xludf.DUMMYFUNCTION("""COMPUTED_VALUE"""),0.0)</f>
        <v>0</v>
      </c>
      <c r="L85" s="1"/>
      <c r="M85" s="3">
        <f>IFERROR(__xludf.DUMMYFUNCTION("""COMPUTED_VALUE"""),0.7)</f>
        <v>0.7</v>
      </c>
      <c r="N85" s="1"/>
      <c r="O85" s="2" t="str">
        <f>IFERROR(__xludf.DUMMYFUNCTION("""COMPUTED_VALUE"""),"")</f>
        <v/>
      </c>
      <c r="P85" s="2">
        <f>IFERROR(__xludf.DUMMYFUNCTION("""COMPUTED_VALUE"""),0.0)</f>
        <v>0</v>
      </c>
      <c r="Q85" s="1"/>
      <c r="R85" s="1"/>
      <c r="S85" s="1"/>
      <c r="T85" s="1">
        <f>IFERROR(__xludf.DUMMYFUNCTION("""COMPUTED_VALUE"""),101.0)</f>
        <v>101</v>
      </c>
    </row>
    <row r="86">
      <c r="A86" s="1"/>
      <c r="B86" s="1"/>
      <c r="C86" s="1" t="str">
        <f>IFERROR(__xludf.DUMMYFUNCTION("""COMPUTED_VALUE"""),"-")</f>
        <v>-</v>
      </c>
      <c r="D86" s="1" t="str">
        <f>IFERROR(__xludf.DUMMYFUNCTION("""COMPUTED_VALUE"""),"RIO QUALITY")</f>
        <v>RIO QUALITY</v>
      </c>
      <c r="E86" s="1" t="str">
        <f>IFERROR(__xludf.DUMMYFUNCTION("""COMPUTED_VALUE"""),"REQUEJÃO")</f>
        <v>REQUEJÃO</v>
      </c>
      <c r="F86" s="1" t="str">
        <f>IFERROR(__xludf.DUMMYFUNCTION("""COMPUTED_VALUE"""),"SC")</f>
        <v>SC</v>
      </c>
      <c r="G86" s="4">
        <f>IFERROR(__xludf.DUMMYFUNCTION("""COMPUTED_VALUE"""),1.5)</f>
        <v>1.5</v>
      </c>
      <c r="H86" s="2">
        <f>IFERROR(__xludf.DUMMYFUNCTION("""COMPUTED_VALUE"""),0.0)</f>
        <v>0</v>
      </c>
      <c r="I86" s="1"/>
      <c r="J86" s="2">
        <f>IFERROR(__xludf.DUMMYFUNCTION("""COMPUTED_VALUE"""),1.0)</f>
        <v>1</v>
      </c>
      <c r="K86" s="2">
        <f>IFERROR(__xludf.DUMMYFUNCTION("""COMPUTED_VALUE"""),0.0)</f>
        <v>0</v>
      </c>
      <c r="L86" s="1"/>
      <c r="M86" s="3">
        <f>IFERROR(__xludf.DUMMYFUNCTION("""COMPUTED_VALUE"""),1.72)</f>
        <v>1.72</v>
      </c>
      <c r="N86" s="1"/>
      <c r="O86" s="2" t="str">
        <f>IFERROR(__xludf.DUMMYFUNCTION("""COMPUTED_VALUE"""),"")</f>
        <v/>
      </c>
      <c r="P86" s="2">
        <f>IFERROR(__xludf.DUMMYFUNCTION("""COMPUTED_VALUE"""),1.0)</f>
        <v>1</v>
      </c>
      <c r="Q86" s="1"/>
      <c r="R86" s="1"/>
      <c r="S86" s="1"/>
      <c r="T86" s="1">
        <f>IFERROR(__xludf.DUMMYFUNCTION("""COMPUTED_VALUE"""),20.0)</f>
        <v>20</v>
      </c>
    </row>
    <row r="87">
      <c r="A87" s="1"/>
      <c r="B87" s="1"/>
      <c r="C87" s="1" t="str">
        <f>IFERROR(__xludf.DUMMYFUNCTION("""COMPUTED_VALUE"""),"-")</f>
        <v>-</v>
      </c>
      <c r="D87" s="1" t="str">
        <f>IFERROR(__xludf.DUMMYFUNCTION("""COMPUTED_VALUE"""),"RIO QUALITY")</f>
        <v>RIO QUALITY</v>
      </c>
      <c r="E87" s="1" t="str">
        <f>IFERROR(__xludf.DUMMYFUNCTION("""COMPUTED_VALUE"""),"GÁS PARA CHANTILLY")</f>
        <v>GÁS PARA CHANTILLY</v>
      </c>
      <c r="F87" s="1" t="str">
        <f>IFERROR(__xludf.DUMMYFUNCTION("""COMPUTED_VALUE"""),"CX")</f>
        <v>CX</v>
      </c>
      <c r="G87" s="2">
        <f>IFERROR(__xludf.DUMMYFUNCTION("""COMPUTED_VALUE"""),10.0)</f>
        <v>10</v>
      </c>
      <c r="H87" s="2">
        <f>IFERROR(__xludf.DUMMYFUNCTION("""COMPUTED_VALUE"""),0.0)</f>
        <v>0</v>
      </c>
      <c r="I87" s="1"/>
      <c r="J87" s="2">
        <f>IFERROR(__xludf.DUMMYFUNCTION("""COMPUTED_VALUE"""),1.0)</f>
        <v>1</v>
      </c>
      <c r="K87" s="2">
        <f>IFERROR(__xludf.DUMMYFUNCTION("""COMPUTED_VALUE"""),0.0)</f>
        <v>0</v>
      </c>
      <c r="L87" s="1"/>
      <c r="M87" s="3">
        <f>IFERROR(__xludf.DUMMYFUNCTION("""COMPUTED_VALUE"""),11.638)</f>
        <v>11.638</v>
      </c>
      <c r="N87" s="1"/>
      <c r="O87" s="2" t="str">
        <f>IFERROR(__xludf.DUMMYFUNCTION("""COMPUTED_VALUE"""),"")</f>
        <v/>
      </c>
      <c r="P87" s="2">
        <f>IFERROR(__xludf.DUMMYFUNCTION("""COMPUTED_VALUE"""),1.0)</f>
        <v>1</v>
      </c>
      <c r="Q87" s="1"/>
      <c r="R87" s="1"/>
      <c r="S87" s="1"/>
      <c r="T87" s="1">
        <f>IFERROR(__xludf.DUMMYFUNCTION("""COMPUTED_VALUE"""),150.0)</f>
        <v>150</v>
      </c>
    </row>
    <row r="88">
      <c r="A88" s="1"/>
      <c r="B88" s="1"/>
      <c r="C88" s="1" t="str">
        <f>IFERROR(__xludf.DUMMYFUNCTION("""COMPUTED_VALUE"""),"-")</f>
        <v>-</v>
      </c>
      <c r="D88" s="1" t="str">
        <f>IFERROR(__xludf.DUMMYFUNCTION("""COMPUTED_VALUE"""),"RIO QUALITY")</f>
        <v>RIO QUALITY</v>
      </c>
      <c r="E88" s="1" t="str">
        <f>IFERROR(__xludf.DUMMYFUNCTION("""COMPUTED_VALUE"""),"CHANTILLY AMÉLIA SUPREME")</f>
        <v>CHANTILLY AMÉLIA SUPREME</v>
      </c>
      <c r="F88" s="1" t="str">
        <f>IFERROR(__xludf.DUMMYFUNCTION("""COMPUTED_VALUE"""),"UN")</f>
        <v>UN</v>
      </c>
      <c r="G88" s="2">
        <f>IFERROR(__xludf.DUMMYFUNCTION("""COMPUTED_VALUE"""),1.0)</f>
        <v>1</v>
      </c>
      <c r="H88" s="2">
        <f>IFERROR(__xludf.DUMMYFUNCTION("""COMPUTED_VALUE"""),0.0)</f>
        <v>0</v>
      </c>
      <c r="I88" s="1"/>
      <c r="J88" s="2">
        <f>IFERROR(__xludf.DUMMYFUNCTION("""COMPUTED_VALUE"""),3.0)</f>
        <v>3</v>
      </c>
      <c r="K88" s="2">
        <f>IFERROR(__xludf.DUMMYFUNCTION("""COMPUTED_VALUE"""),0.0)</f>
        <v>0</v>
      </c>
      <c r="L88" s="1"/>
      <c r="M88" s="3">
        <f>IFERROR(__xludf.DUMMYFUNCTION("""COMPUTED_VALUE"""),3.149)</f>
        <v>3.149</v>
      </c>
      <c r="N88" s="1"/>
      <c r="O88" s="2" t="str">
        <f>IFERROR(__xludf.DUMMYFUNCTION("""COMPUTED_VALUE"""),"")</f>
        <v/>
      </c>
      <c r="P88" s="2">
        <f>IFERROR(__xludf.DUMMYFUNCTION("""COMPUTED_VALUE"""),3.0)</f>
        <v>3</v>
      </c>
      <c r="Q88" s="1"/>
      <c r="R88" s="1"/>
      <c r="S88" s="1"/>
      <c r="T88" s="1">
        <f>IFERROR(__xludf.DUMMYFUNCTION("""COMPUTED_VALUE"""),5.0)</f>
        <v>5</v>
      </c>
    </row>
    <row r="89">
      <c r="A89" s="1"/>
      <c r="B89" s="1"/>
      <c r="C89" s="1" t="str">
        <f>IFERROR(__xludf.DUMMYFUNCTION("""COMPUTED_VALUE"""),"-")</f>
        <v>-</v>
      </c>
      <c r="D89" s="1" t="str">
        <f>IFERROR(__xludf.DUMMYFUNCTION("""COMPUTED_VALUE"""),"RIO QUALITY")</f>
        <v>RIO QUALITY</v>
      </c>
      <c r="E89" s="1" t="str">
        <f>IFERROR(__xludf.DUMMYFUNCTION("""COMPUTED_VALUE"""),"MANTEIGA")</f>
        <v>MANTEIGA</v>
      </c>
      <c r="F89" s="1" t="str">
        <f>IFERROR(__xludf.DUMMYFUNCTION("""COMPUTED_VALUE"""),"CX")</f>
        <v>CX</v>
      </c>
      <c r="G89" s="4">
        <f>IFERROR(__xludf.DUMMYFUNCTION("""COMPUTED_VALUE"""),5.0)</f>
        <v>5</v>
      </c>
      <c r="H89" s="2">
        <f>IFERROR(__xludf.DUMMYFUNCTION("""COMPUTED_VALUE"""),0.0)</f>
        <v>0</v>
      </c>
      <c r="I89" s="1"/>
      <c r="J89" s="2">
        <f>IFERROR(__xludf.DUMMYFUNCTION("""COMPUTED_VALUE"""),0.0)</f>
        <v>0</v>
      </c>
      <c r="K89" s="2">
        <f>IFERROR(__xludf.DUMMYFUNCTION("""COMPUTED_VALUE"""),0.0)</f>
        <v>0</v>
      </c>
      <c r="L89" s="1"/>
      <c r="M89" s="3">
        <f>IFERROR(__xludf.DUMMYFUNCTION("""COMPUTED_VALUE"""),1.005)</f>
        <v>1.005</v>
      </c>
      <c r="N89" s="1"/>
      <c r="O89" s="2" t="str">
        <f>IFERROR(__xludf.DUMMYFUNCTION("""COMPUTED_VALUE"""),"")</f>
        <v/>
      </c>
      <c r="P89" s="2">
        <f>IFERROR(__xludf.DUMMYFUNCTION("""COMPUTED_VALUE"""),0.0)</f>
        <v>0</v>
      </c>
      <c r="Q89" s="1"/>
      <c r="R89" s="1"/>
      <c r="S89" s="1"/>
      <c r="T89" s="1">
        <f>IFERROR(__xludf.DUMMYFUNCTION("""COMPUTED_VALUE"""),99.0)</f>
        <v>99</v>
      </c>
    </row>
    <row r="90">
      <c r="A90" s="1"/>
      <c r="B90" s="1"/>
      <c r="C90" s="1" t="str">
        <f>IFERROR(__xludf.DUMMYFUNCTION("""COMPUTED_VALUE"""),"-")</f>
        <v>-</v>
      </c>
      <c r="D90" s="1" t="str">
        <f>IFERROR(__xludf.DUMMYFUNCTION("""COMPUTED_VALUE"""),"RIO QUALITY")</f>
        <v>RIO QUALITY</v>
      </c>
      <c r="E90" s="1" t="str">
        <f>IFERROR(__xludf.DUMMYFUNCTION("""COMPUTED_VALUE"""),"AÇÚCAR REFINADO GUARANI")</f>
        <v>AÇÚCAR REFINADO GUARANI</v>
      </c>
      <c r="F90" s="1" t="str">
        <f>IFERROR(__xludf.DUMMYFUNCTION("""COMPUTED_VALUE"""),"CX")</f>
        <v>CX</v>
      </c>
      <c r="G90" s="2">
        <f>IFERROR(__xludf.DUMMYFUNCTION("""COMPUTED_VALUE"""),996.0)</f>
        <v>996</v>
      </c>
      <c r="H90" s="2">
        <f>IFERROR(__xludf.DUMMYFUNCTION("""COMPUTED_VALUE"""),0.0)</f>
        <v>0</v>
      </c>
      <c r="I90" s="1"/>
      <c r="J90" s="2">
        <f>IFERROR(__xludf.DUMMYFUNCTION("""COMPUTED_VALUE"""),0.0)</f>
        <v>0</v>
      </c>
      <c r="K90" s="2">
        <f>IFERROR(__xludf.DUMMYFUNCTION("""COMPUTED_VALUE"""),0.0)</f>
        <v>0</v>
      </c>
      <c r="L90" s="1"/>
      <c r="M90" s="3" t="str">
        <f>IFERROR(__xludf.DUMMYFUNCTION("""COMPUTED_VALUE"""),"")</f>
        <v/>
      </c>
      <c r="N90" s="1"/>
      <c r="O90" s="2" t="str">
        <f>IFERROR(__xludf.DUMMYFUNCTION("""COMPUTED_VALUE"""),"")</f>
        <v/>
      </c>
      <c r="P90" s="2">
        <f>IFERROR(__xludf.DUMMYFUNCTION("""COMPUTED_VALUE"""),0.0)</f>
        <v>0</v>
      </c>
      <c r="Q90" s="1"/>
      <c r="R90" s="1"/>
      <c r="S90" s="1"/>
      <c r="T90" s="1">
        <f>IFERROR(__xludf.DUMMYFUNCTION("""COMPUTED_VALUE"""),104.0)</f>
        <v>104</v>
      </c>
    </row>
    <row r="91">
      <c r="A91" s="1"/>
      <c r="B91" s="1"/>
      <c r="C91" s="1" t="str">
        <f>IFERROR(__xludf.DUMMYFUNCTION("""COMPUTED_VALUE"""),"-")</f>
        <v>-</v>
      </c>
      <c r="D91" s="1" t="str">
        <f>IFERROR(__xludf.DUMMYFUNCTION("""COMPUTED_VALUE"""),"RIO QUALITY")</f>
        <v>RIO QUALITY</v>
      </c>
      <c r="E91" s="1" t="str">
        <f>IFERROR(__xludf.DUMMYFUNCTION("""COMPUTED_VALUE"""),"ADOÇANTE DIETETICO SUCRALOSE")</f>
        <v>ADOÇANTE DIETETICO SUCRALOSE</v>
      </c>
      <c r="F91" s="1" t="str">
        <f>IFERROR(__xludf.DUMMYFUNCTION("""COMPUTED_VALUE"""),"CX")</f>
        <v>CX</v>
      </c>
      <c r="G91" s="2">
        <f>IFERROR(__xludf.DUMMYFUNCTION("""COMPUTED_VALUE"""),1000.0)</f>
        <v>1000</v>
      </c>
      <c r="H91" s="2">
        <f>IFERROR(__xludf.DUMMYFUNCTION("""COMPUTED_VALUE"""),0.0)</f>
        <v>0</v>
      </c>
      <c r="I91" s="1"/>
      <c r="J91" s="2">
        <f>IFERROR(__xludf.DUMMYFUNCTION("""COMPUTED_VALUE"""),0.0)</f>
        <v>0</v>
      </c>
      <c r="K91" s="2">
        <f>IFERROR(__xludf.DUMMYFUNCTION("""COMPUTED_VALUE"""),0.0)</f>
        <v>0</v>
      </c>
      <c r="L91" s="1"/>
      <c r="M91" s="3" t="str">
        <f>IFERROR(__xludf.DUMMYFUNCTION("""COMPUTED_VALUE"""),"")</f>
        <v/>
      </c>
      <c r="N91" s="1"/>
      <c r="O91" s="2" t="str">
        <f>IFERROR(__xludf.DUMMYFUNCTION("""COMPUTED_VALUE"""),"")</f>
        <v/>
      </c>
      <c r="P91" s="2">
        <f>IFERROR(__xludf.DUMMYFUNCTION("""COMPUTED_VALUE"""),0.0)</f>
        <v>0</v>
      </c>
      <c r="Q91" s="1"/>
      <c r="R91" s="1"/>
      <c r="S91" s="1"/>
      <c r="T91" s="1">
        <f>IFERROR(__xludf.DUMMYFUNCTION("""COMPUTED_VALUE"""),105.0)</f>
        <v>105</v>
      </c>
    </row>
    <row r="92">
      <c r="A92" s="1"/>
      <c r="B92" s="1"/>
      <c r="C92" s="1" t="str">
        <f>IFERROR(__xludf.DUMMYFUNCTION("""COMPUTED_VALUE"""),"-")</f>
        <v>-</v>
      </c>
      <c r="D92" s="1" t="str">
        <f>IFERROR(__xludf.DUMMYFUNCTION("""COMPUTED_VALUE"""),"RIO QUALITY")</f>
        <v>RIO QUALITY</v>
      </c>
      <c r="E92" s="1" t="str">
        <f>IFERROR(__xludf.DUMMYFUNCTION("""COMPUTED_VALUE"""),"AÇUCAR ORGANICO NATIVE")</f>
        <v>AÇUCAR ORGANICO NATIVE</v>
      </c>
      <c r="F92" s="1" t="str">
        <f>IFERROR(__xludf.DUMMYFUNCTION("""COMPUTED_VALUE"""),"CX")</f>
        <v>CX</v>
      </c>
      <c r="G92" s="2">
        <f>IFERROR(__xludf.DUMMYFUNCTION("""COMPUTED_VALUE"""),1000.0)</f>
        <v>1000</v>
      </c>
      <c r="H92" s="2">
        <f>IFERROR(__xludf.DUMMYFUNCTION("""COMPUTED_VALUE"""),0.0)</f>
        <v>0</v>
      </c>
      <c r="I92" s="1"/>
      <c r="J92" s="2">
        <f>IFERROR(__xludf.DUMMYFUNCTION("""COMPUTED_VALUE"""),0.0)</f>
        <v>0</v>
      </c>
      <c r="K92" s="2">
        <f>IFERROR(__xludf.DUMMYFUNCTION("""COMPUTED_VALUE"""),0.0)</f>
        <v>0</v>
      </c>
      <c r="L92" s="1"/>
      <c r="M92" s="3" t="str">
        <f>IFERROR(__xludf.DUMMYFUNCTION("""COMPUTED_VALUE"""),"")</f>
        <v/>
      </c>
      <c r="N92" s="1"/>
      <c r="O92" s="2" t="str">
        <f>IFERROR(__xludf.DUMMYFUNCTION("""COMPUTED_VALUE"""),"")</f>
        <v/>
      </c>
      <c r="P92" s="2">
        <f>IFERROR(__xludf.DUMMYFUNCTION("""COMPUTED_VALUE"""),0.0)</f>
        <v>0</v>
      </c>
      <c r="Q92" s="1"/>
      <c r="R92" s="1"/>
      <c r="S92" s="1"/>
      <c r="T92" s="1">
        <f>IFERROR(__xludf.DUMMYFUNCTION("""COMPUTED_VALUE"""),96.0)</f>
        <v>96</v>
      </c>
    </row>
    <row r="93">
      <c r="A93" s="1"/>
      <c r="B93" s="1"/>
      <c r="C93" s="1" t="str">
        <f>IFERROR(__xludf.DUMMYFUNCTION("""COMPUTED_VALUE"""),"-")</f>
        <v>-</v>
      </c>
      <c r="D93" s="1" t="str">
        <f>IFERROR(__xludf.DUMMYFUNCTION("""COMPUTED_VALUE"""),"RIO QUALITY")</f>
        <v>RIO QUALITY</v>
      </c>
      <c r="E93" s="1" t="str">
        <f>IFERROR(__xludf.DUMMYFUNCTION("""COMPUTED_VALUE"""),"AÇUCAR MASCAVO JUNIOR")</f>
        <v>AÇUCAR MASCAVO JUNIOR</v>
      </c>
      <c r="F93" s="1" t="str">
        <f>IFERROR(__xludf.DUMMYFUNCTION("""COMPUTED_VALUE"""),"CX")</f>
        <v>CX</v>
      </c>
      <c r="G93" s="2">
        <f>IFERROR(__xludf.DUMMYFUNCTION("""COMPUTED_VALUE"""),250.0)</f>
        <v>250</v>
      </c>
      <c r="H93" s="2">
        <f>IFERROR(__xludf.DUMMYFUNCTION("""COMPUTED_VALUE"""),0.0)</f>
        <v>0</v>
      </c>
      <c r="I93" s="1"/>
      <c r="J93" s="2">
        <f>IFERROR(__xludf.DUMMYFUNCTION("""COMPUTED_VALUE"""),0.0)</f>
        <v>0</v>
      </c>
      <c r="K93" s="2">
        <f>IFERROR(__xludf.DUMMYFUNCTION("""COMPUTED_VALUE"""),0.0)</f>
        <v>0</v>
      </c>
      <c r="L93" s="1"/>
      <c r="M93" s="3" t="str">
        <f>IFERROR(__xludf.DUMMYFUNCTION("""COMPUTED_VALUE"""),"")</f>
        <v/>
      </c>
      <c r="N93" s="1"/>
      <c r="O93" s="2" t="str">
        <f>IFERROR(__xludf.DUMMYFUNCTION("""COMPUTED_VALUE"""),"")</f>
        <v/>
      </c>
      <c r="P93" s="2">
        <f>IFERROR(__xludf.DUMMYFUNCTION("""COMPUTED_VALUE"""),0.0)</f>
        <v>0</v>
      </c>
      <c r="Q93" s="1"/>
      <c r="R93" s="1"/>
      <c r="S93" s="1"/>
      <c r="T93" s="1">
        <f>IFERROR(__xludf.DUMMYFUNCTION("""COMPUTED_VALUE"""),97.0)</f>
        <v>97</v>
      </c>
    </row>
    <row r="94">
      <c r="A94" s="1"/>
      <c r="B94" s="1"/>
      <c r="C94" s="1" t="str">
        <f>IFERROR(__xludf.DUMMYFUNCTION("""COMPUTED_VALUE"""),"-")</f>
        <v>-</v>
      </c>
      <c r="D94" s="1" t="str">
        <f>IFERROR(__xludf.DUMMYFUNCTION("""COMPUTED_VALUE"""),"RIO QUALITY")</f>
        <v>RIO QUALITY</v>
      </c>
      <c r="E94" s="1" t="str">
        <f>IFERROR(__xludf.DUMMYFUNCTION("""COMPUTED_VALUE"""),"AROMATIZANTE AVELÃ")</f>
        <v>AROMATIZANTE AVELÃ</v>
      </c>
      <c r="F94" s="1" t="str">
        <f>IFERROR(__xludf.DUMMYFUNCTION("""COMPUTED_VALUE"""),"GA")</f>
        <v>GA</v>
      </c>
      <c r="G94" s="4">
        <f>IFERROR(__xludf.DUMMYFUNCTION("""COMPUTED_VALUE"""),0.75)</f>
        <v>0.75</v>
      </c>
      <c r="H94" s="2">
        <f>IFERROR(__xludf.DUMMYFUNCTION("""COMPUTED_VALUE"""),0.0)</f>
        <v>0</v>
      </c>
      <c r="I94" s="1"/>
      <c r="J94" s="2">
        <f>IFERROR(__xludf.DUMMYFUNCTION("""COMPUTED_VALUE"""),1.0)</f>
        <v>1</v>
      </c>
      <c r="K94" s="2">
        <f>IFERROR(__xludf.DUMMYFUNCTION("""COMPUTED_VALUE"""),0.0)</f>
        <v>0</v>
      </c>
      <c r="L94" s="1"/>
      <c r="M94" s="3">
        <f>IFERROR(__xludf.DUMMYFUNCTION("""COMPUTED_VALUE"""),0.91)</f>
        <v>0.91</v>
      </c>
      <c r="N94" s="1"/>
      <c r="O94" s="2" t="str">
        <f>IFERROR(__xludf.DUMMYFUNCTION("""COMPUTED_VALUE"""),"")</f>
        <v/>
      </c>
      <c r="P94" s="2">
        <f>IFERROR(__xludf.DUMMYFUNCTION("""COMPUTED_VALUE"""),1.0)</f>
        <v>1</v>
      </c>
      <c r="Q94" s="1"/>
      <c r="R94" s="1"/>
      <c r="S94" s="1"/>
      <c r="T94" s="1">
        <f>IFERROR(__xludf.DUMMYFUNCTION("""COMPUTED_VALUE"""),40.0)</f>
        <v>40</v>
      </c>
    </row>
    <row r="95">
      <c r="A95" s="1"/>
      <c r="B95" s="1"/>
      <c r="C95" s="1" t="str">
        <f>IFERROR(__xludf.DUMMYFUNCTION("""COMPUTED_VALUE"""),"-")</f>
        <v>-</v>
      </c>
      <c r="D95" s="1" t="str">
        <f>IFERROR(__xludf.DUMMYFUNCTION("""COMPUTED_VALUE"""),"RIO QUALITY")</f>
        <v>RIO QUALITY</v>
      </c>
      <c r="E95" s="1" t="str">
        <f>IFERROR(__xludf.DUMMYFUNCTION("""COMPUTED_VALUE"""),"AROMATIZANTE MAÇÃ VERDE")</f>
        <v>AROMATIZANTE MAÇÃ VERDE</v>
      </c>
      <c r="F95" s="1" t="str">
        <f>IFERROR(__xludf.DUMMYFUNCTION("""COMPUTED_VALUE"""),"GA")</f>
        <v>GA</v>
      </c>
      <c r="G95" s="4">
        <f>IFERROR(__xludf.DUMMYFUNCTION("""COMPUTED_VALUE"""),0.75)</f>
        <v>0.75</v>
      </c>
      <c r="H95" s="2">
        <f>IFERROR(__xludf.DUMMYFUNCTION("""COMPUTED_VALUE"""),0.0)</f>
        <v>0</v>
      </c>
      <c r="I95" s="1"/>
      <c r="J95" s="2">
        <f>IFERROR(__xludf.DUMMYFUNCTION("""COMPUTED_VALUE"""),0.0)</f>
        <v>0</v>
      </c>
      <c r="K95" s="2">
        <f>IFERROR(__xludf.DUMMYFUNCTION("""COMPUTED_VALUE"""),0.0)</f>
        <v>0</v>
      </c>
      <c r="L95" s="1"/>
      <c r="M95" s="3">
        <f>IFERROR(__xludf.DUMMYFUNCTION("""COMPUTED_VALUE"""),0.37)</f>
        <v>0.37</v>
      </c>
      <c r="N95" s="1"/>
      <c r="O95" s="2" t="str">
        <f>IFERROR(__xludf.DUMMYFUNCTION("""COMPUTED_VALUE"""),"")</f>
        <v/>
      </c>
      <c r="P95" s="2">
        <f>IFERROR(__xludf.DUMMYFUNCTION("""COMPUTED_VALUE"""),0.0)</f>
        <v>0</v>
      </c>
      <c r="Q95" s="1"/>
      <c r="R95" s="1"/>
      <c r="S95" s="1"/>
      <c r="T95" s="1">
        <f>IFERROR(__xludf.DUMMYFUNCTION("""COMPUTED_VALUE"""),43.0)</f>
        <v>43</v>
      </c>
    </row>
    <row r="96">
      <c r="A96" s="1"/>
      <c r="B96" s="1"/>
      <c r="C96" s="1" t="str">
        <f>IFERROR(__xludf.DUMMYFUNCTION("""COMPUTED_VALUE"""),"-")</f>
        <v>-</v>
      </c>
      <c r="D96" s="1" t="str">
        <f>IFERROR(__xludf.DUMMYFUNCTION("""COMPUTED_VALUE"""),"RIO QUALITY")</f>
        <v>RIO QUALITY</v>
      </c>
      <c r="E96" s="1" t="str">
        <f>IFERROR(__xludf.DUMMYFUNCTION("""COMPUTED_VALUE"""),"AROMATIZANTE FRAMBOESA")</f>
        <v>AROMATIZANTE FRAMBOESA</v>
      </c>
      <c r="F96" s="1" t="str">
        <f>IFERROR(__xludf.DUMMYFUNCTION("""COMPUTED_VALUE"""),"GA")</f>
        <v>GA</v>
      </c>
      <c r="G96" s="4">
        <f>IFERROR(__xludf.DUMMYFUNCTION("""COMPUTED_VALUE"""),0.75)</f>
        <v>0.75</v>
      </c>
      <c r="H96" s="2">
        <f>IFERROR(__xludf.DUMMYFUNCTION("""COMPUTED_VALUE"""),0.0)</f>
        <v>0</v>
      </c>
      <c r="I96" s="1"/>
      <c r="J96" s="2">
        <f>IFERROR(__xludf.DUMMYFUNCTION("""COMPUTED_VALUE"""),1.0)</f>
        <v>1</v>
      </c>
      <c r="K96" s="2">
        <f>IFERROR(__xludf.DUMMYFUNCTION("""COMPUTED_VALUE"""),0.0)</f>
        <v>0</v>
      </c>
      <c r="L96" s="1"/>
      <c r="M96" s="3">
        <f>IFERROR(__xludf.DUMMYFUNCTION("""COMPUTED_VALUE"""),0.59)</f>
        <v>0.59</v>
      </c>
      <c r="N96" s="1"/>
      <c r="O96" s="2" t="str">
        <f>IFERROR(__xludf.DUMMYFUNCTION("""COMPUTED_VALUE"""),"")</f>
        <v/>
      </c>
      <c r="P96" s="2">
        <f>IFERROR(__xludf.DUMMYFUNCTION("""COMPUTED_VALUE"""),1.0)</f>
        <v>1</v>
      </c>
      <c r="Q96" s="1"/>
      <c r="R96" s="1"/>
      <c r="S96" s="1"/>
      <c r="T96" s="1">
        <f>IFERROR(__xludf.DUMMYFUNCTION("""COMPUTED_VALUE"""),42.0)</f>
        <v>42</v>
      </c>
    </row>
    <row r="97">
      <c r="A97" s="1"/>
      <c r="B97" s="1"/>
      <c r="C97" s="1" t="str">
        <f>IFERROR(__xludf.DUMMYFUNCTION("""COMPUTED_VALUE"""),"-")</f>
        <v>-</v>
      </c>
      <c r="D97" s="1" t="str">
        <f>IFERROR(__xludf.DUMMYFUNCTION("""COMPUTED_VALUE"""),"RIO QUALITY")</f>
        <v>RIO QUALITY</v>
      </c>
      <c r="E97" s="1" t="str">
        <f>IFERROR(__xludf.DUMMYFUNCTION("""COMPUTED_VALUE"""),"ALCOOL 70*")</f>
        <v>ALCOOL 70*</v>
      </c>
      <c r="F97" s="1" t="str">
        <f>IFERROR(__xludf.DUMMYFUNCTION("""COMPUTED_VALUE"""),"CX")</f>
        <v>CX</v>
      </c>
      <c r="G97" s="2">
        <f>IFERROR(__xludf.DUMMYFUNCTION("""COMPUTED_VALUE"""),12.0)</f>
        <v>12</v>
      </c>
      <c r="H97" s="2">
        <f>IFERROR(__xludf.DUMMYFUNCTION("""COMPUTED_VALUE"""),0.0)</f>
        <v>0</v>
      </c>
      <c r="I97" s="1"/>
      <c r="J97" s="2">
        <f>IFERROR(__xludf.DUMMYFUNCTION("""COMPUTED_VALUE"""),0.0)</f>
        <v>0</v>
      </c>
      <c r="K97" s="2">
        <f>IFERROR(__xludf.DUMMYFUNCTION("""COMPUTED_VALUE"""),0.0)</f>
        <v>0</v>
      </c>
      <c r="L97" s="1"/>
      <c r="M97" s="3" t="str">
        <f>IFERROR(__xludf.DUMMYFUNCTION("""COMPUTED_VALUE"""),"")</f>
        <v/>
      </c>
      <c r="N97" s="1"/>
      <c r="O97" s="2" t="str">
        <f>IFERROR(__xludf.DUMMYFUNCTION("""COMPUTED_VALUE"""),"")</f>
        <v/>
      </c>
      <c r="P97" s="2">
        <f>IFERROR(__xludf.DUMMYFUNCTION("""COMPUTED_VALUE"""),0.0)</f>
        <v>0</v>
      </c>
      <c r="Q97" s="1"/>
      <c r="R97" s="1"/>
      <c r="S97" s="1"/>
      <c r="T97" s="1">
        <f>IFERROR(__xludf.DUMMYFUNCTION("""COMPUTED_VALUE"""),301.0)</f>
        <v>301</v>
      </c>
    </row>
    <row r="98">
      <c r="A98" s="1"/>
      <c r="B98" s="1"/>
      <c r="C98" s="1" t="str">
        <f>IFERROR(__xludf.DUMMYFUNCTION("""COMPUTED_VALUE"""),"-")</f>
        <v>-</v>
      </c>
      <c r="D98" s="1" t="str">
        <f>IFERROR(__xludf.DUMMYFUNCTION("""COMPUTED_VALUE"""),"OPIPARO")</f>
        <v>OPIPARO</v>
      </c>
      <c r="E98" s="1" t="str">
        <f>IFERROR(__xludf.DUMMYFUNCTION("""COMPUTED_VALUE"""),"PARMA")</f>
        <v>PARMA</v>
      </c>
      <c r="F98" s="1" t="str">
        <f>IFERROR(__xludf.DUMMYFUNCTION("""COMPUTED_VALUE"""),"KG")</f>
        <v>KG</v>
      </c>
      <c r="G98" s="4">
        <f>IFERROR(__xludf.DUMMYFUNCTION("""COMPUTED_VALUE"""),1.0)</f>
        <v>1</v>
      </c>
      <c r="H98" s="2">
        <f>IFERROR(__xludf.DUMMYFUNCTION("""COMPUTED_VALUE"""),0.0)</f>
        <v>0</v>
      </c>
      <c r="I98" s="1"/>
      <c r="J98" s="2">
        <f>IFERROR(__xludf.DUMMYFUNCTION("""COMPUTED_VALUE"""),2.0)</f>
        <v>2</v>
      </c>
      <c r="K98" s="2">
        <f>IFERROR(__xludf.DUMMYFUNCTION("""COMPUTED_VALUE"""),0.0)</f>
        <v>0</v>
      </c>
      <c r="L98" s="1"/>
      <c r="M98" s="3">
        <f>IFERROR(__xludf.DUMMYFUNCTION("""COMPUTED_VALUE"""),2.07)</f>
        <v>2.07</v>
      </c>
      <c r="N98" s="1"/>
      <c r="O98" s="2" t="str">
        <f>IFERROR(__xludf.DUMMYFUNCTION("""COMPUTED_VALUE"""),"")</f>
        <v/>
      </c>
      <c r="P98" s="2">
        <f>IFERROR(__xludf.DUMMYFUNCTION("""COMPUTED_VALUE"""),2.0)</f>
        <v>2</v>
      </c>
      <c r="Q98" s="1"/>
      <c r="R98" s="1"/>
      <c r="S98" s="1"/>
      <c r="T98" s="1">
        <f>IFERROR(__xludf.DUMMYFUNCTION("""COMPUTED_VALUE"""),65.0)</f>
        <v>65</v>
      </c>
    </row>
    <row r="99">
      <c r="A99" s="1"/>
      <c r="B99" s="1"/>
      <c r="C99" s="1" t="str">
        <f>IFERROR(__xludf.DUMMYFUNCTION("""COMPUTED_VALUE"""),"-")</f>
        <v>-</v>
      </c>
      <c r="D99" s="1" t="str">
        <f>IFERROR(__xludf.DUMMYFUNCTION("""COMPUTED_VALUE"""),"OPIPARO")</f>
        <v>OPIPARO</v>
      </c>
      <c r="E99" s="1" t="str">
        <f>IFERROR(__xludf.DUMMYFUNCTION("""COMPUTED_VALUE"""),"BRIE")</f>
        <v>BRIE</v>
      </c>
      <c r="F99" s="1" t="str">
        <f>IFERROR(__xludf.DUMMYFUNCTION("""COMPUTED_VALUE"""),"KG")</f>
        <v>KG</v>
      </c>
      <c r="G99" s="4">
        <f>IFERROR(__xludf.DUMMYFUNCTION("""COMPUTED_VALUE"""),1.0)</f>
        <v>1</v>
      </c>
      <c r="H99" s="2">
        <f>IFERROR(__xludf.DUMMYFUNCTION("""COMPUTED_VALUE"""),0.0)</f>
        <v>0</v>
      </c>
      <c r="I99" s="1"/>
      <c r="J99" s="2">
        <f>IFERROR(__xludf.DUMMYFUNCTION("""COMPUTED_VALUE"""),2.0)</f>
        <v>2</v>
      </c>
      <c r="K99" s="2">
        <f>IFERROR(__xludf.DUMMYFUNCTION("""COMPUTED_VALUE"""),0.0)</f>
        <v>0</v>
      </c>
      <c r="L99" s="1"/>
      <c r="M99" s="3">
        <f>IFERROR(__xludf.DUMMYFUNCTION("""COMPUTED_VALUE"""),2.24)</f>
        <v>2.24</v>
      </c>
      <c r="N99" s="1"/>
      <c r="O99" s="2" t="str">
        <f>IFERROR(__xludf.DUMMYFUNCTION("""COMPUTED_VALUE"""),"")</f>
        <v/>
      </c>
      <c r="P99" s="2">
        <f>IFERROR(__xludf.DUMMYFUNCTION("""COMPUTED_VALUE"""),2.0)</f>
        <v>2</v>
      </c>
      <c r="Q99" s="1"/>
      <c r="R99" s="1"/>
      <c r="S99" s="1"/>
      <c r="T99" s="1">
        <f>IFERROR(__xludf.DUMMYFUNCTION("""COMPUTED_VALUE"""),66.0)</f>
        <v>66</v>
      </c>
    </row>
    <row r="100">
      <c r="A100" s="1"/>
      <c r="B100" s="1"/>
      <c r="C100" s="1" t="str">
        <f>IFERROR(__xludf.DUMMYFUNCTION("""COMPUTED_VALUE"""),"-")</f>
        <v>-</v>
      </c>
      <c r="D100" s="1" t="str">
        <f>IFERROR(__xludf.DUMMYFUNCTION("""COMPUTED_VALUE"""),"OPIPARO")</f>
        <v>OPIPARO</v>
      </c>
      <c r="E100" s="1" t="str">
        <f>IFERROR(__xludf.DUMMYFUNCTION("""COMPUTED_VALUE"""),"PARMESÃO")</f>
        <v>PARMESÃO</v>
      </c>
      <c r="F100" s="1" t="str">
        <f>IFERROR(__xludf.DUMMYFUNCTION("""COMPUTED_VALUE"""),"KG")</f>
        <v>KG</v>
      </c>
      <c r="G100" s="4">
        <f>IFERROR(__xludf.DUMMYFUNCTION("""COMPUTED_VALUE"""),1.0)</f>
        <v>1</v>
      </c>
      <c r="H100" s="2">
        <f>IFERROR(__xludf.DUMMYFUNCTION("""COMPUTED_VALUE"""),0.0)</f>
        <v>0</v>
      </c>
      <c r="I100" s="1"/>
      <c r="J100" s="2">
        <f>IFERROR(__xludf.DUMMYFUNCTION("""COMPUTED_VALUE"""),2.0)</f>
        <v>2</v>
      </c>
      <c r="K100" s="2">
        <f>IFERROR(__xludf.DUMMYFUNCTION("""COMPUTED_VALUE"""),0.0)</f>
        <v>0</v>
      </c>
      <c r="L100" s="1"/>
      <c r="M100" s="3">
        <f>IFERROR(__xludf.DUMMYFUNCTION("""COMPUTED_VALUE"""),1.5)</f>
        <v>1.5</v>
      </c>
      <c r="N100" s="1"/>
      <c r="O100" s="2" t="str">
        <f>IFERROR(__xludf.DUMMYFUNCTION("""COMPUTED_VALUE"""),"")</f>
        <v/>
      </c>
      <c r="P100" s="2">
        <f>IFERROR(__xludf.DUMMYFUNCTION("""COMPUTED_VALUE"""),2.0)</f>
        <v>2</v>
      </c>
      <c r="Q100" s="1"/>
      <c r="R100" s="1"/>
      <c r="S100" s="1"/>
      <c r="T100" s="1">
        <f>IFERROR(__xludf.DUMMYFUNCTION("""COMPUTED_VALUE"""),58.0)</f>
        <v>58</v>
      </c>
    </row>
    <row r="101">
      <c r="A101" s="1"/>
      <c r="B101" s="1"/>
      <c r="C101" s="1" t="str">
        <f>IFERROR(__xludf.DUMMYFUNCTION("""COMPUTED_VALUE"""),"-")</f>
        <v>-</v>
      </c>
      <c r="D101" s="1" t="str">
        <f>IFERROR(__xludf.DUMMYFUNCTION("""COMPUTED_VALUE"""),"OPIPARO")</f>
        <v>OPIPARO</v>
      </c>
      <c r="E101" s="1" t="str">
        <f>IFERROR(__xludf.DUMMYFUNCTION("""COMPUTED_VALUE"""),"BALSAMICO")</f>
        <v>BALSAMICO</v>
      </c>
      <c r="F101" s="1" t="str">
        <f>IFERROR(__xludf.DUMMYFUNCTION("""COMPUTED_VALUE"""),"UN")</f>
        <v>UN</v>
      </c>
      <c r="G101" s="2">
        <f>IFERROR(__xludf.DUMMYFUNCTION("""COMPUTED_VALUE"""),1.0)</f>
        <v>1</v>
      </c>
      <c r="H101" s="2">
        <f>IFERROR(__xludf.DUMMYFUNCTION("""COMPUTED_VALUE"""),0.0)</f>
        <v>0</v>
      </c>
      <c r="I101" s="1"/>
      <c r="J101" s="2">
        <f>IFERROR(__xludf.DUMMYFUNCTION("""COMPUTED_VALUE"""),0.0)</f>
        <v>0</v>
      </c>
      <c r="K101" s="2">
        <f>IFERROR(__xludf.DUMMYFUNCTION("""COMPUTED_VALUE"""),0.0)</f>
        <v>0</v>
      </c>
      <c r="L101" s="1"/>
      <c r="M101" s="3" t="str">
        <f>IFERROR(__xludf.DUMMYFUNCTION("""COMPUTED_VALUE"""),"")</f>
        <v/>
      </c>
      <c r="N101" s="1"/>
      <c r="O101" s="2" t="str">
        <f>IFERROR(__xludf.DUMMYFUNCTION("""COMPUTED_VALUE"""),"")</f>
        <v/>
      </c>
      <c r="P101" s="2">
        <f>IFERROR(__xludf.DUMMYFUNCTION("""COMPUTED_VALUE"""),0.0)</f>
        <v>0</v>
      </c>
      <c r="Q101" s="1"/>
      <c r="R101" s="1"/>
      <c r="S101" s="1"/>
      <c r="T101" s="1" t="str">
        <f>IFERROR(__xludf.DUMMYFUNCTION("""COMPUTED_VALUE"""),"Não Localizado")</f>
        <v>Não Localizado</v>
      </c>
    </row>
    <row r="102">
      <c r="A102" s="1"/>
      <c r="B102" s="1"/>
      <c r="C102" s="1" t="str">
        <f>IFERROR(__xludf.DUMMYFUNCTION("""COMPUTED_VALUE"""),"-")</f>
        <v>-</v>
      </c>
      <c r="D102" s="1" t="str">
        <f>IFERROR(__xludf.DUMMYFUNCTION("""COMPUTED_VALUE"""),"OPIPARO")</f>
        <v>OPIPARO</v>
      </c>
      <c r="E102" s="1" t="str">
        <f>IFERROR(__xludf.DUMMYFUNCTION("""COMPUTED_VALUE"""),"GELÉIA DAMASCO")</f>
        <v>GELÉIA DAMASCO</v>
      </c>
      <c r="F102" s="1" t="str">
        <f>IFERROR(__xludf.DUMMYFUNCTION("""COMPUTED_VALUE"""),"BD")</f>
        <v>BD</v>
      </c>
      <c r="G102" s="4">
        <f>IFERROR(__xludf.DUMMYFUNCTION("""COMPUTED_VALUE"""),1.2)</f>
        <v>1.2</v>
      </c>
      <c r="H102" s="2">
        <f>IFERROR(__xludf.DUMMYFUNCTION("""COMPUTED_VALUE"""),0.0)</f>
        <v>0</v>
      </c>
      <c r="I102" s="1"/>
      <c r="J102" s="2">
        <f>IFERROR(__xludf.DUMMYFUNCTION("""COMPUTED_VALUE"""),0.0)</f>
        <v>0</v>
      </c>
      <c r="K102" s="2">
        <f>IFERROR(__xludf.DUMMYFUNCTION("""COMPUTED_VALUE"""),0.0)</f>
        <v>0</v>
      </c>
      <c r="L102" s="1"/>
      <c r="M102" s="3">
        <f>IFERROR(__xludf.DUMMYFUNCTION("""COMPUTED_VALUE"""),0.4)</f>
        <v>0.4</v>
      </c>
      <c r="N102" s="1"/>
      <c r="O102" s="2" t="str">
        <f>IFERROR(__xludf.DUMMYFUNCTION("""COMPUTED_VALUE"""),"")</f>
        <v/>
      </c>
      <c r="P102" s="2">
        <f>IFERROR(__xludf.DUMMYFUNCTION("""COMPUTED_VALUE"""),0.0)</f>
        <v>0</v>
      </c>
      <c r="Q102" s="1"/>
      <c r="R102" s="1"/>
      <c r="S102" s="1"/>
      <c r="T102" s="1">
        <f>IFERROR(__xludf.DUMMYFUNCTION("""COMPUTED_VALUE"""),89.0)</f>
        <v>89</v>
      </c>
    </row>
    <row r="103">
      <c r="A103" s="1"/>
      <c r="B103" s="1"/>
      <c r="C103" s="1" t="str">
        <f>IFERROR(__xludf.DUMMYFUNCTION("""COMPUTED_VALUE"""),"-")</f>
        <v>-</v>
      </c>
      <c r="D103" s="1" t="str">
        <f>IFERROR(__xludf.DUMMYFUNCTION("""COMPUTED_VALUE"""),"SORVETE JUNDIA")</f>
        <v>SORVETE JUNDIA</v>
      </c>
      <c r="E103" s="1" t="str">
        <f>IFERROR(__xludf.DUMMYFUNCTION("""COMPUTED_VALUE"""),"CREME")</f>
        <v>CREME</v>
      </c>
      <c r="F103" s="1" t="str">
        <f>IFERROR(__xludf.DUMMYFUNCTION("""COMPUTED_VALUE"""),"POTE")</f>
        <v>POTE</v>
      </c>
      <c r="G103" s="2">
        <f>IFERROR(__xludf.DUMMYFUNCTION("""COMPUTED_VALUE"""),6.0)</f>
        <v>6</v>
      </c>
      <c r="H103" s="2">
        <f>IFERROR(__xludf.DUMMYFUNCTION("""COMPUTED_VALUE"""),0.0)</f>
        <v>0</v>
      </c>
      <c r="I103" s="1"/>
      <c r="J103" s="2">
        <f>IFERROR(__xludf.DUMMYFUNCTION("""COMPUTED_VALUE"""),0.0)</f>
        <v>0</v>
      </c>
      <c r="K103" s="2">
        <f>IFERROR(__xludf.DUMMYFUNCTION("""COMPUTED_VALUE"""),0.0)</f>
        <v>0</v>
      </c>
      <c r="L103" s="1"/>
      <c r="M103" s="3" t="str">
        <f>IFERROR(__xludf.DUMMYFUNCTION("""COMPUTED_VALUE"""),"")</f>
        <v/>
      </c>
      <c r="N103" s="1"/>
      <c r="O103" s="2" t="str">
        <f>IFERROR(__xludf.DUMMYFUNCTION("""COMPUTED_VALUE"""),"")</f>
        <v/>
      </c>
      <c r="P103" s="2">
        <f>IFERROR(__xludf.DUMMYFUNCTION("""COMPUTED_VALUE"""),0.0)</f>
        <v>0</v>
      </c>
      <c r="Q103" s="1"/>
      <c r="R103" s="1"/>
      <c r="S103" s="1"/>
      <c r="T103" s="1">
        <f>IFERROR(__xludf.DUMMYFUNCTION("""COMPUTED_VALUE"""),49.0)</f>
        <v>49</v>
      </c>
    </row>
    <row r="104">
      <c r="A104" s="1"/>
      <c r="B104" s="1"/>
      <c r="C104" s="1" t="str">
        <f>IFERROR(__xludf.DUMMYFUNCTION("""COMPUTED_VALUE"""),"-")</f>
        <v>-</v>
      </c>
      <c r="D104" s="1" t="str">
        <f>IFERROR(__xludf.DUMMYFUNCTION("""COMPUTED_VALUE"""),"DE MARCH")</f>
        <v>DE MARCH</v>
      </c>
      <c r="E104" s="1" t="str">
        <f>IFERROR(__xludf.DUMMYFUNCTION("""COMPUTED_VALUE"""),"LARANJA C/ACEROLA100G")</f>
        <v>LARANJA C/ACEROLA100G</v>
      </c>
      <c r="F104" s="1" t="str">
        <f>IFERROR(__xludf.DUMMYFUNCTION("""COMPUTED_VALUE"""),"PCT")</f>
        <v>PCT</v>
      </c>
      <c r="G104" s="2">
        <f>IFERROR(__xludf.DUMMYFUNCTION("""COMPUTED_VALUE"""),10.0)</f>
        <v>10</v>
      </c>
      <c r="H104" s="2">
        <f>IFERROR(__xludf.DUMMYFUNCTION("""COMPUTED_VALUE"""),0.0)</f>
        <v>0</v>
      </c>
      <c r="I104" s="1"/>
      <c r="J104" s="2">
        <f>IFERROR(__xludf.DUMMYFUNCTION("""COMPUTED_VALUE"""),3.0)</f>
        <v>3</v>
      </c>
      <c r="K104" s="2">
        <f>IFERROR(__xludf.DUMMYFUNCTION("""COMPUTED_VALUE"""),0.0)</f>
        <v>0</v>
      </c>
      <c r="L104" s="1"/>
      <c r="M104" s="3">
        <f>IFERROR(__xludf.DUMMYFUNCTION("""COMPUTED_VALUE"""),32.0)</f>
        <v>32</v>
      </c>
      <c r="N104" s="1"/>
      <c r="O104" s="2" t="str">
        <f>IFERROR(__xludf.DUMMYFUNCTION("""COMPUTED_VALUE"""),"")</f>
        <v/>
      </c>
      <c r="P104" s="2">
        <f>IFERROR(__xludf.DUMMYFUNCTION("""COMPUTED_VALUE"""),3.0)</f>
        <v>3</v>
      </c>
      <c r="Q104" s="1"/>
      <c r="R104" s="1"/>
      <c r="S104" s="1"/>
      <c r="T104" s="1">
        <f>IFERROR(__xludf.DUMMYFUNCTION("""COMPUTED_VALUE"""),120.0)</f>
        <v>120</v>
      </c>
    </row>
    <row r="105">
      <c r="A105" s="1"/>
      <c r="B105" s="1"/>
      <c r="C105" s="1" t="str">
        <f>IFERROR(__xludf.DUMMYFUNCTION("""COMPUTED_VALUE"""),"-")</f>
        <v>-</v>
      </c>
      <c r="D105" s="1" t="str">
        <f>IFERROR(__xludf.DUMMYFUNCTION("""COMPUTED_VALUE"""),"DE MARCH")</f>
        <v>DE MARCH</v>
      </c>
      <c r="E105" s="1" t="str">
        <f>IFERROR(__xludf.DUMMYFUNCTION("""COMPUTED_VALUE"""),"ABACAXI C/ HORTELA100G")</f>
        <v>ABACAXI C/ HORTELA100G</v>
      </c>
      <c r="F105" s="1" t="str">
        <f>IFERROR(__xludf.DUMMYFUNCTION("""COMPUTED_VALUE"""),"PCT")</f>
        <v>PCT</v>
      </c>
      <c r="G105" s="2">
        <f>IFERROR(__xludf.DUMMYFUNCTION("""COMPUTED_VALUE"""),10.0)</f>
        <v>10</v>
      </c>
      <c r="H105" s="2">
        <f>IFERROR(__xludf.DUMMYFUNCTION("""COMPUTED_VALUE"""),0.0)</f>
        <v>0</v>
      </c>
      <c r="I105" s="1"/>
      <c r="J105" s="2">
        <f>IFERROR(__xludf.DUMMYFUNCTION("""COMPUTED_VALUE"""),5.0)</f>
        <v>5</v>
      </c>
      <c r="K105" s="2">
        <f>IFERROR(__xludf.DUMMYFUNCTION("""COMPUTED_VALUE"""),0.0)</f>
        <v>0</v>
      </c>
      <c r="L105" s="1"/>
      <c r="M105" s="3">
        <f>IFERROR(__xludf.DUMMYFUNCTION("""COMPUTED_VALUE"""),49.0)</f>
        <v>49</v>
      </c>
      <c r="N105" s="1"/>
      <c r="O105" s="2" t="str">
        <f>IFERROR(__xludf.DUMMYFUNCTION("""COMPUTED_VALUE"""),"")</f>
        <v/>
      </c>
      <c r="P105" s="2">
        <f>IFERROR(__xludf.DUMMYFUNCTION("""COMPUTED_VALUE"""),5.0)</f>
        <v>5</v>
      </c>
      <c r="Q105" s="1"/>
      <c r="R105" s="1"/>
      <c r="S105" s="1"/>
      <c r="T105" s="1">
        <f>IFERROR(__xludf.DUMMYFUNCTION("""COMPUTED_VALUE"""),121.0)</f>
        <v>121</v>
      </c>
    </row>
    <row r="106">
      <c r="A106" s="1"/>
      <c r="B106" s="1"/>
      <c r="C106" s="1" t="str">
        <f>IFERROR(__xludf.DUMMYFUNCTION("""COMPUTED_VALUE"""),"-")</f>
        <v>-</v>
      </c>
      <c r="D106" s="1" t="str">
        <f>IFERROR(__xludf.DUMMYFUNCTION("""COMPUTED_VALUE"""),"DE MARCH")</f>
        <v>DE MARCH</v>
      </c>
      <c r="E106" s="1" t="str">
        <f>IFERROR(__xludf.DUMMYFUNCTION("""COMPUTED_VALUE"""),"MARACUJA 10G")</f>
        <v>MARACUJA 10G</v>
      </c>
      <c r="F106" s="1" t="str">
        <f>IFERROR(__xludf.DUMMYFUNCTION("""COMPUTED_VALUE"""),"PCT")</f>
        <v>PCT</v>
      </c>
      <c r="G106" s="2">
        <f>IFERROR(__xludf.DUMMYFUNCTION("""COMPUTED_VALUE"""),10.0)</f>
        <v>10</v>
      </c>
      <c r="H106" s="2">
        <f>IFERROR(__xludf.DUMMYFUNCTION("""COMPUTED_VALUE"""),0.0)</f>
        <v>0</v>
      </c>
      <c r="I106" s="1"/>
      <c r="J106" s="2">
        <f>IFERROR(__xludf.DUMMYFUNCTION("""COMPUTED_VALUE"""),2.0)</f>
        <v>2</v>
      </c>
      <c r="K106" s="2">
        <f>IFERROR(__xludf.DUMMYFUNCTION("""COMPUTED_VALUE"""),0.0)</f>
        <v>0</v>
      </c>
      <c r="L106" s="1"/>
      <c r="M106" s="3">
        <f>IFERROR(__xludf.DUMMYFUNCTION("""COMPUTED_VALUE"""),22.0)</f>
        <v>22</v>
      </c>
      <c r="N106" s="1"/>
      <c r="O106" s="2" t="str">
        <f>IFERROR(__xludf.DUMMYFUNCTION("""COMPUTED_VALUE"""),"")</f>
        <v/>
      </c>
      <c r="P106" s="2">
        <f>IFERROR(__xludf.DUMMYFUNCTION("""COMPUTED_VALUE"""),2.0)</f>
        <v>2</v>
      </c>
      <c r="Q106" s="1"/>
      <c r="R106" s="1"/>
      <c r="S106" s="1"/>
      <c r="T106" s="1">
        <f>IFERROR(__xludf.DUMMYFUNCTION("""COMPUTED_VALUE"""),122.0)</f>
        <v>122</v>
      </c>
    </row>
    <row r="107">
      <c r="A107" s="1"/>
      <c r="B107" s="1"/>
      <c r="C107" s="1" t="str">
        <f>IFERROR(__xludf.DUMMYFUNCTION("""COMPUTED_VALUE"""),"-")</f>
        <v>-</v>
      </c>
      <c r="D107" s="1" t="str">
        <f>IFERROR(__xludf.DUMMYFUNCTION("""COMPUTED_VALUE"""),"DE MARCH")</f>
        <v>DE MARCH</v>
      </c>
      <c r="E107" s="1" t="str">
        <f>IFERROR(__xludf.DUMMYFUNCTION("""COMPUTED_VALUE"""),"MORANGO 10G")</f>
        <v>MORANGO 10G</v>
      </c>
      <c r="F107" s="1" t="str">
        <f>IFERROR(__xludf.DUMMYFUNCTION("""COMPUTED_VALUE"""),"PCT")</f>
        <v>PCT</v>
      </c>
      <c r="G107" s="2">
        <f>IFERROR(__xludf.DUMMYFUNCTION("""COMPUTED_VALUE"""),10.0)</f>
        <v>10</v>
      </c>
      <c r="H107" s="2">
        <f>IFERROR(__xludf.DUMMYFUNCTION("""COMPUTED_VALUE"""),0.0)</f>
        <v>0</v>
      </c>
      <c r="I107" s="1"/>
      <c r="J107" s="2">
        <f>IFERROR(__xludf.DUMMYFUNCTION("""COMPUTED_VALUE"""),2.0)</f>
        <v>2</v>
      </c>
      <c r="K107" s="2">
        <f>IFERROR(__xludf.DUMMYFUNCTION("""COMPUTED_VALUE"""),0.0)</f>
        <v>0</v>
      </c>
      <c r="L107" s="1"/>
      <c r="M107" s="3">
        <f>IFERROR(__xludf.DUMMYFUNCTION("""COMPUTED_VALUE"""),21.0)</f>
        <v>21</v>
      </c>
      <c r="N107" s="1"/>
      <c r="O107" s="2" t="str">
        <f>IFERROR(__xludf.DUMMYFUNCTION("""COMPUTED_VALUE"""),"")</f>
        <v/>
      </c>
      <c r="P107" s="2">
        <f>IFERROR(__xludf.DUMMYFUNCTION("""COMPUTED_VALUE"""),2.0)</f>
        <v>2</v>
      </c>
      <c r="Q107" s="1"/>
      <c r="R107" s="1"/>
      <c r="S107" s="1"/>
      <c r="T107" s="1">
        <f>IFERROR(__xludf.DUMMYFUNCTION("""COMPUTED_VALUE"""),397.0)</f>
        <v>397</v>
      </c>
    </row>
    <row r="108">
      <c r="A108" s="1"/>
      <c r="B108" s="1"/>
      <c r="C108" s="1" t="str">
        <f>IFERROR(__xludf.DUMMYFUNCTION("""COMPUTED_VALUE"""),"-")</f>
        <v>-</v>
      </c>
      <c r="D108" s="1" t="str">
        <f>IFERROR(__xludf.DUMMYFUNCTION("""COMPUTED_VALUE"""),"ITAMBÉ")</f>
        <v>ITAMBÉ</v>
      </c>
      <c r="E108" s="1" t="str">
        <f>IFERROR(__xludf.DUMMYFUNCTION("""COMPUTED_VALUE"""),"LEITE INTEGRAL (Natural Milk)")</f>
        <v>LEITE INTEGRAL (Natural Milk)</v>
      </c>
      <c r="F108" s="1" t="str">
        <f>IFERROR(__xludf.DUMMYFUNCTION("""COMPUTED_VALUE"""),"CX")</f>
        <v>CX</v>
      </c>
      <c r="G108" s="2">
        <f>IFERROR(__xludf.DUMMYFUNCTION("""COMPUTED_VALUE"""),12.0)</f>
        <v>12</v>
      </c>
      <c r="H108" s="2">
        <f>IFERROR(__xludf.DUMMYFUNCTION("""COMPUTED_VALUE"""),0.0)</f>
        <v>0</v>
      </c>
      <c r="I108" s="1"/>
      <c r="J108" s="2">
        <f>IFERROR(__xludf.DUMMYFUNCTION("""COMPUTED_VALUE"""),8.0)</f>
        <v>8</v>
      </c>
      <c r="K108" s="2">
        <f>IFERROR(__xludf.DUMMYFUNCTION("""COMPUTED_VALUE"""),0.0)</f>
        <v>0</v>
      </c>
      <c r="L108" s="1"/>
      <c r="M108" s="3">
        <f>IFERROR(__xludf.DUMMYFUNCTION("""COMPUTED_VALUE"""),90.055)</f>
        <v>90.055</v>
      </c>
      <c r="N108" s="1"/>
      <c r="O108" s="2" t="str">
        <f>IFERROR(__xludf.DUMMYFUNCTION("""COMPUTED_VALUE"""),"")</f>
        <v/>
      </c>
      <c r="P108" s="2">
        <f>IFERROR(__xludf.DUMMYFUNCTION("""COMPUTED_VALUE"""),8.0)</f>
        <v>8</v>
      </c>
      <c r="Q108" s="1"/>
      <c r="R108" s="1"/>
      <c r="S108" s="1"/>
      <c r="T108" s="1">
        <f>IFERROR(__xludf.DUMMYFUNCTION("""COMPUTED_VALUE"""),4.0)</f>
        <v>4</v>
      </c>
    </row>
    <row r="109">
      <c r="A109" s="1"/>
      <c r="B109" s="1"/>
      <c r="C109" s="1" t="str">
        <f>IFERROR(__xludf.DUMMYFUNCTION("""COMPUTED_VALUE"""),"-")</f>
        <v>-</v>
      </c>
      <c r="D109" s="1" t="str">
        <f>IFERROR(__xludf.DUMMYFUNCTION("""COMPUTED_VALUE"""),"NAVEIA")</f>
        <v>NAVEIA</v>
      </c>
      <c r="E109" s="1" t="str">
        <f>IFERROR(__xludf.DUMMYFUNCTION("""COMPUTED_VALUE"""),"LEITE VEGETAL")</f>
        <v>LEITE VEGETAL</v>
      </c>
      <c r="F109" s="1" t="str">
        <f>IFERROR(__xludf.DUMMYFUNCTION("""COMPUTED_VALUE"""),"CX")</f>
        <v>CX</v>
      </c>
      <c r="G109" s="2">
        <f>IFERROR(__xludf.DUMMYFUNCTION("""COMPUTED_VALUE"""),12.0)</f>
        <v>12</v>
      </c>
      <c r="H109" s="2">
        <f>IFERROR(__xludf.DUMMYFUNCTION("""COMPUTED_VALUE"""),0.0)</f>
        <v>0</v>
      </c>
      <c r="I109" s="1"/>
      <c r="J109" s="2">
        <f>IFERROR(__xludf.DUMMYFUNCTION("""COMPUTED_VALUE"""),1.0)</f>
        <v>1</v>
      </c>
      <c r="K109" s="2">
        <f>IFERROR(__xludf.DUMMYFUNCTION("""COMPUTED_VALUE"""),0.0)</f>
        <v>0</v>
      </c>
      <c r="L109" s="1"/>
      <c r="M109" s="3">
        <f>IFERROR(__xludf.DUMMYFUNCTION("""COMPUTED_VALUE"""),6.435)</f>
        <v>6.435</v>
      </c>
      <c r="N109" s="1"/>
      <c r="O109" s="2" t="str">
        <f>IFERROR(__xludf.DUMMYFUNCTION("""COMPUTED_VALUE"""),"")</f>
        <v/>
      </c>
      <c r="P109" s="2">
        <f>IFERROR(__xludf.DUMMYFUNCTION("""COMPUTED_VALUE"""),1.0)</f>
        <v>1</v>
      </c>
      <c r="Q109" s="1"/>
      <c r="R109" s="1"/>
      <c r="S109" s="1"/>
      <c r="T109" s="1">
        <f>IFERROR(__xludf.DUMMYFUNCTION("""COMPUTED_VALUE"""),1172.0)</f>
        <v>1172</v>
      </c>
    </row>
    <row r="110">
      <c r="A110" s="1"/>
      <c r="B110" s="1"/>
      <c r="C110" s="1" t="str">
        <f>IFERROR(__xludf.DUMMYFUNCTION("""COMPUTED_VALUE"""),"-")</f>
        <v>-</v>
      </c>
      <c r="D110" s="1" t="str">
        <f>IFERROR(__xludf.DUMMYFUNCTION("""COMPUTED_VALUE"""),"QUALIPLUS")</f>
        <v>QUALIPLUS</v>
      </c>
      <c r="E110" s="1" t="str">
        <f>IFERROR(__xludf.DUMMYFUNCTION("""COMPUTED_VALUE"""),"ÁGUA C/ GÁS 500ML")</f>
        <v>ÁGUA C/ GÁS 500ML</v>
      </c>
      <c r="F110" s="1" t="str">
        <f>IFERROR(__xludf.DUMMYFUNCTION("""COMPUTED_VALUE"""),"FD")</f>
        <v>FD</v>
      </c>
      <c r="G110" s="2">
        <f>IFERROR(__xludf.DUMMYFUNCTION("""COMPUTED_VALUE"""),12.0)</f>
        <v>12</v>
      </c>
      <c r="H110" s="2">
        <f>IFERROR(__xludf.DUMMYFUNCTION("""COMPUTED_VALUE"""),0.0)</f>
        <v>0</v>
      </c>
      <c r="I110" s="1"/>
      <c r="J110" s="2">
        <f>IFERROR(__xludf.DUMMYFUNCTION("""COMPUTED_VALUE"""),21.0)</f>
        <v>21</v>
      </c>
      <c r="K110" s="2">
        <f>IFERROR(__xludf.DUMMYFUNCTION("""COMPUTED_VALUE"""),0.0)</f>
        <v>0</v>
      </c>
      <c r="L110" s="1"/>
      <c r="M110" s="3">
        <f>IFERROR(__xludf.DUMMYFUNCTION("""COMPUTED_VALUE"""),252.0)</f>
        <v>252</v>
      </c>
      <c r="N110" s="1"/>
      <c r="O110" s="2" t="str">
        <f>IFERROR(__xludf.DUMMYFUNCTION("""COMPUTED_VALUE"""),"")</f>
        <v/>
      </c>
      <c r="P110" s="2">
        <f>IFERROR(__xludf.DUMMYFUNCTION("""COMPUTED_VALUE"""),21.0)</f>
        <v>21</v>
      </c>
      <c r="Q110" s="1"/>
      <c r="R110" s="1"/>
      <c r="S110" s="1"/>
      <c r="T110" s="1">
        <f>IFERROR(__xludf.DUMMYFUNCTION("""COMPUTED_VALUE"""),186.0)</f>
        <v>186</v>
      </c>
    </row>
    <row r="111">
      <c r="A111" s="1"/>
      <c r="B111" s="1"/>
      <c r="C111" s="1" t="str">
        <f>IFERROR(__xludf.DUMMYFUNCTION("""COMPUTED_VALUE"""),"-")</f>
        <v>-</v>
      </c>
      <c r="D111" s="1" t="str">
        <f>IFERROR(__xludf.DUMMYFUNCTION("""COMPUTED_VALUE"""),"QUALIPLUS")</f>
        <v>QUALIPLUS</v>
      </c>
      <c r="E111" s="1" t="str">
        <f>IFERROR(__xludf.DUMMYFUNCTION("""COMPUTED_VALUE"""),"ÁGUA S/ GÁS 500ML")</f>
        <v>ÁGUA S/ GÁS 500ML</v>
      </c>
      <c r="F111" s="1" t="str">
        <f>IFERROR(__xludf.DUMMYFUNCTION("""COMPUTED_VALUE"""),"FD")</f>
        <v>FD</v>
      </c>
      <c r="G111" s="2">
        <f>IFERROR(__xludf.DUMMYFUNCTION("""COMPUTED_VALUE"""),12.0)</f>
        <v>12</v>
      </c>
      <c r="H111" s="2">
        <f>IFERROR(__xludf.DUMMYFUNCTION("""COMPUTED_VALUE"""),0.0)</f>
        <v>0</v>
      </c>
      <c r="I111" s="1"/>
      <c r="J111" s="2">
        <f>IFERROR(__xludf.DUMMYFUNCTION("""COMPUTED_VALUE"""),19.0)</f>
        <v>19</v>
      </c>
      <c r="K111" s="2">
        <f>IFERROR(__xludf.DUMMYFUNCTION("""COMPUTED_VALUE"""),0.0)</f>
        <v>0</v>
      </c>
      <c r="L111" s="1"/>
      <c r="M111" s="3">
        <f>IFERROR(__xludf.DUMMYFUNCTION("""COMPUTED_VALUE"""),224.0)</f>
        <v>224</v>
      </c>
      <c r="N111" s="1"/>
      <c r="O111" s="2" t="str">
        <f>IFERROR(__xludf.DUMMYFUNCTION("""COMPUTED_VALUE"""),"")</f>
        <v/>
      </c>
      <c r="P111" s="2">
        <f>IFERROR(__xludf.DUMMYFUNCTION("""COMPUTED_VALUE"""),19.0)</f>
        <v>19</v>
      </c>
      <c r="Q111" s="1"/>
      <c r="R111" s="1"/>
      <c r="S111" s="1"/>
      <c r="T111" s="1">
        <f>IFERROR(__xludf.DUMMYFUNCTION("""COMPUTED_VALUE"""),185.0)</f>
        <v>185</v>
      </c>
    </row>
    <row r="112">
      <c r="A112" s="1"/>
      <c r="B112" s="1"/>
      <c r="C112" s="1" t="str">
        <f>IFERROR(__xludf.DUMMYFUNCTION("""COMPUTED_VALUE"""),"-")</f>
        <v>-</v>
      </c>
      <c r="D112" s="1" t="str">
        <f>IFERROR(__xludf.DUMMYFUNCTION("""COMPUTED_VALUE"""),"PRATS")</f>
        <v>PRATS</v>
      </c>
      <c r="E112" s="1" t="str">
        <f>IFERROR(__xludf.DUMMYFUNCTION("""COMPUTED_VALUE"""),"SUCO LARANJA")</f>
        <v>SUCO LARANJA</v>
      </c>
      <c r="F112" s="1" t="str">
        <f>IFERROR(__xludf.DUMMYFUNCTION("""COMPUTED_VALUE"""),"FD")</f>
        <v>FD</v>
      </c>
      <c r="G112" s="2">
        <f>IFERROR(__xludf.DUMMYFUNCTION("""COMPUTED_VALUE"""),12.0)</f>
        <v>12</v>
      </c>
      <c r="H112" s="2">
        <f>IFERROR(__xludf.DUMMYFUNCTION("""COMPUTED_VALUE"""),0.0)</f>
        <v>0</v>
      </c>
      <c r="I112" s="1"/>
      <c r="J112" s="2">
        <f>IFERROR(__xludf.DUMMYFUNCTION("""COMPUTED_VALUE"""),2.0)</f>
        <v>2</v>
      </c>
      <c r="K112" s="2">
        <f>IFERROR(__xludf.DUMMYFUNCTION("""COMPUTED_VALUE"""),0.0)</f>
        <v>0</v>
      </c>
      <c r="L112" s="1"/>
      <c r="M112" s="3">
        <f>IFERROR(__xludf.DUMMYFUNCTION("""COMPUTED_VALUE"""),6.6)</f>
        <v>6.6</v>
      </c>
      <c r="N112" s="1"/>
      <c r="O112" s="2" t="str">
        <f>IFERROR(__xludf.DUMMYFUNCTION("""COMPUTED_VALUE"""),"")</f>
        <v/>
      </c>
      <c r="P112" s="2">
        <f>IFERROR(__xludf.DUMMYFUNCTION("""COMPUTED_VALUE"""),2.0)</f>
        <v>2</v>
      </c>
      <c r="Q112" s="1"/>
      <c r="R112" s="2">
        <f>IFERROR(__xludf.DUMMYFUNCTION("""COMPUTED_VALUE"""),0.3)</f>
        <v>0.3</v>
      </c>
      <c r="S112" s="1"/>
      <c r="T112" s="1">
        <f>IFERROR(__xludf.DUMMYFUNCTION("""COMPUTED_VALUE"""),118.0)</f>
        <v>118</v>
      </c>
    </row>
    <row r="113">
      <c r="A113" s="1"/>
      <c r="B113" s="1"/>
      <c r="C113" s="1" t="str">
        <f>IFERROR(__xludf.DUMMYFUNCTION("""COMPUTED_VALUE"""),"-")</f>
        <v>-</v>
      </c>
      <c r="D113" s="1" t="str">
        <f>IFERROR(__xludf.DUMMYFUNCTION("""COMPUTED_VALUE"""),"PRATS")</f>
        <v>PRATS</v>
      </c>
      <c r="E113" s="1" t="str">
        <f>IFERROR(__xludf.DUMMYFUNCTION("""COMPUTED_VALUE"""),"SUCO UVA")</f>
        <v>SUCO UVA</v>
      </c>
      <c r="F113" s="1" t="str">
        <f>IFERROR(__xludf.DUMMYFUNCTION("""COMPUTED_VALUE"""),"FD")</f>
        <v>FD</v>
      </c>
      <c r="G113" s="2">
        <f>IFERROR(__xludf.DUMMYFUNCTION("""COMPUTED_VALUE"""),12.0)</f>
        <v>12</v>
      </c>
      <c r="H113" s="2">
        <f>IFERROR(__xludf.DUMMYFUNCTION("""COMPUTED_VALUE"""),0.0)</f>
        <v>0</v>
      </c>
      <c r="I113" s="1"/>
      <c r="J113" s="2">
        <f>IFERROR(__xludf.DUMMYFUNCTION("""COMPUTED_VALUE"""),0.0)</f>
        <v>0</v>
      </c>
      <c r="K113" s="2">
        <f>IFERROR(__xludf.DUMMYFUNCTION("""COMPUTED_VALUE"""),0.0)</f>
        <v>0</v>
      </c>
      <c r="L113" s="1"/>
      <c r="M113" s="3" t="str">
        <f>IFERROR(__xludf.DUMMYFUNCTION("""COMPUTED_VALUE"""),"")</f>
        <v/>
      </c>
      <c r="N113" s="1"/>
      <c r="O113" s="2" t="str">
        <f>IFERROR(__xludf.DUMMYFUNCTION("""COMPUTED_VALUE"""),"")</f>
        <v/>
      </c>
      <c r="P113" s="2">
        <f>IFERROR(__xludf.DUMMYFUNCTION("""COMPUTED_VALUE"""),0.0)</f>
        <v>0</v>
      </c>
      <c r="Q113" s="1"/>
      <c r="R113" s="1"/>
      <c r="S113" s="1"/>
      <c r="T113" s="1" t="str">
        <f>IFERROR(__xludf.DUMMYFUNCTION("""COMPUTED_VALUE"""),"Não Localizado")</f>
        <v>Não Localizado</v>
      </c>
    </row>
    <row r="114">
      <c r="A114" s="1"/>
      <c r="B114" s="1"/>
      <c r="C114" s="1" t="str">
        <f>IFERROR(__xludf.DUMMYFUNCTION("""COMPUTED_VALUE"""),"-")</f>
        <v>-</v>
      </c>
      <c r="D114" s="1" t="str">
        <f>IFERROR(__xludf.DUMMYFUNCTION("""COMPUTED_VALUE"""),"MULTIPLAS")</f>
        <v>MULTIPLAS</v>
      </c>
      <c r="E114" s="1" t="str">
        <f>IFERROR(__xludf.DUMMYFUNCTION("""COMPUTED_VALUE"""),"TOUCA")</f>
        <v>TOUCA</v>
      </c>
      <c r="F114" s="1" t="str">
        <f>IFERROR(__xludf.DUMMYFUNCTION("""COMPUTED_VALUE"""),"UN")</f>
        <v>UN</v>
      </c>
      <c r="G114" s="2">
        <f>IFERROR(__xludf.DUMMYFUNCTION("""COMPUTED_VALUE"""),1.0)</f>
        <v>1</v>
      </c>
      <c r="H114" s="2">
        <f>IFERROR(__xludf.DUMMYFUNCTION("""COMPUTED_VALUE"""),0.0)</f>
        <v>0</v>
      </c>
      <c r="I114" s="1"/>
      <c r="J114" s="2">
        <f>IFERROR(__xludf.DUMMYFUNCTION("""COMPUTED_VALUE"""),0.0)</f>
        <v>0</v>
      </c>
      <c r="K114" s="2">
        <f>IFERROR(__xludf.DUMMYFUNCTION("""COMPUTED_VALUE"""),0.0)</f>
        <v>0</v>
      </c>
      <c r="L114" s="1"/>
      <c r="M114" s="3" t="str">
        <f>IFERROR(__xludf.DUMMYFUNCTION("""COMPUTED_VALUE"""),"")</f>
        <v/>
      </c>
      <c r="N114" s="1"/>
      <c r="O114" s="2" t="str">
        <f>IFERROR(__xludf.DUMMYFUNCTION("""COMPUTED_VALUE"""),"")</f>
        <v/>
      </c>
      <c r="P114" s="2">
        <f>IFERROR(__xludf.DUMMYFUNCTION("""COMPUTED_VALUE"""),0.0)</f>
        <v>0</v>
      </c>
      <c r="Q114" s="1"/>
      <c r="R114" s="1"/>
      <c r="S114" s="1"/>
      <c r="T114" s="1" t="str">
        <f>IFERROR(__xludf.DUMMYFUNCTION("""COMPUTED_VALUE"""),"Não Localizado")</f>
        <v>Não Localizado</v>
      </c>
    </row>
    <row r="115">
      <c r="A115" s="1"/>
      <c r="B115" s="1"/>
      <c r="C115" s="1" t="str">
        <f>IFERROR(__xludf.DUMMYFUNCTION("""COMPUTED_VALUE"""),"-")</f>
        <v>-</v>
      </c>
      <c r="D115" s="1" t="str">
        <f>IFERROR(__xludf.DUMMYFUNCTION("""COMPUTED_VALUE"""),"MULTIPLAS")</f>
        <v>MULTIPLAS</v>
      </c>
      <c r="E115" s="1" t="str">
        <f>IFERROR(__xludf.DUMMYFUNCTION("""COMPUTED_VALUE"""),"GARFO DESCATÁVEL")</f>
        <v>GARFO DESCATÁVEL</v>
      </c>
      <c r="F115" s="1" t="str">
        <f>IFERROR(__xludf.DUMMYFUNCTION("""COMPUTED_VALUE"""),"CX")</f>
        <v>CX</v>
      </c>
      <c r="G115" s="2">
        <f>IFERROR(__xludf.DUMMYFUNCTION("""COMPUTED_VALUE"""),50.0)</f>
        <v>50</v>
      </c>
      <c r="H115" s="2">
        <f>IFERROR(__xludf.DUMMYFUNCTION("""COMPUTED_VALUE"""),0.0)</f>
        <v>0</v>
      </c>
      <c r="I115" s="1"/>
      <c r="J115" s="2">
        <f>IFERROR(__xludf.DUMMYFUNCTION("""COMPUTED_VALUE"""),0.0)</f>
        <v>0</v>
      </c>
      <c r="K115" s="2">
        <f>IFERROR(__xludf.DUMMYFUNCTION("""COMPUTED_VALUE"""),0.0)</f>
        <v>0</v>
      </c>
      <c r="L115" s="1"/>
      <c r="M115" s="3" t="str">
        <f>IFERROR(__xludf.DUMMYFUNCTION("""COMPUTED_VALUE"""),"")</f>
        <v/>
      </c>
      <c r="N115" s="1"/>
      <c r="O115" s="2" t="str">
        <f>IFERROR(__xludf.DUMMYFUNCTION("""COMPUTED_VALUE"""),"")</f>
        <v/>
      </c>
      <c r="P115" s="2">
        <f>IFERROR(__xludf.DUMMYFUNCTION("""COMPUTED_VALUE"""),0.0)</f>
        <v>0</v>
      </c>
      <c r="Q115" s="1"/>
      <c r="R115" s="1"/>
      <c r="S115" s="1"/>
      <c r="T115" s="1" t="str">
        <f>IFERROR(__xludf.DUMMYFUNCTION("""COMPUTED_VALUE"""),"Não Localizado")</f>
        <v>Não Localizado</v>
      </c>
    </row>
    <row r="116">
      <c r="A116" s="1"/>
      <c r="B116" s="1"/>
      <c r="C116" s="1" t="str">
        <f>IFERROR(__xludf.DUMMYFUNCTION("""COMPUTED_VALUE"""),"-")</f>
        <v>-</v>
      </c>
      <c r="D116" s="1" t="str">
        <f>IFERROR(__xludf.DUMMYFUNCTION("""COMPUTED_VALUE"""),"MULTIPLAS")</f>
        <v>MULTIPLAS</v>
      </c>
      <c r="E116" s="1" t="str">
        <f>IFERROR(__xludf.DUMMYFUNCTION("""COMPUTED_VALUE"""),"FACA DESCARTÁVEL")</f>
        <v>FACA DESCARTÁVEL</v>
      </c>
      <c r="F116" s="1" t="str">
        <f>IFERROR(__xludf.DUMMYFUNCTION("""COMPUTED_VALUE"""),"CX")</f>
        <v>CX</v>
      </c>
      <c r="G116" s="2">
        <f>IFERROR(__xludf.DUMMYFUNCTION("""COMPUTED_VALUE"""),50.0)</f>
        <v>50</v>
      </c>
      <c r="H116" s="2">
        <f>IFERROR(__xludf.DUMMYFUNCTION("""COMPUTED_VALUE"""),0.0)</f>
        <v>0</v>
      </c>
      <c r="I116" s="1"/>
      <c r="J116" s="2">
        <f>IFERROR(__xludf.DUMMYFUNCTION("""COMPUTED_VALUE"""),0.0)</f>
        <v>0</v>
      </c>
      <c r="K116" s="2">
        <f>IFERROR(__xludf.DUMMYFUNCTION("""COMPUTED_VALUE"""),0.0)</f>
        <v>0</v>
      </c>
      <c r="L116" s="1"/>
      <c r="M116" s="3" t="str">
        <f>IFERROR(__xludf.DUMMYFUNCTION("""COMPUTED_VALUE"""),"")</f>
        <v/>
      </c>
      <c r="N116" s="1"/>
      <c r="O116" s="2" t="str">
        <f>IFERROR(__xludf.DUMMYFUNCTION("""COMPUTED_VALUE"""),"")</f>
        <v/>
      </c>
      <c r="P116" s="2">
        <f>IFERROR(__xludf.DUMMYFUNCTION("""COMPUTED_VALUE"""),0.0)</f>
        <v>0</v>
      </c>
      <c r="Q116" s="1"/>
      <c r="R116" s="1"/>
      <c r="S116" s="1"/>
      <c r="T116" s="1" t="str">
        <f>IFERROR(__xludf.DUMMYFUNCTION("""COMPUTED_VALUE"""),"Não Localizado")</f>
        <v>Não Localizado</v>
      </c>
    </row>
    <row r="117">
      <c r="A117" s="1"/>
      <c r="B117" s="1"/>
      <c r="C117" s="1" t="str">
        <f>IFERROR(__xludf.DUMMYFUNCTION("""COMPUTED_VALUE"""),"-")</f>
        <v>-</v>
      </c>
      <c r="D117" s="1" t="str">
        <f>IFERROR(__xludf.DUMMYFUNCTION("""COMPUTED_VALUE"""),"MULTIPLAS")</f>
        <v>MULTIPLAS</v>
      </c>
      <c r="E117" s="1" t="str">
        <f>IFERROR(__xludf.DUMMYFUNCTION("""COMPUTED_VALUE"""),"COLHER DESCARTÁVEL")</f>
        <v>COLHER DESCARTÁVEL</v>
      </c>
      <c r="F117" s="1" t="str">
        <f>IFERROR(__xludf.DUMMYFUNCTION("""COMPUTED_VALUE"""),"CX")</f>
        <v>CX</v>
      </c>
      <c r="G117" s="2">
        <f>IFERROR(__xludf.DUMMYFUNCTION("""COMPUTED_VALUE"""),50.0)</f>
        <v>50</v>
      </c>
      <c r="H117" s="2">
        <f>IFERROR(__xludf.DUMMYFUNCTION("""COMPUTED_VALUE"""),0.0)</f>
        <v>0</v>
      </c>
      <c r="I117" s="1"/>
      <c r="J117" s="2">
        <f>IFERROR(__xludf.DUMMYFUNCTION("""COMPUTED_VALUE"""),0.0)</f>
        <v>0</v>
      </c>
      <c r="K117" s="2">
        <f>IFERROR(__xludf.DUMMYFUNCTION("""COMPUTED_VALUE"""),0.0)</f>
        <v>0</v>
      </c>
      <c r="L117" s="1"/>
      <c r="M117" s="3" t="str">
        <f>IFERROR(__xludf.DUMMYFUNCTION("""COMPUTED_VALUE"""),"")</f>
        <v/>
      </c>
      <c r="N117" s="1"/>
      <c r="O117" s="2" t="str">
        <f>IFERROR(__xludf.DUMMYFUNCTION("""COMPUTED_VALUE"""),"")</f>
        <v/>
      </c>
      <c r="P117" s="2">
        <f>IFERROR(__xludf.DUMMYFUNCTION("""COMPUTED_VALUE"""),0.0)</f>
        <v>0</v>
      </c>
      <c r="Q117" s="1"/>
      <c r="R117" s="1"/>
      <c r="S117" s="1"/>
      <c r="T117" s="1" t="str">
        <f>IFERROR(__xludf.DUMMYFUNCTION("""COMPUTED_VALUE"""),"Não Localizado")</f>
        <v>Não Localizado</v>
      </c>
    </row>
    <row r="118">
      <c r="A118" s="1"/>
      <c r="B118" s="1"/>
      <c r="C118" s="1" t="str">
        <f>IFERROR(__xludf.DUMMYFUNCTION("""COMPUTED_VALUE"""),"-")</f>
        <v>-</v>
      </c>
      <c r="D118" s="1" t="str">
        <f>IFERROR(__xludf.DUMMYFUNCTION("""COMPUTED_VALUE"""),"MULTIPLAS")</f>
        <v>MULTIPLAS</v>
      </c>
      <c r="E118" s="1" t="str">
        <f>IFERROR(__xludf.DUMMYFUNCTION("""COMPUTED_VALUE"""),"MEXEDOR DE CAFÉ")</f>
        <v>MEXEDOR DE CAFÉ</v>
      </c>
      <c r="F118" s="1" t="str">
        <f>IFERROR(__xludf.DUMMYFUNCTION("""COMPUTED_VALUE"""),"CX")</f>
        <v>CX</v>
      </c>
      <c r="G118" s="2">
        <f>IFERROR(__xludf.DUMMYFUNCTION("""COMPUTED_VALUE"""),500.0)</f>
        <v>500</v>
      </c>
      <c r="H118" s="2">
        <f>IFERROR(__xludf.DUMMYFUNCTION("""COMPUTED_VALUE"""),0.0)</f>
        <v>0</v>
      </c>
      <c r="I118" s="1"/>
      <c r="J118" s="2">
        <f>IFERROR(__xludf.DUMMYFUNCTION("""COMPUTED_VALUE"""),0.0)</f>
        <v>0</v>
      </c>
      <c r="K118" s="2">
        <f>IFERROR(__xludf.DUMMYFUNCTION("""COMPUTED_VALUE"""),0.0)</f>
        <v>0</v>
      </c>
      <c r="L118" s="1"/>
      <c r="M118" s="3" t="str">
        <f>IFERROR(__xludf.DUMMYFUNCTION("""COMPUTED_VALUE"""),"")</f>
        <v/>
      </c>
      <c r="N118" s="1"/>
      <c r="O118" s="2" t="str">
        <f>IFERROR(__xludf.DUMMYFUNCTION("""COMPUTED_VALUE"""),"")</f>
        <v/>
      </c>
      <c r="P118" s="2">
        <f>IFERROR(__xludf.DUMMYFUNCTION("""COMPUTED_VALUE"""),0.0)</f>
        <v>0</v>
      </c>
      <c r="Q118" s="1"/>
      <c r="R118" s="1"/>
      <c r="S118" s="1"/>
      <c r="T118" s="1" t="str">
        <f>IFERROR(__xludf.DUMMYFUNCTION("""COMPUTED_VALUE"""),"Não Localizado")</f>
        <v>Não Localizado</v>
      </c>
    </row>
    <row r="119">
      <c r="A119" s="1"/>
      <c r="B119" s="1"/>
      <c r="C119" s="1" t="str">
        <f>IFERROR(__xludf.DUMMYFUNCTION("""COMPUTED_VALUE"""),"-")</f>
        <v>-</v>
      </c>
      <c r="D119" s="1" t="str">
        <f>IFERROR(__xludf.DUMMYFUNCTION("""COMPUTED_VALUE"""),"MULTIPLAS")</f>
        <v>MULTIPLAS</v>
      </c>
      <c r="E119" s="1" t="str">
        <f>IFERROR(__xludf.DUMMYFUNCTION("""COMPUTED_VALUE"""),"CANUDO REFRI PAPEL")</f>
        <v>CANUDO REFRI PAPEL</v>
      </c>
      <c r="F119" s="1" t="str">
        <f>IFERROR(__xludf.DUMMYFUNCTION("""COMPUTED_VALUE"""),"CX")</f>
        <v>CX</v>
      </c>
      <c r="G119" s="2">
        <f>IFERROR(__xludf.DUMMYFUNCTION("""COMPUTED_VALUE"""),100.0)</f>
        <v>100</v>
      </c>
      <c r="H119" s="2">
        <f>IFERROR(__xludf.DUMMYFUNCTION("""COMPUTED_VALUE"""),0.0)</f>
        <v>0</v>
      </c>
      <c r="I119" s="1"/>
      <c r="J119" s="2">
        <f>IFERROR(__xludf.DUMMYFUNCTION("""COMPUTED_VALUE"""),0.0)</f>
        <v>0</v>
      </c>
      <c r="K119" s="2">
        <f>IFERROR(__xludf.DUMMYFUNCTION("""COMPUTED_VALUE"""),0.0)</f>
        <v>0</v>
      </c>
      <c r="L119" s="1"/>
      <c r="M119" s="3" t="str">
        <f>IFERROR(__xludf.DUMMYFUNCTION("""COMPUTED_VALUE"""),"")</f>
        <v/>
      </c>
      <c r="N119" s="1"/>
      <c r="O119" s="2" t="str">
        <f>IFERROR(__xludf.DUMMYFUNCTION("""COMPUTED_VALUE"""),"")</f>
        <v/>
      </c>
      <c r="P119" s="2">
        <f>IFERROR(__xludf.DUMMYFUNCTION("""COMPUTED_VALUE"""),0.0)</f>
        <v>0</v>
      </c>
      <c r="Q119" s="1"/>
      <c r="R119" s="1"/>
      <c r="S119" s="1"/>
      <c r="T119" s="1" t="str">
        <f>IFERROR(__xludf.DUMMYFUNCTION("""COMPUTED_VALUE"""),"Não Localizado")</f>
        <v>Não Localizado</v>
      </c>
    </row>
    <row r="120">
      <c r="A120" s="1"/>
      <c r="B120" s="1"/>
      <c r="C120" s="1" t="str">
        <f>IFERROR(__xludf.DUMMYFUNCTION("""COMPUTED_VALUE"""),"-")</f>
        <v>-</v>
      </c>
      <c r="D120" s="1" t="str">
        <f>IFERROR(__xludf.DUMMYFUNCTION("""COMPUTED_VALUE"""),"MULTIPLAS")</f>
        <v>MULTIPLAS</v>
      </c>
      <c r="E120" s="1" t="str">
        <f>IFERROR(__xludf.DUMMYFUNCTION("""COMPUTED_VALUE"""),"CANUDO MILKSHAKE PAPEL")</f>
        <v>CANUDO MILKSHAKE PAPEL</v>
      </c>
      <c r="F120" s="1" t="str">
        <f>IFERROR(__xludf.DUMMYFUNCTION("""COMPUTED_VALUE"""),"CX")</f>
        <v>CX</v>
      </c>
      <c r="G120" s="2">
        <f>IFERROR(__xludf.DUMMYFUNCTION("""COMPUTED_VALUE"""),100.0)</f>
        <v>100</v>
      </c>
      <c r="H120" s="2">
        <f>IFERROR(__xludf.DUMMYFUNCTION("""COMPUTED_VALUE"""),0.0)</f>
        <v>0</v>
      </c>
      <c r="I120" s="1"/>
      <c r="J120" s="2">
        <f>IFERROR(__xludf.DUMMYFUNCTION("""COMPUTED_VALUE"""),0.0)</f>
        <v>0</v>
      </c>
      <c r="K120" s="2">
        <f>IFERROR(__xludf.DUMMYFUNCTION("""COMPUTED_VALUE"""),0.0)</f>
        <v>0</v>
      </c>
      <c r="L120" s="1"/>
      <c r="M120" s="3" t="str">
        <f>IFERROR(__xludf.DUMMYFUNCTION("""COMPUTED_VALUE"""),"")</f>
        <v/>
      </c>
      <c r="N120" s="1"/>
      <c r="O120" s="2" t="str">
        <f>IFERROR(__xludf.DUMMYFUNCTION("""COMPUTED_VALUE"""),"")</f>
        <v/>
      </c>
      <c r="P120" s="2">
        <f>IFERROR(__xludf.DUMMYFUNCTION("""COMPUTED_VALUE"""),0.0)</f>
        <v>0</v>
      </c>
      <c r="Q120" s="1"/>
      <c r="R120" s="1"/>
      <c r="S120" s="1"/>
      <c r="T120" s="1" t="str">
        <f>IFERROR(__xludf.DUMMYFUNCTION("""COMPUTED_VALUE"""),"Não Localizado")</f>
        <v>Não Localizado</v>
      </c>
    </row>
    <row r="121">
      <c r="A121" s="1"/>
      <c r="B121" s="1"/>
      <c r="C121" s="1" t="str">
        <f>IFERROR(__xludf.DUMMYFUNCTION("""COMPUTED_VALUE"""),"-")</f>
        <v>-</v>
      </c>
      <c r="D121" s="1" t="str">
        <f>IFERROR(__xludf.DUMMYFUNCTION("""COMPUTED_VALUE"""),"MULTIPLAS")</f>
        <v>MULTIPLAS</v>
      </c>
      <c r="E121" s="1" t="str">
        <f>IFERROR(__xludf.DUMMYFUNCTION("""COMPUTED_VALUE"""),"EMBALAGEM VIAGEM TH-S")</f>
        <v>EMBALAGEM VIAGEM TH-S</v>
      </c>
      <c r="F121" s="1" t="str">
        <f>IFERROR(__xludf.DUMMYFUNCTION("""COMPUTED_VALUE"""),"CX")</f>
        <v>CX</v>
      </c>
      <c r="G121" s="2">
        <f>IFERROR(__xludf.DUMMYFUNCTION("""COMPUTED_VALUE"""),100.0)</f>
        <v>100</v>
      </c>
      <c r="H121" s="2">
        <f>IFERROR(__xludf.DUMMYFUNCTION("""COMPUTED_VALUE"""),0.0)</f>
        <v>0</v>
      </c>
      <c r="I121" s="1"/>
      <c r="J121" s="2">
        <f>IFERROR(__xludf.DUMMYFUNCTION("""COMPUTED_VALUE"""),0.0)</f>
        <v>0</v>
      </c>
      <c r="K121" s="2">
        <f>IFERROR(__xludf.DUMMYFUNCTION("""COMPUTED_VALUE"""),0.0)</f>
        <v>0</v>
      </c>
      <c r="L121" s="1"/>
      <c r="M121" s="3" t="str">
        <f>IFERROR(__xludf.DUMMYFUNCTION("""COMPUTED_VALUE"""),"")</f>
        <v/>
      </c>
      <c r="N121" s="1"/>
      <c r="O121" s="2" t="str">
        <f>IFERROR(__xludf.DUMMYFUNCTION("""COMPUTED_VALUE"""),"")</f>
        <v/>
      </c>
      <c r="P121" s="2">
        <f>IFERROR(__xludf.DUMMYFUNCTION("""COMPUTED_VALUE"""),0.0)</f>
        <v>0</v>
      </c>
      <c r="Q121" s="1"/>
      <c r="R121" s="1"/>
      <c r="S121" s="1"/>
      <c r="T121" s="1" t="str">
        <f>IFERROR(__xludf.DUMMYFUNCTION("""COMPUTED_VALUE"""),"Não Localizado")</f>
        <v>Não Localizado</v>
      </c>
    </row>
    <row r="122">
      <c r="A122" s="1"/>
      <c r="B122" s="1"/>
      <c r="C122" s="1" t="str">
        <f>IFERROR(__xludf.DUMMYFUNCTION("""COMPUTED_VALUE"""),"-")</f>
        <v>-</v>
      </c>
      <c r="D122" s="1" t="str">
        <f>IFERROR(__xludf.DUMMYFUNCTION("""COMPUTED_VALUE"""),"MULTIPLAS")</f>
        <v>MULTIPLAS</v>
      </c>
      <c r="E122" s="1" t="str">
        <f>IFERROR(__xludf.DUMMYFUNCTION("""COMPUTED_VALUE"""),"ESPETO SANDUICHE")</f>
        <v>ESPETO SANDUICHE</v>
      </c>
      <c r="F122" s="1" t="str">
        <f>IFERROR(__xludf.DUMMYFUNCTION("""COMPUTED_VALUE"""),"CX")</f>
        <v>CX</v>
      </c>
      <c r="G122" s="2">
        <f>IFERROR(__xludf.DUMMYFUNCTION("""COMPUTED_VALUE"""),200.0)</f>
        <v>200</v>
      </c>
      <c r="H122" s="2">
        <f>IFERROR(__xludf.DUMMYFUNCTION("""COMPUTED_VALUE"""),0.0)</f>
        <v>0</v>
      </c>
      <c r="I122" s="1"/>
      <c r="J122" s="2">
        <f>IFERROR(__xludf.DUMMYFUNCTION("""COMPUTED_VALUE"""),0.0)</f>
        <v>0</v>
      </c>
      <c r="K122" s="2">
        <f>IFERROR(__xludf.DUMMYFUNCTION("""COMPUTED_VALUE"""),0.0)</f>
        <v>0</v>
      </c>
      <c r="L122" s="1"/>
      <c r="M122" s="3" t="str">
        <f>IFERROR(__xludf.DUMMYFUNCTION("""COMPUTED_VALUE"""),"")</f>
        <v/>
      </c>
      <c r="N122" s="1"/>
      <c r="O122" s="2" t="str">
        <f>IFERROR(__xludf.DUMMYFUNCTION("""COMPUTED_VALUE"""),"")</f>
        <v/>
      </c>
      <c r="P122" s="2">
        <f>IFERROR(__xludf.DUMMYFUNCTION("""COMPUTED_VALUE"""),0.0)</f>
        <v>0</v>
      </c>
      <c r="Q122" s="1"/>
      <c r="R122" s="1"/>
      <c r="S122" s="1"/>
      <c r="T122" s="1" t="str">
        <f>IFERROR(__xludf.DUMMYFUNCTION("""COMPUTED_VALUE"""),"Não Localizado")</f>
        <v>Não Localizado</v>
      </c>
    </row>
    <row r="123">
      <c r="A123" s="1"/>
      <c r="B123" s="1"/>
      <c r="C123" s="1" t="str">
        <f>IFERROR(__xludf.DUMMYFUNCTION("""COMPUTED_VALUE"""),"-")</f>
        <v>-</v>
      </c>
      <c r="D123" s="1" t="str">
        <f>IFERROR(__xludf.DUMMYFUNCTION("""COMPUTED_VALUE"""),"MULTIPLAS")</f>
        <v>MULTIPLAS</v>
      </c>
      <c r="E123" s="1" t="str">
        <f>IFERROR(__xludf.DUMMYFUNCTION("""COMPUTED_VALUE"""),"BOBINA PVC FILME")</f>
        <v>BOBINA PVC FILME</v>
      </c>
      <c r="F123" s="1" t="str">
        <f>IFERROR(__xludf.DUMMYFUNCTION("""COMPUTED_VALUE"""),"RL")</f>
        <v>RL</v>
      </c>
      <c r="G123" s="2">
        <f>IFERROR(__xludf.DUMMYFUNCTION("""COMPUTED_VALUE"""),1.0)</f>
        <v>1</v>
      </c>
      <c r="H123" s="2">
        <f>IFERROR(__xludf.DUMMYFUNCTION("""COMPUTED_VALUE"""),0.0)</f>
        <v>0</v>
      </c>
      <c r="I123" s="1"/>
      <c r="J123" s="2">
        <f>IFERROR(__xludf.DUMMYFUNCTION("""COMPUTED_VALUE"""),0.0)</f>
        <v>0</v>
      </c>
      <c r="K123" s="2">
        <f>IFERROR(__xludf.DUMMYFUNCTION("""COMPUTED_VALUE"""),0.0)</f>
        <v>0</v>
      </c>
      <c r="L123" s="1"/>
      <c r="M123" s="3" t="str">
        <f>IFERROR(__xludf.DUMMYFUNCTION("""COMPUTED_VALUE"""),"")</f>
        <v/>
      </c>
      <c r="N123" s="1"/>
      <c r="O123" s="2" t="str">
        <f>IFERROR(__xludf.DUMMYFUNCTION("""COMPUTED_VALUE"""),"")</f>
        <v/>
      </c>
      <c r="P123" s="2">
        <f>IFERROR(__xludf.DUMMYFUNCTION("""COMPUTED_VALUE"""),0.0)</f>
        <v>0</v>
      </c>
      <c r="Q123" s="1"/>
      <c r="R123" s="1"/>
      <c r="S123" s="1"/>
      <c r="T123" s="1" t="str">
        <f>IFERROR(__xludf.DUMMYFUNCTION("""COMPUTED_VALUE"""),"Não Localizado")</f>
        <v>Não Localizado</v>
      </c>
    </row>
    <row r="124">
      <c r="A124" s="1"/>
      <c r="B124" s="1"/>
      <c r="C124" s="1" t="str">
        <f>IFERROR(__xludf.DUMMYFUNCTION("""COMPUTED_VALUE"""),"-")</f>
        <v>-</v>
      </c>
      <c r="D124" s="1" t="str">
        <f>IFERROR(__xludf.DUMMYFUNCTION("""COMPUTED_VALUE"""),"MULTIPLAS")</f>
        <v>MULTIPLAS</v>
      </c>
      <c r="E124" s="1" t="str">
        <f>IFERROR(__xludf.DUMMYFUNCTION("""COMPUTED_VALUE"""),"LUVA DESCARTÁVL")</f>
        <v>LUVA DESCARTÁVL</v>
      </c>
      <c r="F124" s="1" t="str">
        <f>IFERROR(__xludf.DUMMYFUNCTION("""COMPUTED_VALUE"""),"PCT")</f>
        <v>PCT</v>
      </c>
      <c r="G124" s="2">
        <f>IFERROR(__xludf.DUMMYFUNCTION("""COMPUTED_VALUE"""),100.0)</f>
        <v>100</v>
      </c>
      <c r="H124" s="2">
        <f>IFERROR(__xludf.DUMMYFUNCTION("""COMPUTED_VALUE"""),0.0)</f>
        <v>0</v>
      </c>
      <c r="I124" s="1"/>
      <c r="J124" s="2">
        <f>IFERROR(__xludf.DUMMYFUNCTION("""COMPUTED_VALUE"""),0.0)</f>
        <v>0</v>
      </c>
      <c r="K124" s="2">
        <f>IFERROR(__xludf.DUMMYFUNCTION("""COMPUTED_VALUE"""),0.0)</f>
        <v>0</v>
      </c>
      <c r="L124" s="1"/>
      <c r="M124" s="3" t="str">
        <f>IFERROR(__xludf.DUMMYFUNCTION("""COMPUTED_VALUE"""),"")</f>
        <v/>
      </c>
      <c r="N124" s="1"/>
      <c r="O124" s="2" t="str">
        <f>IFERROR(__xludf.DUMMYFUNCTION("""COMPUTED_VALUE"""),"")</f>
        <v/>
      </c>
      <c r="P124" s="2">
        <f>IFERROR(__xludf.DUMMYFUNCTION("""COMPUTED_VALUE"""),0.0)</f>
        <v>0</v>
      </c>
      <c r="Q124" s="1"/>
      <c r="R124" s="1"/>
      <c r="S124" s="1"/>
      <c r="T124" s="1" t="str">
        <f>IFERROR(__xludf.DUMMYFUNCTION("""COMPUTED_VALUE"""),"Não Localizado")</f>
        <v>Não Localizado</v>
      </c>
    </row>
    <row r="125">
      <c r="A125" s="1"/>
      <c r="B125" s="1"/>
      <c r="C125" s="1" t="str">
        <f>IFERROR(__xludf.DUMMYFUNCTION("""COMPUTED_VALUE"""),"-")</f>
        <v>-</v>
      </c>
      <c r="D125" s="1" t="str">
        <f>IFERROR(__xludf.DUMMYFUNCTION("""COMPUTED_VALUE"""),"MULTIPLAS")</f>
        <v>MULTIPLAS</v>
      </c>
      <c r="E125" s="1" t="str">
        <f>IFERROR(__xludf.DUMMYFUNCTION("""COMPUTED_VALUE"""),"COPO 300 ML PLASTICO")</f>
        <v>COPO 300 ML PLASTICO</v>
      </c>
      <c r="F125" s="1" t="str">
        <f>IFERROR(__xludf.DUMMYFUNCTION("""COMPUTED_VALUE"""),"PCT")</f>
        <v>PCT</v>
      </c>
      <c r="G125" s="2">
        <f>IFERROR(__xludf.DUMMYFUNCTION("""COMPUTED_VALUE"""),100.0)</f>
        <v>100</v>
      </c>
      <c r="H125" s="2">
        <f>IFERROR(__xludf.DUMMYFUNCTION("""COMPUTED_VALUE"""),0.0)</f>
        <v>0</v>
      </c>
      <c r="I125" s="1"/>
      <c r="J125" s="2">
        <f>IFERROR(__xludf.DUMMYFUNCTION("""COMPUTED_VALUE"""),0.0)</f>
        <v>0</v>
      </c>
      <c r="K125" s="2">
        <f>IFERROR(__xludf.DUMMYFUNCTION("""COMPUTED_VALUE"""),0.0)</f>
        <v>0</v>
      </c>
      <c r="L125" s="1"/>
      <c r="M125" s="3" t="str">
        <f>IFERROR(__xludf.DUMMYFUNCTION("""COMPUTED_VALUE"""),"")</f>
        <v/>
      </c>
      <c r="N125" s="1"/>
      <c r="O125" s="2" t="str">
        <f>IFERROR(__xludf.DUMMYFUNCTION("""COMPUTED_VALUE"""),"")</f>
        <v/>
      </c>
      <c r="P125" s="2">
        <f>IFERROR(__xludf.DUMMYFUNCTION("""COMPUTED_VALUE"""),0.0)</f>
        <v>0</v>
      </c>
      <c r="Q125" s="1"/>
      <c r="R125" s="1"/>
      <c r="S125" s="1"/>
      <c r="T125" s="1" t="str">
        <f>IFERROR(__xludf.DUMMYFUNCTION("""COMPUTED_VALUE"""),"Não Localizado")</f>
        <v>Não Localizado</v>
      </c>
    </row>
    <row r="126">
      <c r="A126" s="1"/>
      <c r="B126" s="1"/>
      <c r="C126" s="1" t="str">
        <f>IFERROR(__xludf.DUMMYFUNCTION("""COMPUTED_VALUE"""),"-")</f>
        <v>-</v>
      </c>
      <c r="D126" s="1" t="str">
        <f>IFERROR(__xludf.DUMMYFUNCTION("""COMPUTED_VALUE"""),"MULTIPLAS")</f>
        <v>MULTIPLAS</v>
      </c>
      <c r="E126" s="1" t="str">
        <f>IFERROR(__xludf.DUMMYFUNCTION("""COMPUTED_VALUE"""),"BOBINA DESCARTÁVEL M")</f>
        <v>BOBINA DESCARTÁVEL M</v>
      </c>
      <c r="F126" s="1" t="str">
        <f>IFERROR(__xludf.DUMMYFUNCTION("""COMPUTED_VALUE"""),"RL")</f>
        <v>RL</v>
      </c>
      <c r="G126" s="2">
        <f>IFERROR(__xludf.DUMMYFUNCTION("""COMPUTED_VALUE"""),1.0)</f>
        <v>1</v>
      </c>
      <c r="H126" s="2">
        <f>IFERROR(__xludf.DUMMYFUNCTION("""COMPUTED_VALUE"""),0.0)</f>
        <v>0</v>
      </c>
      <c r="I126" s="1"/>
      <c r="J126" s="2">
        <f>IFERROR(__xludf.DUMMYFUNCTION("""COMPUTED_VALUE"""),0.0)</f>
        <v>0</v>
      </c>
      <c r="K126" s="2">
        <f>IFERROR(__xludf.DUMMYFUNCTION("""COMPUTED_VALUE"""),0.0)</f>
        <v>0</v>
      </c>
      <c r="L126" s="1"/>
      <c r="M126" s="3" t="str">
        <f>IFERROR(__xludf.DUMMYFUNCTION("""COMPUTED_VALUE"""),"")</f>
        <v/>
      </c>
      <c r="N126" s="1"/>
      <c r="O126" s="2" t="str">
        <f>IFERROR(__xludf.DUMMYFUNCTION("""COMPUTED_VALUE"""),"")</f>
        <v/>
      </c>
      <c r="P126" s="2">
        <f>IFERROR(__xludf.DUMMYFUNCTION("""COMPUTED_VALUE"""),0.0)</f>
        <v>0</v>
      </c>
      <c r="Q126" s="1"/>
      <c r="R126" s="1"/>
      <c r="S126" s="1"/>
      <c r="T126" s="1" t="str">
        <f>IFERROR(__xludf.DUMMYFUNCTION("""COMPUTED_VALUE"""),"Não Localizado")</f>
        <v>Não Localizado</v>
      </c>
    </row>
    <row r="127">
      <c r="A127" s="1"/>
      <c r="B127" s="1"/>
      <c r="C127" s="1" t="str">
        <f>IFERROR(__xludf.DUMMYFUNCTION("""COMPUTED_VALUE"""),"-")</f>
        <v>-</v>
      </c>
      <c r="D127" s="1" t="str">
        <f>IFERROR(__xludf.DUMMYFUNCTION("""COMPUTED_VALUE"""),"MULTIPLAS")</f>
        <v>MULTIPLAS</v>
      </c>
      <c r="E127" s="1" t="str">
        <f>IFERROR(__xludf.DUMMYFUNCTION("""COMPUTED_VALUE"""),"BOBINA DESCARTÁVEL G")</f>
        <v>BOBINA DESCARTÁVEL G</v>
      </c>
      <c r="F127" s="1" t="str">
        <f>IFERROR(__xludf.DUMMYFUNCTION("""COMPUTED_VALUE"""),"RL")</f>
        <v>RL</v>
      </c>
      <c r="G127" s="2">
        <f>IFERROR(__xludf.DUMMYFUNCTION("""COMPUTED_VALUE"""),1.0)</f>
        <v>1</v>
      </c>
      <c r="H127" s="2">
        <f>IFERROR(__xludf.DUMMYFUNCTION("""COMPUTED_VALUE"""),0.0)</f>
        <v>0</v>
      </c>
      <c r="I127" s="1"/>
      <c r="J127" s="2">
        <f>IFERROR(__xludf.DUMMYFUNCTION("""COMPUTED_VALUE"""),0.0)</f>
        <v>0</v>
      </c>
      <c r="K127" s="2">
        <f>IFERROR(__xludf.DUMMYFUNCTION("""COMPUTED_VALUE"""),0.0)</f>
        <v>0</v>
      </c>
      <c r="L127" s="1"/>
      <c r="M127" s="3" t="str">
        <f>IFERROR(__xludf.DUMMYFUNCTION("""COMPUTED_VALUE"""),"")</f>
        <v/>
      </c>
      <c r="N127" s="1"/>
      <c r="O127" s="2" t="str">
        <f>IFERROR(__xludf.DUMMYFUNCTION("""COMPUTED_VALUE"""),"")</f>
        <v/>
      </c>
      <c r="P127" s="2">
        <f>IFERROR(__xludf.DUMMYFUNCTION("""COMPUTED_VALUE"""),0.0)</f>
        <v>0</v>
      </c>
      <c r="Q127" s="1"/>
      <c r="R127" s="1"/>
      <c r="S127" s="1"/>
      <c r="T127" s="1" t="str">
        <f>IFERROR(__xludf.DUMMYFUNCTION("""COMPUTED_VALUE"""),"Não Localizado")</f>
        <v>Não Localizado</v>
      </c>
    </row>
    <row r="128">
      <c r="A128" s="1"/>
      <c r="B128" s="1"/>
      <c r="C128" s="1" t="str">
        <f>IFERROR(__xludf.DUMMYFUNCTION("""COMPUTED_VALUE"""),"-")</f>
        <v>-</v>
      </c>
      <c r="D128" s="1" t="str">
        <f>IFERROR(__xludf.DUMMYFUNCTION("""COMPUTED_VALUE"""),"MULTIPLAS")</f>
        <v>MULTIPLAS</v>
      </c>
      <c r="E128" s="1" t="str">
        <f>IFERROR(__xludf.DUMMYFUNCTION("""COMPUTED_VALUE"""),"SACO DE LIXO REFORÇADO 100L")</f>
        <v>SACO DE LIXO REFORÇADO 100L</v>
      </c>
      <c r="F128" s="1" t="str">
        <f>IFERROR(__xludf.DUMMYFUNCTION("""COMPUTED_VALUE"""),"PCT")</f>
        <v>PCT</v>
      </c>
      <c r="G128" s="2">
        <f>IFERROR(__xludf.DUMMYFUNCTION("""COMPUTED_VALUE"""),100.0)</f>
        <v>100</v>
      </c>
      <c r="H128" s="2">
        <f>IFERROR(__xludf.DUMMYFUNCTION("""COMPUTED_VALUE"""),0.0)</f>
        <v>0</v>
      </c>
      <c r="I128" s="1"/>
      <c r="J128" s="2">
        <f>IFERROR(__xludf.DUMMYFUNCTION("""COMPUTED_VALUE"""),0.0)</f>
        <v>0</v>
      </c>
      <c r="K128" s="2">
        <f>IFERROR(__xludf.DUMMYFUNCTION("""COMPUTED_VALUE"""),0.0)</f>
        <v>0</v>
      </c>
      <c r="L128" s="1"/>
      <c r="M128" s="3" t="str">
        <f>IFERROR(__xludf.DUMMYFUNCTION("""COMPUTED_VALUE"""),"")</f>
        <v/>
      </c>
      <c r="N128" s="1"/>
      <c r="O128" s="2" t="str">
        <f>IFERROR(__xludf.DUMMYFUNCTION("""COMPUTED_VALUE"""),"")</f>
        <v/>
      </c>
      <c r="P128" s="2">
        <f>IFERROR(__xludf.DUMMYFUNCTION("""COMPUTED_VALUE"""),0.0)</f>
        <v>0</v>
      </c>
      <c r="Q128" s="1"/>
      <c r="R128" s="1"/>
      <c r="S128" s="1"/>
      <c r="T128" s="1" t="str">
        <f>IFERROR(__xludf.DUMMYFUNCTION("""COMPUTED_VALUE"""),"Não Localizado")</f>
        <v>Não Localizado</v>
      </c>
    </row>
    <row r="129">
      <c r="A129" s="1"/>
      <c r="B129" s="1"/>
      <c r="C129" s="1" t="str">
        <f>IFERROR(__xludf.DUMMYFUNCTION("""COMPUTED_VALUE"""),"-")</f>
        <v>-</v>
      </c>
      <c r="D129" s="1" t="str">
        <f>IFERROR(__xludf.DUMMYFUNCTION("""COMPUTED_VALUE"""),"MULTIPLAS")</f>
        <v>MULTIPLAS</v>
      </c>
      <c r="E129" s="1" t="str">
        <f>IFERROR(__xludf.DUMMYFUNCTION("""COMPUTED_VALUE"""),"PERFLEX VERDE")</f>
        <v>PERFLEX VERDE</v>
      </c>
      <c r="F129" s="1" t="str">
        <f>IFERROR(__xludf.DUMMYFUNCTION("""COMPUTED_VALUE"""),"RL")</f>
        <v>RL</v>
      </c>
      <c r="G129" s="2">
        <f>IFERROR(__xludf.DUMMYFUNCTION("""COMPUTED_VALUE"""),1.0)</f>
        <v>1</v>
      </c>
      <c r="H129" s="2">
        <f>IFERROR(__xludf.DUMMYFUNCTION("""COMPUTED_VALUE"""),0.0)</f>
        <v>0</v>
      </c>
      <c r="I129" s="1"/>
      <c r="J129" s="2">
        <f>IFERROR(__xludf.DUMMYFUNCTION("""COMPUTED_VALUE"""),0.0)</f>
        <v>0</v>
      </c>
      <c r="K129" s="2">
        <f>IFERROR(__xludf.DUMMYFUNCTION("""COMPUTED_VALUE"""),0.0)</f>
        <v>0</v>
      </c>
      <c r="L129" s="1"/>
      <c r="M129" s="3" t="str">
        <f>IFERROR(__xludf.DUMMYFUNCTION("""COMPUTED_VALUE"""),"")</f>
        <v/>
      </c>
      <c r="N129" s="1"/>
      <c r="O129" s="2" t="str">
        <f>IFERROR(__xludf.DUMMYFUNCTION("""COMPUTED_VALUE"""),"")</f>
        <v/>
      </c>
      <c r="P129" s="2">
        <f>IFERROR(__xludf.DUMMYFUNCTION("""COMPUTED_VALUE"""),0.0)</f>
        <v>0</v>
      </c>
      <c r="Q129" s="1"/>
      <c r="R129" s="1"/>
      <c r="S129" s="1"/>
      <c r="T129" s="1" t="str">
        <f>IFERROR(__xludf.DUMMYFUNCTION("""COMPUTED_VALUE"""),"Não Localizado")</f>
        <v>Não Localizado</v>
      </c>
    </row>
    <row r="130">
      <c r="A130" s="1"/>
      <c r="B130" s="1"/>
      <c r="C130" s="1" t="str">
        <f>IFERROR(__xludf.DUMMYFUNCTION("""COMPUTED_VALUE"""),"-")</f>
        <v>-</v>
      </c>
      <c r="D130" s="1" t="str">
        <f>IFERROR(__xludf.DUMMYFUNCTION("""COMPUTED_VALUE"""),"MULTIPLAS")</f>
        <v>MULTIPLAS</v>
      </c>
      <c r="E130" s="1" t="str">
        <f>IFERROR(__xludf.DUMMYFUNCTION("""COMPUTED_VALUE"""),"PERFLEX AZUL")</f>
        <v>PERFLEX AZUL</v>
      </c>
      <c r="F130" s="1" t="str">
        <f>IFERROR(__xludf.DUMMYFUNCTION("""COMPUTED_VALUE"""),"RL")</f>
        <v>RL</v>
      </c>
      <c r="G130" s="2">
        <f>IFERROR(__xludf.DUMMYFUNCTION("""COMPUTED_VALUE"""),1.0)</f>
        <v>1</v>
      </c>
      <c r="H130" s="2">
        <f>IFERROR(__xludf.DUMMYFUNCTION("""COMPUTED_VALUE"""),0.0)</f>
        <v>0</v>
      </c>
      <c r="I130" s="1"/>
      <c r="J130" s="2">
        <f>IFERROR(__xludf.DUMMYFUNCTION("""COMPUTED_VALUE"""),0.0)</f>
        <v>0</v>
      </c>
      <c r="K130" s="2">
        <f>IFERROR(__xludf.DUMMYFUNCTION("""COMPUTED_VALUE"""),0.0)</f>
        <v>0</v>
      </c>
      <c r="L130" s="1"/>
      <c r="M130" s="3" t="str">
        <f>IFERROR(__xludf.DUMMYFUNCTION("""COMPUTED_VALUE"""),"")</f>
        <v/>
      </c>
      <c r="N130" s="1"/>
      <c r="O130" s="2" t="str">
        <f>IFERROR(__xludf.DUMMYFUNCTION("""COMPUTED_VALUE"""),"")</f>
        <v/>
      </c>
      <c r="P130" s="2">
        <f>IFERROR(__xludf.DUMMYFUNCTION("""COMPUTED_VALUE"""),0.0)</f>
        <v>0</v>
      </c>
      <c r="Q130" s="1"/>
      <c r="R130" s="1"/>
      <c r="S130" s="1"/>
      <c r="T130" s="1" t="str">
        <f>IFERROR(__xludf.DUMMYFUNCTION("""COMPUTED_VALUE"""),"Não Localizado")</f>
        <v>Não Localizado</v>
      </c>
    </row>
    <row r="131">
      <c r="A131" s="1"/>
      <c r="B131" s="1"/>
      <c r="C131" s="1" t="str">
        <f>IFERROR(__xludf.DUMMYFUNCTION("""COMPUTED_VALUE"""),"-")</f>
        <v>-</v>
      </c>
      <c r="D131" s="1" t="str">
        <f>IFERROR(__xludf.DUMMYFUNCTION("""COMPUTED_VALUE"""),"MULTIPLAS")</f>
        <v>MULTIPLAS</v>
      </c>
      <c r="E131" s="1" t="str">
        <f>IFERROR(__xludf.DUMMYFUNCTION("""COMPUTED_VALUE"""),"PERFLEX LARANJA")</f>
        <v>PERFLEX LARANJA</v>
      </c>
      <c r="F131" s="1" t="str">
        <f>IFERROR(__xludf.DUMMYFUNCTION("""COMPUTED_VALUE"""),"RL")</f>
        <v>RL</v>
      </c>
      <c r="G131" s="2">
        <f>IFERROR(__xludf.DUMMYFUNCTION("""COMPUTED_VALUE"""),1.0)</f>
        <v>1</v>
      </c>
      <c r="H131" s="2">
        <f>IFERROR(__xludf.DUMMYFUNCTION("""COMPUTED_VALUE"""),0.0)</f>
        <v>0</v>
      </c>
      <c r="I131" s="1"/>
      <c r="J131" s="2">
        <f>IFERROR(__xludf.DUMMYFUNCTION("""COMPUTED_VALUE"""),0.0)</f>
        <v>0</v>
      </c>
      <c r="K131" s="2">
        <f>IFERROR(__xludf.DUMMYFUNCTION("""COMPUTED_VALUE"""),0.0)</f>
        <v>0</v>
      </c>
      <c r="L131" s="1"/>
      <c r="M131" s="3" t="str">
        <f>IFERROR(__xludf.DUMMYFUNCTION("""COMPUTED_VALUE"""),"")</f>
        <v/>
      </c>
      <c r="N131" s="1"/>
      <c r="O131" s="2" t="str">
        <f>IFERROR(__xludf.DUMMYFUNCTION("""COMPUTED_VALUE"""),"")</f>
        <v/>
      </c>
      <c r="P131" s="2">
        <f>IFERROR(__xludf.DUMMYFUNCTION("""COMPUTED_VALUE"""),0.0)</f>
        <v>0</v>
      </c>
      <c r="Q131" s="1"/>
      <c r="R131" s="1"/>
      <c r="S131" s="1"/>
      <c r="T131" s="1" t="str">
        <f>IFERROR(__xludf.DUMMYFUNCTION("""COMPUTED_VALUE"""),"Não Localizado")</f>
        <v>Não Localizado</v>
      </c>
    </row>
    <row r="132">
      <c r="A132" s="1"/>
      <c r="B132" s="1"/>
      <c r="C132" s="1" t="str">
        <f>IFERROR(__xludf.DUMMYFUNCTION("""COMPUTED_VALUE"""),"-")</f>
        <v>-</v>
      </c>
      <c r="D132" s="1" t="str">
        <f>IFERROR(__xludf.DUMMYFUNCTION("""COMPUTED_VALUE"""),"MULTIPLAS")</f>
        <v>MULTIPLAS</v>
      </c>
      <c r="E132" s="1" t="str">
        <f>IFERROR(__xludf.DUMMYFUNCTION("""COMPUTED_VALUE"""),"PERFLEX BRANCO")</f>
        <v>PERFLEX BRANCO</v>
      </c>
      <c r="F132" s="1" t="str">
        <f>IFERROR(__xludf.DUMMYFUNCTION("""COMPUTED_VALUE"""),"RL")</f>
        <v>RL</v>
      </c>
      <c r="G132" s="2">
        <f>IFERROR(__xludf.DUMMYFUNCTION("""COMPUTED_VALUE"""),1.0)</f>
        <v>1</v>
      </c>
      <c r="H132" s="2">
        <f>IFERROR(__xludf.DUMMYFUNCTION("""COMPUTED_VALUE"""),0.0)</f>
        <v>0</v>
      </c>
      <c r="I132" s="1"/>
      <c r="J132" s="2">
        <f>IFERROR(__xludf.DUMMYFUNCTION("""COMPUTED_VALUE"""),0.0)</f>
        <v>0</v>
      </c>
      <c r="K132" s="2">
        <f>IFERROR(__xludf.DUMMYFUNCTION("""COMPUTED_VALUE"""),0.0)</f>
        <v>0</v>
      </c>
      <c r="L132" s="1"/>
      <c r="M132" s="3" t="str">
        <f>IFERROR(__xludf.DUMMYFUNCTION("""COMPUTED_VALUE"""),"")</f>
        <v/>
      </c>
      <c r="N132" s="1"/>
      <c r="O132" s="2" t="str">
        <f>IFERROR(__xludf.DUMMYFUNCTION("""COMPUTED_VALUE"""),"")</f>
        <v/>
      </c>
      <c r="P132" s="2">
        <f>IFERROR(__xludf.DUMMYFUNCTION("""COMPUTED_VALUE"""),0.0)</f>
        <v>0</v>
      </c>
      <c r="Q132" s="1"/>
      <c r="R132" s="1"/>
      <c r="S132" s="1"/>
      <c r="T132" s="1" t="str">
        <f>IFERROR(__xludf.DUMMYFUNCTION("""COMPUTED_VALUE"""),"Não Localizado")</f>
        <v>Não Localizado</v>
      </c>
    </row>
    <row r="133">
      <c r="A133" s="1"/>
      <c r="B133" s="1"/>
      <c r="C133" s="1" t="str">
        <f>IFERROR(__xludf.DUMMYFUNCTION("""COMPUTED_VALUE"""),"-")</f>
        <v>-</v>
      </c>
      <c r="D133" s="1" t="str">
        <f>IFERROR(__xludf.DUMMYFUNCTION("""COMPUTED_VALUE"""),"MULTIPLAS")</f>
        <v>MULTIPLAS</v>
      </c>
      <c r="E133" s="1" t="str">
        <f>IFERROR(__xludf.DUMMYFUNCTION("""COMPUTED_VALUE"""),"FIBRAÇO")</f>
        <v>FIBRAÇO</v>
      </c>
      <c r="F133" s="1" t="str">
        <f>IFERROR(__xludf.DUMMYFUNCTION("""COMPUTED_VALUE"""),"CX")</f>
        <v>CX</v>
      </c>
      <c r="G133" s="2">
        <f>IFERROR(__xludf.DUMMYFUNCTION("""COMPUTED_VALUE"""),4.0)</f>
        <v>4</v>
      </c>
      <c r="H133" s="2">
        <f>IFERROR(__xludf.DUMMYFUNCTION("""COMPUTED_VALUE"""),0.0)</f>
        <v>0</v>
      </c>
      <c r="I133" s="1"/>
      <c r="J133" s="2">
        <f>IFERROR(__xludf.DUMMYFUNCTION("""COMPUTED_VALUE"""),0.0)</f>
        <v>0</v>
      </c>
      <c r="K133" s="2">
        <f>IFERROR(__xludf.DUMMYFUNCTION("""COMPUTED_VALUE"""),0.0)</f>
        <v>0</v>
      </c>
      <c r="L133" s="1"/>
      <c r="M133" s="3" t="str">
        <f>IFERROR(__xludf.DUMMYFUNCTION("""COMPUTED_VALUE"""),"")</f>
        <v/>
      </c>
      <c r="N133" s="1"/>
      <c r="O133" s="2" t="str">
        <f>IFERROR(__xludf.DUMMYFUNCTION("""COMPUTED_VALUE"""),"")</f>
        <v/>
      </c>
      <c r="P133" s="2">
        <f>IFERROR(__xludf.DUMMYFUNCTION("""COMPUTED_VALUE"""),0.0)</f>
        <v>0</v>
      </c>
      <c r="Q133" s="1"/>
      <c r="R133" s="1"/>
      <c r="S133" s="1"/>
      <c r="T133" s="1" t="str">
        <f>IFERROR(__xludf.DUMMYFUNCTION("""COMPUTED_VALUE"""),"Não Localizado")</f>
        <v>Não Localizado</v>
      </c>
    </row>
    <row r="134">
      <c r="A134" s="1"/>
      <c r="B134" s="1"/>
      <c r="C134" s="1" t="str">
        <f>IFERROR(__xludf.DUMMYFUNCTION("""COMPUTED_VALUE"""),"-")</f>
        <v>-</v>
      </c>
      <c r="D134" s="1" t="str">
        <f>IFERROR(__xludf.DUMMYFUNCTION("""COMPUTED_VALUE"""),"MULTIPLAS")</f>
        <v>MULTIPLAS</v>
      </c>
      <c r="E134" s="1" t="str">
        <f>IFERROR(__xludf.DUMMYFUNCTION("""COMPUTED_VALUE"""),"DETERGENTE NEUTRO")</f>
        <v>DETERGENTE NEUTRO</v>
      </c>
      <c r="F134" s="1" t="str">
        <f>IFERROR(__xludf.DUMMYFUNCTION("""COMPUTED_VALUE"""),"BD")</f>
        <v>BD</v>
      </c>
      <c r="G134" s="4">
        <f>IFERROR(__xludf.DUMMYFUNCTION("""COMPUTED_VALUE"""),5.0)</f>
        <v>5</v>
      </c>
      <c r="H134" s="2">
        <f>IFERROR(__xludf.DUMMYFUNCTION("""COMPUTED_VALUE"""),0.0)</f>
        <v>0</v>
      </c>
      <c r="I134" s="1"/>
      <c r="J134" s="2">
        <f>IFERROR(__xludf.DUMMYFUNCTION("""COMPUTED_VALUE"""),0.0)</f>
        <v>0</v>
      </c>
      <c r="K134" s="2">
        <f>IFERROR(__xludf.DUMMYFUNCTION("""COMPUTED_VALUE"""),0.0)</f>
        <v>0</v>
      </c>
      <c r="L134" s="1"/>
      <c r="M134" s="3" t="str">
        <f>IFERROR(__xludf.DUMMYFUNCTION("""COMPUTED_VALUE"""),"")</f>
        <v/>
      </c>
      <c r="N134" s="1"/>
      <c r="O134" s="2" t="str">
        <f>IFERROR(__xludf.DUMMYFUNCTION("""COMPUTED_VALUE"""),"")</f>
        <v/>
      </c>
      <c r="P134" s="2">
        <f>IFERROR(__xludf.DUMMYFUNCTION("""COMPUTED_VALUE"""),0.0)</f>
        <v>0</v>
      </c>
      <c r="Q134" s="1"/>
      <c r="R134" s="1"/>
      <c r="S134" s="1"/>
      <c r="T134" s="1" t="str">
        <f>IFERROR(__xludf.DUMMYFUNCTION("""COMPUTED_VALUE"""),"Não Localizado")</f>
        <v>Não Localizado</v>
      </c>
    </row>
    <row r="135">
      <c r="A135" s="1"/>
      <c r="B135" s="1"/>
      <c r="C135" s="1" t="str">
        <f>IFERROR(__xludf.DUMMYFUNCTION("""COMPUTED_VALUE"""),"-")</f>
        <v>-</v>
      </c>
      <c r="D135" s="1" t="str">
        <f>IFERROR(__xludf.DUMMYFUNCTION("""COMPUTED_VALUE"""),"MULTIPLAS")</f>
        <v>MULTIPLAS</v>
      </c>
      <c r="E135" s="1" t="str">
        <f>IFERROR(__xludf.DUMMYFUNCTION("""COMPUTED_VALUE"""),"MULTIUSO")</f>
        <v>MULTIUSO</v>
      </c>
      <c r="F135" s="1" t="str">
        <f>IFERROR(__xludf.DUMMYFUNCTION("""COMPUTED_VALUE"""),"BD")</f>
        <v>BD</v>
      </c>
      <c r="G135" s="4">
        <f>IFERROR(__xludf.DUMMYFUNCTION("""COMPUTED_VALUE"""),5.0)</f>
        <v>5</v>
      </c>
      <c r="H135" s="2">
        <f>IFERROR(__xludf.DUMMYFUNCTION("""COMPUTED_VALUE"""),0.0)</f>
        <v>0</v>
      </c>
      <c r="I135" s="1"/>
      <c r="J135" s="2">
        <f>IFERROR(__xludf.DUMMYFUNCTION("""COMPUTED_VALUE"""),0.0)</f>
        <v>0</v>
      </c>
      <c r="K135" s="2">
        <f>IFERROR(__xludf.DUMMYFUNCTION("""COMPUTED_VALUE"""),0.0)</f>
        <v>0</v>
      </c>
      <c r="L135" s="1"/>
      <c r="M135" s="3" t="str">
        <f>IFERROR(__xludf.DUMMYFUNCTION("""COMPUTED_VALUE"""),"")</f>
        <v/>
      </c>
      <c r="N135" s="1"/>
      <c r="O135" s="2" t="str">
        <f>IFERROR(__xludf.DUMMYFUNCTION("""COMPUTED_VALUE"""),"")</f>
        <v/>
      </c>
      <c r="P135" s="2">
        <f>IFERROR(__xludf.DUMMYFUNCTION("""COMPUTED_VALUE"""),0.0)</f>
        <v>0</v>
      </c>
      <c r="Q135" s="1"/>
      <c r="R135" s="1"/>
      <c r="S135" s="1"/>
      <c r="T135" s="1" t="str">
        <f>IFERROR(__xludf.DUMMYFUNCTION("""COMPUTED_VALUE"""),"Não Localizado")</f>
        <v>Não Localizado</v>
      </c>
    </row>
    <row r="136">
      <c r="A136" s="1"/>
      <c r="B136" s="1"/>
      <c r="C136" s="1" t="str">
        <f>IFERROR(__xludf.DUMMYFUNCTION("""COMPUTED_VALUE"""),"-")</f>
        <v>-</v>
      </c>
      <c r="D136" s="1" t="str">
        <f>IFERROR(__xludf.DUMMYFUNCTION("""COMPUTED_VALUE"""),"MULTIPLAS")</f>
        <v>MULTIPLAS</v>
      </c>
      <c r="E136" s="1" t="str">
        <f>IFERROR(__xludf.DUMMYFUNCTION("""COMPUTED_VALUE"""),"PAPEL INTERFOLHAS")</f>
        <v>PAPEL INTERFOLHAS</v>
      </c>
      <c r="F136" s="1" t="str">
        <f>IFERROR(__xludf.DUMMYFUNCTION("""COMPUTED_VALUE"""),"CX")</f>
        <v>CX</v>
      </c>
      <c r="G136" s="2">
        <f>IFERROR(__xludf.DUMMYFUNCTION("""COMPUTED_VALUE"""),1000.0)</f>
        <v>1000</v>
      </c>
      <c r="H136" s="2">
        <f>IFERROR(__xludf.DUMMYFUNCTION("""COMPUTED_VALUE"""),0.0)</f>
        <v>0</v>
      </c>
      <c r="I136" s="1"/>
      <c r="J136" s="2">
        <f>IFERROR(__xludf.DUMMYFUNCTION("""COMPUTED_VALUE"""),0.0)</f>
        <v>0</v>
      </c>
      <c r="K136" s="2">
        <f>IFERROR(__xludf.DUMMYFUNCTION("""COMPUTED_VALUE"""),0.0)</f>
        <v>0</v>
      </c>
      <c r="L136" s="1"/>
      <c r="M136" s="3" t="str">
        <f>IFERROR(__xludf.DUMMYFUNCTION("""COMPUTED_VALUE"""),"")</f>
        <v/>
      </c>
      <c r="N136" s="1"/>
      <c r="O136" s="2" t="str">
        <f>IFERROR(__xludf.DUMMYFUNCTION("""COMPUTED_VALUE"""),"")</f>
        <v/>
      </c>
      <c r="P136" s="2">
        <f>IFERROR(__xludf.DUMMYFUNCTION("""COMPUTED_VALUE"""),0.0)</f>
        <v>0</v>
      </c>
      <c r="Q136" s="1"/>
      <c r="R136" s="1"/>
      <c r="S136" s="1"/>
      <c r="T136" s="1" t="str">
        <f>IFERROR(__xludf.DUMMYFUNCTION("""COMPUTED_VALUE"""),"Não Localizado")</f>
        <v>Não Localizado</v>
      </c>
    </row>
    <row r="137">
      <c r="A137" s="1"/>
      <c r="B137" s="1"/>
      <c r="C137" s="1" t="str">
        <f>IFERROR(__xludf.DUMMYFUNCTION("""COMPUTED_VALUE"""),"-")</f>
        <v>-</v>
      </c>
      <c r="D137" s="1" t="str">
        <f>IFERROR(__xludf.DUMMYFUNCTION("""COMPUTED_VALUE"""),"MULTIPLAS")</f>
        <v>MULTIPLAS</v>
      </c>
      <c r="E137" s="1" t="str">
        <f>IFERROR(__xludf.DUMMYFUNCTION("""COMPUTED_VALUE"""),"LUSTRA MOVEIS")</f>
        <v>LUSTRA MOVEIS</v>
      </c>
      <c r="F137" s="1" t="str">
        <f>IFERROR(__xludf.DUMMYFUNCTION("""COMPUTED_VALUE"""),"PT")</f>
        <v>PT</v>
      </c>
      <c r="G137" s="4">
        <f>IFERROR(__xludf.DUMMYFUNCTION("""COMPUTED_VALUE"""),0.2)</f>
        <v>0.2</v>
      </c>
      <c r="H137" s="2">
        <f>IFERROR(__xludf.DUMMYFUNCTION("""COMPUTED_VALUE"""),0.0)</f>
        <v>0</v>
      </c>
      <c r="I137" s="1"/>
      <c r="J137" s="2">
        <f>IFERROR(__xludf.DUMMYFUNCTION("""COMPUTED_VALUE"""),0.0)</f>
        <v>0</v>
      </c>
      <c r="K137" s="2">
        <f>IFERROR(__xludf.DUMMYFUNCTION("""COMPUTED_VALUE"""),0.0)</f>
        <v>0</v>
      </c>
      <c r="L137" s="1"/>
      <c r="M137" s="3" t="str">
        <f>IFERROR(__xludf.DUMMYFUNCTION("""COMPUTED_VALUE"""),"")</f>
        <v/>
      </c>
      <c r="N137" s="1"/>
      <c r="O137" s="2" t="str">
        <f>IFERROR(__xludf.DUMMYFUNCTION("""COMPUTED_VALUE"""),"")</f>
        <v/>
      </c>
      <c r="P137" s="2">
        <f>IFERROR(__xludf.DUMMYFUNCTION("""COMPUTED_VALUE"""),0.0)</f>
        <v>0</v>
      </c>
      <c r="Q137" s="1"/>
      <c r="R137" s="1"/>
      <c r="S137" s="1"/>
      <c r="T137" s="1" t="str">
        <f>IFERROR(__xludf.DUMMYFUNCTION("""COMPUTED_VALUE"""),"Não Localizado")</f>
        <v>Não Localizado</v>
      </c>
    </row>
    <row r="138">
      <c r="A138" s="1"/>
      <c r="B138" s="1"/>
      <c r="C138" s="1" t="str">
        <f>IFERROR(__xludf.DUMMYFUNCTION("""COMPUTED_VALUE"""),"-")</f>
        <v>-</v>
      </c>
      <c r="D138" s="1" t="str">
        <f>IFERROR(__xludf.DUMMYFUNCTION("""COMPUTED_VALUE"""),"MULTIPLAS")</f>
        <v>MULTIPLAS</v>
      </c>
      <c r="E138" s="1" t="str">
        <f>IFERROR(__xludf.DUMMYFUNCTION("""COMPUTED_VALUE"""),"AGUA SANITARIA")</f>
        <v>AGUA SANITARIA</v>
      </c>
      <c r="F138" s="1" t="str">
        <f>IFERROR(__xludf.DUMMYFUNCTION("""COMPUTED_VALUE"""),"BD")</f>
        <v>BD</v>
      </c>
      <c r="G138" s="4">
        <f>IFERROR(__xludf.DUMMYFUNCTION("""COMPUTED_VALUE"""),5.0)</f>
        <v>5</v>
      </c>
      <c r="H138" s="2">
        <f>IFERROR(__xludf.DUMMYFUNCTION("""COMPUTED_VALUE"""),0.0)</f>
        <v>0</v>
      </c>
      <c r="I138" s="1"/>
      <c r="J138" s="2">
        <f>IFERROR(__xludf.DUMMYFUNCTION("""COMPUTED_VALUE"""),0.0)</f>
        <v>0</v>
      </c>
      <c r="K138" s="2">
        <f>IFERROR(__xludf.DUMMYFUNCTION("""COMPUTED_VALUE"""),0.0)</f>
        <v>0</v>
      </c>
      <c r="L138" s="1"/>
      <c r="M138" s="3" t="str">
        <f>IFERROR(__xludf.DUMMYFUNCTION("""COMPUTED_VALUE"""),"")</f>
        <v/>
      </c>
      <c r="N138" s="1"/>
      <c r="O138" s="2" t="str">
        <f>IFERROR(__xludf.DUMMYFUNCTION("""COMPUTED_VALUE"""),"")</f>
        <v/>
      </c>
      <c r="P138" s="2">
        <f>IFERROR(__xludf.DUMMYFUNCTION("""COMPUTED_VALUE"""),0.0)</f>
        <v>0</v>
      </c>
      <c r="Q138" s="1"/>
      <c r="R138" s="1"/>
      <c r="S138" s="1"/>
      <c r="T138" s="1" t="str">
        <f>IFERROR(__xludf.DUMMYFUNCTION("""COMPUTED_VALUE"""),"Não Localizado")</f>
        <v>Não Localizado</v>
      </c>
    </row>
    <row r="139">
      <c r="A139" s="1"/>
      <c r="B139" s="1"/>
      <c r="C139" s="1" t="str">
        <f>IFERROR(__xludf.DUMMYFUNCTION("""COMPUTED_VALUE"""),"-")</f>
        <v>-</v>
      </c>
      <c r="D139" s="1" t="str">
        <f>IFERROR(__xludf.DUMMYFUNCTION("""COMPUTED_VALUE"""),"MULTIPLAS")</f>
        <v>MULTIPLAS</v>
      </c>
      <c r="E139" s="1" t="str">
        <f>IFERROR(__xludf.DUMMYFUNCTION("""COMPUTED_VALUE"""),"BUCHA LAVA LOUÇA")</f>
        <v>BUCHA LAVA LOUÇA</v>
      </c>
      <c r="F139" s="1" t="str">
        <f>IFERROR(__xludf.DUMMYFUNCTION("""COMPUTED_VALUE"""),"-")</f>
        <v>-</v>
      </c>
      <c r="G139" s="2" t="str">
        <f>IFERROR(__xludf.DUMMYFUNCTION("""COMPUTED_VALUE"""),"-")</f>
        <v>-</v>
      </c>
      <c r="H139" s="2">
        <f>IFERROR(__xludf.DUMMYFUNCTION("""COMPUTED_VALUE"""),0.0)</f>
        <v>0</v>
      </c>
      <c r="I139" s="1"/>
      <c r="J139" s="2">
        <f>IFERROR(__xludf.DUMMYFUNCTION("""COMPUTED_VALUE"""),0.0)</f>
        <v>0</v>
      </c>
      <c r="K139" s="2">
        <f>IFERROR(__xludf.DUMMYFUNCTION("""COMPUTED_VALUE"""),0.0)</f>
        <v>0</v>
      </c>
      <c r="L139" s="1"/>
      <c r="M139" s="3" t="str">
        <f>IFERROR(__xludf.DUMMYFUNCTION("""COMPUTED_VALUE"""),"")</f>
        <v/>
      </c>
      <c r="N139" s="1"/>
      <c r="O139" s="2" t="str">
        <f>IFERROR(__xludf.DUMMYFUNCTION("""COMPUTED_VALUE"""),"")</f>
        <v/>
      </c>
      <c r="P139" s="2">
        <f>IFERROR(__xludf.DUMMYFUNCTION("""COMPUTED_VALUE"""),0.0)</f>
        <v>0</v>
      </c>
      <c r="Q139" s="1"/>
      <c r="R139" s="1"/>
      <c r="S139" s="1"/>
      <c r="T139" s="1" t="str">
        <f>IFERROR(__xludf.DUMMYFUNCTION("""COMPUTED_VALUE"""),"Não Localizado")</f>
        <v>Não Localizado</v>
      </c>
    </row>
    <row r="140">
      <c r="A140" s="1"/>
      <c r="B140" s="1"/>
      <c r="C140" s="1" t="str">
        <f>IFERROR(__xludf.DUMMYFUNCTION("""COMPUTED_VALUE"""),"-")</f>
        <v>-</v>
      </c>
      <c r="D140" s="1" t="str">
        <f>IFERROR(__xludf.DUMMYFUNCTION("""COMPUTED_VALUE"""),"MULTIPLAS")</f>
        <v>MULTIPLAS</v>
      </c>
      <c r="E140" s="1" t="str">
        <f>IFERROR(__xludf.DUMMYFUNCTION("""COMPUTED_VALUE"""),"PAPEL TOALHA")</f>
        <v>PAPEL TOALHA</v>
      </c>
      <c r="F140" s="1" t="str">
        <f>IFERROR(__xludf.DUMMYFUNCTION("""COMPUTED_VALUE"""),"RL")</f>
        <v>RL</v>
      </c>
      <c r="G140" s="2">
        <f>IFERROR(__xludf.DUMMYFUNCTION("""COMPUTED_VALUE"""),1.0)</f>
        <v>1</v>
      </c>
      <c r="H140" s="2">
        <f>IFERROR(__xludf.DUMMYFUNCTION("""COMPUTED_VALUE"""),0.0)</f>
        <v>0</v>
      </c>
      <c r="I140" s="1"/>
      <c r="J140" s="2">
        <f>IFERROR(__xludf.DUMMYFUNCTION("""COMPUTED_VALUE"""),0.0)</f>
        <v>0</v>
      </c>
      <c r="K140" s="2">
        <f>IFERROR(__xludf.DUMMYFUNCTION("""COMPUTED_VALUE"""),0.0)</f>
        <v>0</v>
      </c>
      <c r="L140" s="1"/>
      <c r="M140" s="3" t="str">
        <f>IFERROR(__xludf.DUMMYFUNCTION("""COMPUTED_VALUE"""),"")</f>
        <v/>
      </c>
      <c r="N140" s="1"/>
      <c r="O140" s="2" t="str">
        <f>IFERROR(__xludf.DUMMYFUNCTION("""COMPUTED_VALUE"""),"")</f>
        <v/>
      </c>
      <c r="P140" s="2">
        <f>IFERROR(__xludf.DUMMYFUNCTION("""COMPUTED_VALUE"""),0.0)</f>
        <v>0</v>
      </c>
      <c r="Q140" s="1"/>
      <c r="R140" s="1"/>
      <c r="S140" s="1"/>
      <c r="T140" s="1" t="str">
        <f>IFERROR(__xludf.DUMMYFUNCTION("""COMPUTED_VALUE"""),"Não Localizado")</f>
        <v>Não Localizado</v>
      </c>
    </row>
    <row r="141">
      <c r="A141" s="1"/>
      <c r="B141" s="1"/>
      <c r="C141" s="1" t="str">
        <f>IFERROR(__xludf.DUMMYFUNCTION("""COMPUTED_VALUE"""),"-")</f>
        <v>-</v>
      </c>
      <c r="D141" s="1" t="str">
        <f>IFERROR(__xludf.DUMMYFUNCTION("""COMPUTED_VALUE"""),"MULTIPLAS")</f>
        <v>MULTIPLAS</v>
      </c>
      <c r="E141" s="1" t="str">
        <f>IFERROR(__xludf.DUMMYFUNCTION("""COMPUTED_VALUE"""),"BOBINA TÉRMICA IMPRESSORA")</f>
        <v>BOBINA TÉRMICA IMPRESSORA</v>
      </c>
      <c r="F141" s="1" t="str">
        <f>IFERROR(__xludf.DUMMYFUNCTION("""COMPUTED_VALUE"""),"CX")</f>
        <v>CX</v>
      </c>
      <c r="G141" s="2">
        <f>IFERROR(__xludf.DUMMYFUNCTION("""COMPUTED_VALUE"""),30.0)</f>
        <v>30</v>
      </c>
      <c r="H141" s="2">
        <f>IFERROR(__xludf.DUMMYFUNCTION("""COMPUTED_VALUE"""),0.0)</f>
        <v>0</v>
      </c>
      <c r="I141" s="1"/>
      <c r="J141" s="2">
        <f>IFERROR(__xludf.DUMMYFUNCTION("""COMPUTED_VALUE"""),0.0)</f>
        <v>0</v>
      </c>
      <c r="K141" s="2">
        <f>IFERROR(__xludf.DUMMYFUNCTION("""COMPUTED_VALUE"""),0.0)</f>
        <v>0</v>
      </c>
      <c r="L141" s="1"/>
      <c r="M141" s="3" t="str">
        <f>IFERROR(__xludf.DUMMYFUNCTION("""COMPUTED_VALUE"""),"")</f>
        <v/>
      </c>
      <c r="N141" s="1"/>
      <c r="O141" s="2" t="str">
        <f>IFERROR(__xludf.DUMMYFUNCTION("""COMPUTED_VALUE"""),"")</f>
        <v/>
      </c>
      <c r="P141" s="2">
        <f>IFERROR(__xludf.DUMMYFUNCTION("""COMPUTED_VALUE"""),0.0)</f>
        <v>0</v>
      </c>
      <c r="Q141" s="1"/>
      <c r="R141" s="1"/>
      <c r="S141" s="1"/>
      <c r="T141" s="1" t="str">
        <f>IFERROR(__xludf.DUMMYFUNCTION("""COMPUTED_VALUE"""),"Não Localizado")</f>
        <v>Não Localizado</v>
      </c>
    </row>
    <row r="142">
      <c r="A142" s="1"/>
      <c r="B142" s="1"/>
      <c r="C142" s="1" t="str">
        <f>IFERROR(__xludf.DUMMYFUNCTION("""COMPUTED_VALUE"""),"-")</f>
        <v>-</v>
      </c>
      <c r="D142" s="1" t="str">
        <f>IFERROR(__xludf.DUMMYFUNCTION("""COMPUTED_VALUE"""),"MULTIPLAS")</f>
        <v>MULTIPLAS</v>
      </c>
      <c r="E142" s="1" t="str">
        <f>IFERROR(__xludf.DUMMYFUNCTION("""COMPUTED_VALUE"""),"ETIQUETA PARA ALIMENTOS")</f>
        <v>ETIQUETA PARA ALIMENTOS</v>
      </c>
      <c r="F142" s="1" t="str">
        <f>IFERROR(__xludf.DUMMYFUNCTION("""COMPUTED_VALUE"""),"RL")</f>
        <v>RL</v>
      </c>
      <c r="G142" s="1"/>
      <c r="H142" s="2">
        <f>IFERROR(__xludf.DUMMYFUNCTION("""COMPUTED_VALUE"""),0.0)</f>
        <v>0</v>
      </c>
      <c r="I142" s="1"/>
      <c r="J142" s="2">
        <f>IFERROR(__xludf.DUMMYFUNCTION("""COMPUTED_VALUE"""),0.0)</f>
        <v>0</v>
      </c>
      <c r="K142" s="2">
        <f>IFERROR(__xludf.DUMMYFUNCTION("""COMPUTED_VALUE"""),0.0)</f>
        <v>0</v>
      </c>
      <c r="L142" s="1"/>
      <c r="M142" s="3" t="str">
        <f>IFERROR(__xludf.DUMMYFUNCTION("""COMPUTED_VALUE"""),"")</f>
        <v/>
      </c>
      <c r="N142" s="1"/>
      <c r="O142" s="2" t="str">
        <f>IFERROR(__xludf.DUMMYFUNCTION("""COMPUTED_VALUE"""),"")</f>
        <v/>
      </c>
      <c r="P142" s="2">
        <f>IFERROR(__xludf.DUMMYFUNCTION("""COMPUTED_VALUE"""),0.0)</f>
        <v>0</v>
      </c>
      <c r="Q142" s="1"/>
      <c r="R142" s="1"/>
      <c r="S142" s="1"/>
      <c r="T142" s="1" t="str">
        <f>IFERROR(__xludf.DUMMYFUNCTION("""COMPUTED_VALUE"""),"Não Localizado")</f>
        <v>Não Localizado</v>
      </c>
    </row>
    <row r="143">
      <c r="A143" s="1"/>
      <c r="B143" s="1"/>
      <c r="C143" s="1" t="str">
        <f>IFERROR(__xludf.DUMMYFUNCTION("""COMPUTED_VALUE"""),"-")</f>
        <v>-</v>
      </c>
      <c r="D143" s="1" t="str">
        <f>IFERROR(__xludf.DUMMYFUNCTION("""COMPUTED_VALUE"""),"MULTIPLAS")</f>
        <v>MULTIPLAS</v>
      </c>
      <c r="E143" s="1" t="str">
        <f>IFERROR(__xludf.DUMMYFUNCTION("""COMPUTED_VALUE"""),"RODO+VASSOURA")</f>
        <v>RODO+VASSOURA</v>
      </c>
      <c r="F143" s="1" t="str">
        <f>IFERROR(__xludf.DUMMYFUNCTION("""COMPUTED_VALUE"""),"UN")</f>
        <v>UN</v>
      </c>
      <c r="G143" s="1"/>
      <c r="H143" s="2">
        <f>IFERROR(__xludf.DUMMYFUNCTION("""COMPUTED_VALUE"""),0.0)</f>
        <v>0</v>
      </c>
      <c r="I143" s="1"/>
      <c r="J143" s="2">
        <f>IFERROR(__xludf.DUMMYFUNCTION("""COMPUTED_VALUE"""),0.0)</f>
        <v>0</v>
      </c>
      <c r="K143" s="2">
        <f>IFERROR(__xludf.DUMMYFUNCTION("""COMPUTED_VALUE"""),0.0)</f>
        <v>0</v>
      </c>
      <c r="L143" s="1"/>
      <c r="M143" s="3" t="str">
        <f>IFERROR(__xludf.DUMMYFUNCTION("""COMPUTED_VALUE"""),"")</f>
        <v/>
      </c>
      <c r="N143" s="1"/>
      <c r="O143" s="2" t="str">
        <f>IFERROR(__xludf.DUMMYFUNCTION("""COMPUTED_VALUE"""),"")</f>
        <v/>
      </c>
      <c r="P143" s="2">
        <f>IFERROR(__xludf.DUMMYFUNCTION("""COMPUTED_VALUE"""),0.0)</f>
        <v>0</v>
      </c>
      <c r="Q143" s="1"/>
      <c r="R143" s="1"/>
      <c r="S143" s="1"/>
      <c r="T143" s="1" t="str">
        <f>IFERROR(__xludf.DUMMYFUNCTION("""COMPUTED_VALUE"""),"Não Localizado")</f>
        <v>Não Localizado</v>
      </c>
    </row>
    <row r="144">
      <c r="A144" s="1"/>
      <c r="B144" s="1"/>
      <c r="C144" s="1" t="str">
        <f>IFERROR(__xludf.DUMMYFUNCTION("""COMPUTED_VALUE"""),"-")</f>
        <v>-</v>
      </c>
      <c r="D144" s="1" t="str">
        <f>IFERROR(__xludf.DUMMYFUNCTION("""COMPUTED_VALUE"""),"MULTIPLAS")</f>
        <v>MULTIPLAS</v>
      </c>
      <c r="E144" s="1" t="str">
        <f>IFERROR(__xludf.DUMMYFUNCTION("""COMPUTED_VALUE"""),"LIMPA VIDRO")</f>
        <v>LIMPA VIDRO</v>
      </c>
      <c r="F144" s="1"/>
      <c r="G144" s="1"/>
      <c r="H144" s="2">
        <f>IFERROR(__xludf.DUMMYFUNCTION("""COMPUTED_VALUE"""),0.0)</f>
        <v>0</v>
      </c>
      <c r="I144" s="1"/>
      <c r="J144" s="2">
        <f>IFERROR(__xludf.DUMMYFUNCTION("""COMPUTED_VALUE"""),0.0)</f>
        <v>0</v>
      </c>
      <c r="K144" s="2">
        <f>IFERROR(__xludf.DUMMYFUNCTION("""COMPUTED_VALUE"""),0.0)</f>
        <v>0</v>
      </c>
      <c r="L144" s="1"/>
      <c r="M144" s="3" t="str">
        <f>IFERROR(__xludf.DUMMYFUNCTION("""COMPUTED_VALUE"""),"")</f>
        <v/>
      </c>
      <c r="N144" s="1"/>
      <c r="O144" s="2" t="str">
        <f>IFERROR(__xludf.DUMMYFUNCTION("""COMPUTED_VALUE"""),"")</f>
        <v/>
      </c>
      <c r="P144" s="2">
        <f>IFERROR(__xludf.DUMMYFUNCTION("""COMPUTED_VALUE"""),0.0)</f>
        <v>0</v>
      </c>
      <c r="Q144" s="1"/>
      <c r="R144" s="1"/>
      <c r="S144" s="1"/>
      <c r="T144" s="1" t="str">
        <f>IFERROR(__xludf.DUMMYFUNCTION("""COMPUTED_VALUE"""),"Não Localizado")</f>
        <v>Não Localizado</v>
      </c>
    </row>
    <row r="145">
      <c r="A145" s="1"/>
      <c r="B145" s="1"/>
      <c r="C145" s="1" t="str">
        <f>IFERROR(__xludf.DUMMYFUNCTION("""COMPUTED_VALUE"""),"-")</f>
        <v>-</v>
      </c>
      <c r="D145" s="1" t="str">
        <f>IFERROR(__xludf.DUMMYFUNCTION("""COMPUTED_VALUE"""),"MULTIPLAS")</f>
        <v>MULTIPLAS</v>
      </c>
      <c r="E145" s="1" t="str">
        <f>IFERROR(__xludf.DUMMYFUNCTION("""COMPUTED_VALUE"""),"POTE MULTIUSO C/ TAMPA BOLHA 250ML")</f>
        <v>POTE MULTIUSO C/ TAMPA BOLHA 250ML</v>
      </c>
      <c r="F145" s="1" t="str">
        <f>IFERROR(__xludf.DUMMYFUNCTION("""COMPUTED_VALUE"""),"CX")</f>
        <v>CX</v>
      </c>
      <c r="G145" s="2">
        <f>IFERROR(__xludf.DUMMYFUNCTION("""COMPUTED_VALUE"""),300.0)</f>
        <v>300</v>
      </c>
      <c r="H145" s="2">
        <f>IFERROR(__xludf.DUMMYFUNCTION("""COMPUTED_VALUE"""),0.0)</f>
        <v>0</v>
      </c>
      <c r="I145" s="1"/>
      <c r="J145" s="2">
        <f>IFERROR(__xludf.DUMMYFUNCTION("""COMPUTED_VALUE"""),0.0)</f>
        <v>0</v>
      </c>
      <c r="K145" s="2">
        <f>IFERROR(__xludf.DUMMYFUNCTION("""COMPUTED_VALUE"""),0.0)</f>
        <v>0</v>
      </c>
      <c r="L145" s="1"/>
      <c r="M145" s="3" t="str">
        <f>IFERROR(__xludf.DUMMYFUNCTION("""COMPUTED_VALUE"""),"")</f>
        <v/>
      </c>
      <c r="N145" s="1"/>
      <c r="O145" s="2" t="str">
        <f>IFERROR(__xludf.DUMMYFUNCTION("""COMPUTED_VALUE"""),"")</f>
        <v/>
      </c>
      <c r="P145" s="2">
        <f>IFERROR(__xludf.DUMMYFUNCTION("""COMPUTED_VALUE"""),0.0)</f>
        <v>0</v>
      </c>
      <c r="Q145" s="1"/>
      <c r="R145" s="1"/>
      <c r="S145" s="1"/>
      <c r="T145" s="1" t="str">
        <f>IFERROR(__xludf.DUMMYFUNCTION("""COMPUTED_VALUE"""),"Não Localizado")</f>
        <v>Não Localizado</v>
      </c>
    </row>
    <row r="146">
      <c r="A146" s="1"/>
      <c r="B146" s="1"/>
      <c r="C146" s="1" t="str">
        <f>IFERROR(__xludf.DUMMYFUNCTION("""COMPUTED_VALUE"""),"-")</f>
        <v>-</v>
      </c>
      <c r="D146" s="1" t="str">
        <f>IFERROR(__xludf.DUMMYFUNCTION("""COMPUTED_VALUE"""),"MULTIPLAS")</f>
        <v>MULTIPLAS</v>
      </c>
      <c r="E146" s="1" t="str">
        <f>IFERROR(__xludf.DUMMYFUNCTION("""COMPUTED_VALUE"""),"POTE MOLHO 60ML")</f>
        <v>POTE MOLHO 60ML</v>
      </c>
      <c r="F146" s="1" t="str">
        <f>IFERROR(__xludf.DUMMYFUNCTION("""COMPUTED_VALUE"""),"PCT")</f>
        <v>PCT</v>
      </c>
      <c r="G146" s="2">
        <f>IFERROR(__xludf.DUMMYFUNCTION("""COMPUTED_VALUE"""),700.0)</f>
        <v>700</v>
      </c>
      <c r="H146" s="2">
        <f>IFERROR(__xludf.DUMMYFUNCTION("""COMPUTED_VALUE"""),0.0)</f>
        <v>0</v>
      </c>
      <c r="I146" s="1"/>
      <c r="J146" s="2">
        <f>IFERROR(__xludf.DUMMYFUNCTION("""COMPUTED_VALUE"""),0.0)</f>
        <v>0</v>
      </c>
      <c r="K146" s="2">
        <f>IFERROR(__xludf.DUMMYFUNCTION("""COMPUTED_VALUE"""),0.0)</f>
        <v>0</v>
      </c>
      <c r="L146" s="1"/>
      <c r="M146" s="3" t="str">
        <f>IFERROR(__xludf.DUMMYFUNCTION("""COMPUTED_VALUE"""),"")</f>
        <v/>
      </c>
      <c r="N146" s="1"/>
      <c r="O146" s="2" t="str">
        <f>IFERROR(__xludf.DUMMYFUNCTION("""COMPUTED_VALUE"""),"")</f>
        <v/>
      </c>
      <c r="P146" s="2">
        <f>IFERROR(__xludf.DUMMYFUNCTION("""COMPUTED_VALUE"""),0.0)</f>
        <v>0</v>
      </c>
      <c r="Q146" s="1"/>
      <c r="R146" s="1"/>
      <c r="S146" s="1"/>
      <c r="T146" s="1" t="str">
        <f>IFERROR(__xludf.DUMMYFUNCTION("""COMPUTED_VALUE"""),"Não Localizado")</f>
        <v>Não Localizado</v>
      </c>
    </row>
    <row r="147">
      <c r="A147" s="1"/>
      <c r="B147" s="1"/>
      <c r="C147" s="1" t="str">
        <f>IFERROR(__xludf.DUMMYFUNCTION("""COMPUTED_VALUE"""),"-")</f>
        <v>-</v>
      </c>
      <c r="D147" s="1" t="str">
        <f>IFERROR(__xludf.DUMMYFUNCTION("""COMPUTED_VALUE"""),"MULTIPLAS")</f>
        <v>MULTIPLAS</v>
      </c>
      <c r="E147" s="1" t="str">
        <f>IFERROR(__xludf.DUMMYFUNCTION("""COMPUTED_VALUE"""),"TH-POTE BOWL 500ML C/ TAMPA")</f>
        <v>TH-POTE BOWL 500ML C/ TAMPA</v>
      </c>
      <c r="F147" s="1" t="str">
        <f>IFERROR(__xludf.DUMMYFUNCTION("""COMPUTED_VALUE"""),"PCT")</f>
        <v>PCT</v>
      </c>
      <c r="G147" s="2">
        <f>IFERROR(__xludf.DUMMYFUNCTION("""COMPUTED_VALUE"""),20.0)</f>
        <v>20</v>
      </c>
      <c r="H147" s="2">
        <f>IFERROR(__xludf.DUMMYFUNCTION("""COMPUTED_VALUE"""),0.0)</f>
        <v>0</v>
      </c>
      <c r="I147" s="1"/>
      <c r="J147" s="2">
        <f>IFERROR(__xludf.DUMMYFUNCTION("""COMPUTED_VALUE"""),0.0)</f>
        <v>0</v>
      </c>
      <c r="K147" s="2">
        <f>IFERROR(__xludf.DUMMYFUNCTION("""COMPUTED_VALUE"""),0.0)</f>
        <v>0</v>
      </c>
      <c r="L147" s="1"/>
      <c r="M147" s="3" t="str">
        <f>IFERROR(__xludf.DUMMYFUNCTION("""COMPUTED_VALUE"""),"")</f>
        <v/>
      </c>
      <c r="N147" s="1"/>
      <c r="O147" s="2" t="str">
        <f>IFERROR(__xludf.DUMMYFUNCTION("""COMPUTED_VALUE"""),"")</f>
        <v/>
      </c>
      <c r="P147" s="2">
        <f>IFERROR(__xludf.DUMMYFUNCTION("""COMPUTED_VALUE"""),0.0)</f>
        <v>0</v>
      </c>
      <c r="Q147" s="1"/>
      <c r="R147" s="1"/>
      <c r="S147" s="1"/>
      <c r="T147" s="1" t="str">
        <f>IFERROR(__xludf.DUMMYFUNCTION("""COMPUTED_VALUE"""),"Não Localizado")</f>
        <v>Não Localizado</v>
      </c>
    </row>
    <row r="148">
      <c r="A148" s="1"/>
      <c r="B148" s="1"/>
      <c r="C148" s="1" t="str">
        <f>IFERROR(__xludf.DUMMYFUNCTION("""COMPUTED_VALUE"""),"-")</f>
        <v>-</v>
      </c>
      <c r="D148" s="1" t="str">
        <f>IFERROR(__xludf.DUMMYFUNCTION("""COMPUTED_VALUE"""),"MULTIPLAS")</f>
        <v>MULTIPLAS</v>
      </c>
      <c r="E148" s="1" t="str">
        <f>IFERROR(__xludf.DUMMYFUNCTION("""COMPUTED_VALUE"""),"HAMBURGUEIRA C/ DIVISORIA 25,5X23,5")</f>
        <v>HAMBURGUEIRA C/ DIVISORIA 25,5X23,5</v>
      </c>
      <c r="F148" s="1" t="str">
        <f>IFERROR(__xludf.DUMMYFUNCTION("""COMPUTED_VALUE"""),"PCT")</f>
        <v>PCT</v>
      </c>
      <c r="G148" s="2">
        <f>IFERROR(__xludf.DUMMYFUNCTION("""COMPUTED_VALUE"""),100.0)</f>
        <v>100</v>
      </c>
      <c r="H148" s="2">
        <f>IFERROR(__xludf.DUMMYFUNCTION("""COMPUTED_VALUE"""),0.0)</f>
        <v>0</v>
      </c>
      <c r="I148" s="1"/>
      <c r="J148" s="2">
        <f>IFERROR(__xludf.DUMMYFUNCTION("""COMPUTED_VALUE"""),0.0)</f>
        <v>0</v>
      </c>
      <c r="K148" s="2">
        <f>IFERROR(__xludf.DUMMYFUNCTION("""COMPUTED_VALUE"""),0.0)</f>
        <v>0</v>
      </c>
      <c r="L148" s="1"/>
      <c r="M148" s="3" t="str">
        <f>IFERROR(__xludf.DUMMYFUNCTION("""COMPUTED_VALUE"""),"")</f>
        <v/>
      </c>
      <c r="N148" s="1"/>
      <c r="O148" s="2" t="str">
        <f>IFERROR(__xludf.DUMMYFUNCTION("""COMPUTED_VALUE"""),"")</f>
        <v/>
      </c>
      <c r="P148" s="2">
        <f>IFERROR(__xludf.DUMMYFUNCTION("""COMPUTED_VALUE"""),0.0)</f>
        <v>0</v>
      </c>
      <c r="Q148" s="1"/>
      <c r="R148" s="1"/>
      <c r="S148" s="1"/>
      <c r="T148" s="1" t="str">
        <f>IFERROR(__xludf.DUMMYFUNCTION("""COMPUTED_VALUE"""),"Não Localizado")</f>
        <v>Não Localizado</v>
      </c>
    </row>
    <row r="149">
      <c r="A149" s="1"/>
      <c r="B149" s="1"/>
      <c r="C149" s="1" t="str">
        <f>IFERROR(__xludf.DUMMYFUNCTION("""COMPUTED_VALUE"""),"-")</f>
        <v>-</v>
      </c>
      <c r="D149" s="1" t="str">
        <f>IFERROR(__xludf.DUMMYFUNCTION("""COMPUTED_VALUE"""),"VINHOS")</f>
        <v>VINHOS</v>
      </c>
      <c r="E149" s="1" t="str">
        <f>IFERROR(__xludf.DUMMYFUNCTION("""COMPUTED_VALUE"""),"TAÇA TINTO PARCELAS (CABERNET SAUVIGNON)")</f>
        <v>TAÇA TINTO PARCELAS (CABERNET SAUVIGNON)</v>
      </c>
      <c r="F149" s="1" t="str">
        <f>IFERROR(__xludf.DUMMYFUNCTION("""COMPUTED_VALUE"""),"UN")</f>
        <v>UN</v>
      </c>
      <c r="G149" s="4">
        <f>IFERROR(__xludf.DUMMYFUNCTION("""COMPUTED_VALUE"""),0.187)</f>
        <v>0.187</v>
      </c>
      <c r="H149" s="2">
        <f>IFERROR(__xludf.DUMMYFUNCTION("""COMPUTED_VALUE"""),0.0)</f>
        <v>0</v>
      </c>
      <c r="I149" s="1"/>
      <c r="J149" s="2">
        <f>IFERROR(__xludf.DUMMYFUNCTION("""COMPUTED_VALUE"""),22.0)</f>
        <v>22</v>
      </c>
      <c r="K149" s="2">
        <f>IFERROR(__xludf.DUMMYFUNCTION("""COMPUTED_VALUE"""),0.0)</f>
        <v>0</v>
      </c>
      <c r="L149" s="1"/>
      <c r="M149" s="3">
        <f>IFERROR(__xludf.DUMMYFUNCTION("""COMPUTED_VALUE"""),4.114)</f>
        <v>4.114</v>
      </c>
      <c r="N149" s="1"/>
      <c r="O149" s="2" t="str">
        <f>IFERROR(__xludf.DUMMYFUNCTION("""COMPUTED_VALUE"""),"")</f>
        <v/>
      </c>
      <c r="P149" s="2">
        <f>IFERROR(__xludf.DUMMYFUNCTION("""COMPUTED_VALUE"""),22.0)</f>
        <v>22</v>
      </c>
      <c r="Q149" s="1"/>
      <c r="R149" s="1"/>
      <c r="S149" s="1"/>
      <c r="T149" s="1">
        <f>IFERROR(__xludf.DUMMYFUNCTION("""COMPUTED_VALUE"""),932.0)</f>
        <v>932</v>
      </c>
    </row>
    <row r="150">
      <c r="A150" s="1"/>
      <c r="B150" s="1"/>
      <c r="C150" s="1" t="str">
        <f>IFERROR(__xludf.DUMMYFUNCTION("""COMPUTED_VALUE"""),"-")</f>
        <v>-</v>
      </c>
      <c r="D150" s="1" t="str">
        <f>IFERROR(__xludf.DUMMYFUNCTION("""COMPUTED_VALUE"""),"VINHOS")</f>
        <v>VINHOS</v>
      </c>
      <c r="E150" s="1" t="str">
        <f>IFERROR(__xludf.DUMMYFUNCTION("""COMPUTED_VALUE"""),"TAÇA ROSE PARCELAS (BLEND)")</f>
        <v>TAÇA ROSE PARCELAS (BLEND)</v>
      </c>
      <c r="F150" s="1" t="str">
        <f>IFERROR(__xludf.DUMMYFUNCTION("""COMPUTED_VALUE"""),"UN")</f>
        <v>UN</v>
      </c>
      <c r="G150" s="4">
        <f>IFERROR(__xludf.DUMMYFUNCTION("""COMPUTED_VALUE"""),0.187)</f>
        <v>0.187</v>
      </c>
      <c r="H150" s="2">
        <f>IFERROR(__xludf.DUMMYFUNCTION("""COMPUTED_VALUE"""),0.0)</f>
        <v>0</v>
      </c>
      <c r="I150" s="1"/>
      <c r="J150" s="2">
        <f>IFERROR(__xludf.DUMMYFUNCTION("""COMPUTED_VALUE"""),0.0)</f>
        <v>0</v>
      </c>
      <c r="K150" s="2">
        <f>IFERROR(__xludf.DUMMYFUNCTION("""COMPUTED_VALUE"""),0.0)</f>
        <v>0</v>
      </c>
      <c r="L150" s="1"/>
      <c r="M150" s="3" t="str">
        <f>IFERROR(__xludf.DUMMYFUNCTION("""COMPUTED_VALUE"""),"")</f>
        <v/>
      </c>
      <c r="N150" s="1"/>
      <c r="O150" s="2" t="str">
        <f>IFERROR(__xludf.DUMMYFUNCTION("""COMPUTED_VALUE"""),"")</f>
        <v/>
      </c>
      <c r="P150" s="2">
        <f>IFERROR(__xludf.DUMMYFUNCTION("""COMPUTED_VALUE"""),0.0)</f>
        <v>0</v>
      </c>
      <c r="Q150" s="1"/>
      <c r="R150" s="1"/>
      <c r="S150" s="1"/>
      <c r="T150" s="1" t="str">
        <f>IFERROR(__xludf.DUMMYFUNCTION("""COMPUTED_VALUE"""),"Não Localizado")</f>
        <v>Não Localizado</v>
      </c>
    </row>
    <row r="151">
      <c r="A151" s="1"/>
      <c r="B151" s="1"/>
      <c r="C151" s="1" t="str">
        <f>IFERROR(__xludf.DUMMYFUNCTION("""COMPUTED_VALUE"""),"-")</f>
        <v>-</v>
      </c>
      <c r="D151" s="1" t="str">
        <f>IFERROR(__xludf.DUMMYFUNCTION("""COMPUTED_VALUE"""),"VINHOS")</f>
        <v>VINHOS</v>
      </c>
      <c r="E151" s="1" t="str">
        <f>IFERROR(__xludf.DUMMYFUNCTION("""COMPUTED_VALUE"""),"TAÇA BRANCO PARCELAS (SAUVIGNON BLANC)")</f>
        <v>TAÇA BRANCO PARCELAS (SAUVIGNON BLANC)</v>
      </c>
      <c r="F151" s="1" t="str">
        <f>IFERROR(__xludf.DUMMYFUNCTION("""COMPUTED_VALUE"""),"UN")</f>
        <v>UN</v>
      </c>
      <c r="G151" s="4">
        <f>IFERROR(__xludf.DUMMYFUNCTION("""COMPUTED_VALUE"""),0.187)</f>
        <v>0.187</v>
      </c>
      <c r="H151" s="2">
        <f>IFERROR(__xludf.DUMMYFUNCTION("""COMPUTED_VALUE"""),0.0)</f>
        <v>0</v>
      </c>
      <c r="I151" s="1"/>
      <c r="J151" s="2">
        <f>IFERROR(__xludf.DUMMYFUNCTION("""COMPUTED_VALUE"""),13.0)</f>
        <v>13</v>
      </c>
      <c r="K151" s="2">
        <f>IFERROR(__xludf.DUMMYFUNCTION("""COMPUTED_VALUE"""),0.0)</f>
        <v>0</v>
      </c>
      <c r="L151" s="1"/>
      <c r="M151" s="3">
        <f>IFERROR(__xludf.DUMMYFUNCTION("""COMPUTED_VALUE"""),2.431)</f>
        <v>2.431</v>
      </c>
      <c r="N151" s="1"/>
      <c r="O151" s="2" t="str">
        <f>IFERROR(__xludf.DUMMYFUNCTION("""COMPUTED_VALUE"""),"")</f>
        <v/>
      </c>
      <c r="P151" s="2">
        <f>IFERROR(__xludf.DUMMYFUNCTION("""COMPUTED_VALUE"""),13.0)</f>
        <v>13</v>
      </c>
      <c r="Q151" s="1"/>
      <c r="R151" s="1"/>
      <c r="S151" s="1"/>
      <c r="T151" s="1">
        <f>IFERROR(__xludf.DUMMYFUNCTION("""COMPUTED_VALUE"""),1137.0)</f>
        <v>1137</v>
      </c>
    </row>
    <row r="152">
      <c r="A152" s="1"/>
      <c r="B152" s="1"/>
      <c r="C152" s="1" t="str">
        <f>IFERROR(__xludf.DUMMYFUNCTION("""COMPUTED_VALUE"""),"-")</f>
        <v>-</v>
      </c>
      <c r="D152" s="1"/>
      <c r="E152" s="1"/>
      <c r="F152" s="1"/>
      <c r="G152" s="1"/>
      <c r="H152" s="2">
        <f>IFERROR(__xludf.DUMMYFUNCTION("""COMPUTED_VALUE"""),0.0)</f>
        <v>0</v>
      </c>
      <c r="I152" s="1"/>
      <c r="J152" s="2">
        <f>IFERROR(__xludf.DUMMYFUNCTION("""COMPUTED_VALUE"""),0.0)</f>
        <v>0</v>
      </c>
      <c r="K152" s="2">
        <f>IFERROR(__xludf.DUMMYFUNCTION("""COMPUTED_VALUE"""),0.0)</f>
        <v>0</v>
      </c>
      <c r="L152" s="1"/>
      <c r="M152" s="3" t="str">
        <f>IFERROR(__xludf.DUMMYFUNCTION("""COMPUTED_VALUE"""),"")</f>
        <v/>
      </c>
      <c r="N152" s="1"/>
      <c r="O152" s="2" t="str">
        <f>IFERROR(__xludf.DUMMYFUNCTION("""COMPUTED_VALUE"""),"")</f>
        <v/>
      </c>
      <c r="P152" s="2">
        <f>IFERROR(__xludf.DUMMYFUNCTION("""COMPUTED_VALUE"""),0.0)</f>
        <v>0</v>
      </c>
      <c r="Q152" s="1"/>
      <c r="R152" s="1"/>
      <c r="S152" s="1"/>
      <c r="T152" s="1" t="str">
        <f>IFERROR(__xludf.DUMMYFUNCTION("""COMPUTED_VALUE"""),"")</f>
        <v/>
      </c>
    </row>
    <row r="153">
      <c r="A153" s="1"/>
      <c r="B153" s="1"/>
      <c r="C153" s="1" t="str">
        <f>IFERROR(__xludf.DUMMYFUNCTION("""COMPUTED_VALUE"""),"-")</f>
        <v>-</v>
      </c>
      <c r="D153" s="1"/>
      <c r="E153" s="1"/>
      <c r="F153" s="1"/>
      <c r="G153" s="1"/>
      <c r="H153" s="2">
        <f>IFERROR(__xludf.DUMMYFUNCTION("""COMPUTED_VALUE"""),0.0)</f>
        <v>0</v>
      </c>
      <c r="I153" s="1"/>
      <c r="J153" s="2">
        <f>IFERROR(__xludf.DUMMYFUNCTION("""COMPUTED_VALUE"""),0.0)</f>
        <v>0</v>
      </c>
      <c r="K153" s="2">
        <f>IFERROR(__xludf.DUMMYFUNCTION("""COMPUTED_VALUE"""),0.0)</f>
        <v>0</v>
      </c>
      <c r="L153" s="1"/>
      <c r="M153" s="3" t="str">
        <f>IFERROR(__xludf.DUMMYFUNCTION("""COMPUTED_VALUE"""),"")</f>
        <v/>
      </c>
      <c r="N153" s="1"/>
      <c r="O153" s="2" t="str">
        <f>IFERROR(__xludf.DUMMYFUNCTION("""COMPUTED_VALUE"""),"")</f>
        <v/>
      </c>
      <c r="P153" s="2">
        <f>IFERROR(__xludf.DUMMYFUNCTION("""COMPUTED_VALUE"""),0.0)</f>
        <v>0</v>
      </c>
      <c r="Q153" s="1"/>
      <c r="R153" s="1"/>
      <c r="S153" s="1"/>
      <c r="T153" s="1" t="str">
        <f>IFERROR(__xludf.DUMMYFUNCTION("""COMPUTED_VALUE"""),"")</f>
        <v/>
      </c>
    </row>
    <row r="154">
      <c r="A154" s="1" t="str">
        <f>IFERROR(__xludf.DUMMYFUNCTION("""COMPUTED_VALUE"""),"")</f>
        <v/>
      </c>
      <c r="B154" s="1" t="str">
        <f>IFERROR(__xludf.DUMMYFUNCTION("""COMPUTED_VALUE"""),"")</f>
        <v/>
      </c>
      <c r="C154" s="2" t="str">
        <f>IFERROR(__xludf.DUMMYFUNCTION("""COMPUTED_VALUE"""),"")</f>
        <v/>
      </c>
      <c r="D154" s="1"/>
      <c r="E154" s="1"/>
      <c r="F154" s="1"/>
      <c r="G154" s="1"/>
      <c r="H154" s="2">
        <f>IFERROR(__xludf.DUMMYFUNCTION("""COMPUTED_VALUE"""),0.0)</f>
        <v>0</v>
      </c>
      <c r="I154" s="2">
        <f>IFERROR(__xludf.DUMMYFUNCTION("""COMPUTED_VALUE"""),0.0)</f>
        <v>0</v>
      </c>
      <c r="J154" s="2">
        <f>IFERROR(__xludf.DUMMYFUNCTION("""COMPUTED_VALUE"""),0.0)</f>
        <v>0</v>
      </c>
      <c r="K154" s="2">
        <f>IFERROR(__xludf.DUMMYFUNCTION("""COMPUTED_VALUE"""),0.0)</f>
        <v>0</v>
      </c>
      <c r="L154" s="1"/>
      <c r="M154" s="3" t="str">
        <f>IFERROR(__xludf.DUMMYFUNCTION("""COMPUTED_VALUE"""),"")</f>
        <v/>
      </c>
      <c r="N154" s="1"/>
      <c r="O154" s="2" t="str">
        <f>IFERROR(__xludf.DUMMYFUNCTION("""COMPUTED_VALUE"""),"")</f>
        <v/>
      </c>
      <c r="P154" s="2">
        <f>IFERROR(__xludf.DUMMYFUNCTION("""COMPUTED_VALUE"""),0.0)</f>
        <v>0</v>
      </c>
      <c r="Q154" s="1"/>
      <c r="R154" s="1"/>
      <c r="S154" s="1"/>
      <c r="T154" s="1" t="str">
        <f>IFERROR(__xludf.DUMMYFUNCTION("""COMPUTED_VALUE"""),"")</f>
        <v/>
      </c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</sheetData>
  <drawing r:id="rId1"/>
</worksheet>
</file>